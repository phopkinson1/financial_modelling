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a63f789af4ef06/Documents/Career/Career Development/Financial Statements/Bank Financial Models/"/>
    </mc:Choice>
  </mc:AlternateContent>
  <xr:revisionPtr revIDLastSave="2231" documentId="8_{EF13B619-4DF2-43B7-97E9-A987A40D7462}" xr6:coauthVersionLast="47" xr6:coauthVersionMax="47" xr10:uidLastSave="{268AE5F4-46ED-4F3B-985B-15B225D1E86A}"/>
  <bookViews>
    <workbookView xWindow="28680" yWindow="-120" windowWidth="51840" windowHeight="21120" xr2:uid="{C4FDF26E-8D02-42E6-9BA6-E8E4AB263931}"/>
  </bookViews>
  <sheets>
    <sheet name="Cover" sheetId="1" r:id="rId1"/>
    <sheet name="Assumptions" sheetId="3" r:id="rId2"/>
    <sheet name="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67" i="2" l="1"/>
  <c r="K528" i="2"/>
  <c r="J528" i="2"/>
  <c r="I528" i="2"/>
  <c r="H528" i="2"/>
  <c r="G528" i="2"/>
  <c r="F455" i="2"/>
  <c r="G455" i="2" s="1"/>
  <c r="H455" i="2" s="1"/>
  <c r="I455" i="2" s="1"/>
  <c r="J455" i="2" s="1"/>
  <c r="K455" i="2" s="1"/>
  <c r="K439" i="2" s="1"/>
  <c r="G83" i="2"/>
  <c r="H83" i="2" s="1"/>
  <c r="I83" i="2" s="1"/>
  <c r="J83" i="2" s="1"/>
  <c r="K83" i="2" s="1"/>
  <c r="B78" i="2"/>
  <c r="G534" i="2"/>
  <c r="B552" i="2"/>
  <c r="H77" i="3"/>
  <c r="G77" i="3"/>
  <c r="F77" i="3"/>
  <c r="E77" i="3"/>
  <c r="D77" i="3"/>
  <c r="H75" i="3"/>
  <c r="G75" i="3"/>
  <c r="F75" i="3"/>
  <c r="E75" i="3"/>
  <c r="D75" i="3"/>
  <c r="F354" i="2"/>
  <c r="E354" i="2"/>
  <c r="K61" i="2"/>
  <c r="J61" i="2"/>
  <c r="I61" i="2"/>
  <c r="H61" i="2"/>
  <c r="G61" i="2"/>
  <c r="F215" i="2"/>
  <c r="G213" i="2" s="1"/>
  <c r="G215" i="2" s="1"/>
  <c r="E215" i="2"/>
  <c r="F216" i="2" s="1"/>
  <c r="G43" i="2"/>
  <c r="H43" i="2" s="1"/>
  <c r="I43" i="2" s="1"/>
  <c r="J43" i="2" s="1"/>
  <c r="K43" i="2" s="1"/>
  <c r="G60" i="2"/>
  <c r="H60" i="2" s="1"/>
  <c r="I60" i="2" s="1"/>
  <c r="J60" i="2" s="1"/>
  <c r="K60" i="2" s="1"/>
  <c r="G59" i="2"/>
  <c r="H59" i="2" s="1"/>
  <c r="I59" i="2" s="1"/>
  <c r="J59" i="2" s="1"/>
  <c r="K59" i="2" s="1"/>
  <c r="G62" i="2"/>
  <c r="H62" i="2" s="1"/>
  <c r="I62" i="2" s="1"/>
  <c r="J62" i="2" s="1"/>
  <c r="K62" i="2" s="1"/>
  <c r="G58" i="2"/>
  <c r="H58" i="2" s="1"/>
  <c r="I58" i="2" s="1"/>
  <c r="J58" i="2" s="1"/>
  <c r="K58" i="2" s="1"/>
  <c r="G55" i="2"/>
  <c r="H55" i="2" s="1"/>
  <c r="I55" i="2" s="1"/>
  <c r="J55" i="2" s="1"/>
  <c r="K55" i="2" s="1"/>
  <c r="G42" i="2"/>
  <c r="H42" i="2" s="1"/>
  <c r="I42" i="2" s="1"/>
  <c r="J42" i="2" s="1"/>
  <c r="K42" i="2" s="1"/>
  <c r="G41" i="2"/>
  <c r="H41" i="2" s="1"/>
  <c r="I41" i="2" s="1"/>
  <c r="J41" i="2" s="1"/>
  <c r="K41" i="2" s="1"/>
  <c r="G44" i="2"/>
  <c r="H44" i="2" s="1"/>
  <c r="I44" i="2" s="1"/>
  <c r="J44" i="2" s="1"/>
  <c r="K44" i="2" s="1"/>
  <c r="G45" i="2"/>
  <c r="H45" i="2" s="1"/>
  <c r="I45" i="2" s="1"/>
  <c r="J45" i="2" s="1"/>
  <c r="K45" i="2" s="1"/>
  <c r="G46" i="2"/>
  <c r="H46" i="2" s="1"/>
  <c r="G39" i="2"/>
  <c r="H39" i="2" s="1"/>
  <c r="G462" i="2"/>
  <c r="G445" i="2" s="1"/>
  <c r="K18" i="2"/>
  <c r="J18" i="2"/>
  <c r="I18" i="2"/>
  <c r="H18" i="2"/>
  <c r="G18" i="2"/>
  <c r="K13" i="2"/>
  <c r="J13" i="2"/>
  <c r="I13" i="2"/>
  <c r="H13" i="2"/>
  <c r="G13" i="2"/>
  <c r="G461" i="2"/>
  <c r="J444" i="2" s="1"/>
  <c r="G430" i="2"/>
  <c r="H430" i="2" s="1"/>
  <c r="I430" i="2" s="1"/>
  <c r="J430" i="2" s="1"/>
  <c r="K430" i="2" s="1"/>
  <c r="G454" i="2"/>
  <c r="G499" i="2"/>
  <c r="H499" i="2" s="1"/>
  <c r="I499" i="2" s="1"/>
  <c r="J499" i="2" s="1"/>
  <c r="K499" i="2" s="1"/>
  <c r="B494" i="2"/>
  <c r="K524" i="2"/>
  <c r="J524" i="2"/>
  <c r="I524" i="2"/>
  <c r="H524" i="2"/>
  <c r="G524" i="2"/>
  <c r="K520" i="2"/>
  <c r="J520" i="2"/>
  <c r="I520" i="2"/>
  <c r="H520" i="2"/>
  <c r="G520" i="2"/>
  <c r="K516" i="2"/>
  <c r="J516" i="2"/>
  <c r="I516" i="2"/>
  <c r="H516" i="2"/>
  <c r="G516" i="2"/>
  <c r="K512" i="2"/>
  <c r="J512" i="2"/>
  <c r="I512" i="2"/>
  <c r="H512" i="2"/>
  <c r="G512" i="2"/>
  <c r="K506" i="2"/>
  <c r="J506" i="2"/>
  <c r="I506" i="2"/>
  <c r="H506" i="2"/>
  <c r="G506" i="2"/>
  <c r="K477" i="2"/>
  <c r="K14" i="2" s="1"/>
  <c r="J477" i="2"/>
  <c r="J14" i="2" s="1"/>
  <c r="I477" i="2"/>
  <c r="I14" i="2" s="1"/>
  <c r="H477" i="2"/>
  <c r="H14" i="2" s="1"/>
  <c r="G477" i="2"/>
  <c r="G14" i="2" s="1"/>
  <c r="F478" i="2"/>
  <c r="G478" i="2" s="1"/>
  <c r="H478" i="2" s="1"/>
  <c r="H15" i="2" s="1"/>
  <c r="E478" i="2"/>
  <c r="F477" i="2"/>
  <c r="E477" i="2"/>
  <c r="F476" i="2"/>
  <c r="E476" i="2"/>
  <c r="G490" i="2"/>
  <c r="H490" i="2" s="1"/>
  <c r="I490" i="2" s="1"/>
  <c r="J490" i="2" s="1"/>
  <c r="K490" i="2" s="1"/>
  <c r="G489" i="2"/>
  <c r="H489" i="2" s="1"/>
  <c r="I489" i="2" s="1"/>
  <c r="J489" i="2" s="1"/>
  <c r="K489" i="2" s="1"/>
  <c r="G486" i="2"/>
  <c r="H486" i="2" s="1"/>
  <c r="I486" i="2" s="1"/>
  <c r="J486" i="2" s="1"/>
  <c r="K486" i="2" s="1"/>
  <c r="G485" i="2"/>
  <c r="H485" i="2" s="1"/>
  <c r="I485" i="2" s="1"/>
  <c r="J485" i="2" s="1"/>
  <c r="K485" i="2" s="1"/>
  <c r="G484" i="2"/>
  <c r="H484" i="2" s="1"/>
  <c r="I484" i="2" s="1"/>
  <c r="J484" i="2" s="1"/>
  <c r="K484" i="2" s="1"/>
  <c r="G483" i="2"/>
  <c r="H483" i="2" s="1"/>
  <c r="I483" i="2" s="1"/>
  <c r="J483" i="2" s="1"/>
  <c r="F491" i="2"/>
  <c r="E491" i="2"/>
  <c r="B425" i="2"/>
  <c r="K414" i="2"/>
  <c r="J414" i="2"/>
  <c r="I414" i="2"/>
  <c r="H414" i="2"/>
  <c r="G414" i="2"/>
  <c r="K408" i="2"/>
  <c r="J408" i="2"/>
  <c r="I408" i="2"/>
  <c r="H408" i="2"/>
  <c r="G408" i="2"/>
  <c r="K400" i="2"/>
  <c r="J400" i="2"/>
  <c r="I400" i="2"/>
  <c r="H400" i="2"/>
  <c r="G400" i="2"/>
  <c r="K394" i="2"/>
  <c r="J394" i="2"/>
  <c r="I394" i="2"/>
  <c r="H394" i="2"/>
  <c r="G394" i="2"/>
  <c r="K388" i="2"/>
  <c r="J388" i="2"/>
  <c r="I388" i="2"/>
  <c r="H388" i="2"/>
  <c r="G388" i="2"/>
  <c r="K382" i="2"/>
  <c r="J382" i="2"/>
  <c r="I382" i="2"/>
  <c r="H382" i="2"/>
  <c r="G382" i="2"/>
  <c r="K376" i="2"/>
  <c r="J376" i="2"/>
  <c r="I376" i="2"/>
  <c r="H376" i="2"/>
  <c r="G376" i="2"/>
  <c r="G369" i="2"/>
  <c r="H369" i="2" s="1"/>
  <c r="I369" i="2" s="1"/>
  <c r="J369" i="2" s="1"/>
  <c r="K369" i="2" s="1"/>
  <c r="B364" i="2"/>
  <c r="F355" i="2"/>
  <c r="E355" i="2"/>
  <c r="G349" i="2"/>
  <c r="H349" i="2" s="1"/>
  <c r="I349" i="2" s="1"/>
  <c r="J349" i="2" s="1"/>
  <c r="K349" i="2" s="1"/>
  <c r="B344" i="2"/>
  <c r="K316" i="2"/>
  <c r="J316" i="2"/>
  <c r="I316" i="2"/>
  <c r="H316" i="2"/>
  <c r="G316" i="2"/>
  <c r="H73" i="3"/>
  <c r="K328" i="2" s="1"/>
  <c r="G73" i="3"/>
  <c r="J328" i="2" s="1"/>
  <c r="F73" i="3"/>
  <c r="I328" i="2" s="1"/>
  <c r="E73" i="3"/>
  <c r="H328" i="2" s="1"/>
  <c r="D73" i="3"/>
  <c r="G328" i="2" s="1"/>
  <c r="K324" i="2"/>
  <c r="J324" i="2"/>
  <c r="I324" i="2"/>
  <c r="H324" i="2"/>
  <c r="G324" i="2"/>
  <c r="K320" i="2"/>
  <c r="J320" i="2"/>
  <c r="I320" i="2"/>
  <c r="H320" i="2"/>
  <c r="G320" i="2"/>
  <c r="G307" i="2"/>
  <c r="H307" i="2" s="1"/>
  <c r="I307" i="2" s="1"/>
  <c r="J307" i="2" s="1"/>
  <c r="K307" i="2" s="1"/>
  <c r="B302" i="2"/>
  <c r="K291" i="2"/>
  <c r="J291" i="2"/>
  <c r="I291" i="2"/>
  <c r="H291" i="2"/>
  <c r="G291" i="2"/>
  <c r="K287" i="2"/>
  <c r="J287" i="2"/>
  <c r="I287" i="2"/>
  <c r="H287" i="2"/>
  <c r="G287" i="2"/>
  <c r="K279" i="2"/>
  <c r="J279" i="2"/>
  <c r="I279" i="2"/>
  <c r="H279" i="2"/>
  <c r="G279" i="2"/>
  <c r="K275" i="2"/>
  <c r="J275" i="2"/>
  <c r="I275" i="2"/>
  <c r="H275" i="2"/>
  <c r="G275" i="2"/>
  <c r="K271" i="2"/>
  <c r="J271" i="2"/>
  <c r="I271" i="2"/>
  <c r="H271" i="2"/>
  <c r="G271" i="2"/>
  <c r="K267" i="2"/>
  <c r="J267" i="2"/>
  <c r="I267" i="2"/>
  <c r="H267" i="2"/>
  <c r="G267" i="2"/>
  <c r="K263" i="2"/>
  <c r="J263" i="2"/>
  <c r="I263" i="2"/>
  <c r="H263" i="2"/>
  <c r="G263" i="2"/>
  <c r="G258" i="2"/>
  <c r="H258" i="2" s="1"/>
  <c r="I258" i="2" s="1"/>
  <c r="J258" i="2" s="1"/>
  <c r="K258" i="2" s="1"/>
  <c r="B253" i="2"/>
  <c r="F245" i="2"/>
  <c r="G244" i="2"/>
  <c r="H244" i="2" s="1"/>
  <c r="I244" i="2" s="1"/>
  <c r="J244" i="2" s="1"/>
  <c r="K244" i="2" s="1"/>
  <c r="G240" i="2"/>
  <c r="H240" i="2" s="1"/>
  <c r="K233" i="2"/>
  <c r="J233" i="2"/>
  <c r="I233" i="2"/>
  <c r="H233" i="2"/>
  <c r="G233" i="2"/>
  <c r="K232" i="2"/>
  <c r="J232" i="2"/>
  <c r="I232" i="2"/>
  <c r="H232" i="2"/>
  <c r="G232" i="2"/>
  <c r="F234" i="2"/>
  <c r="G231" i="2" s="1"/>
  <c r="E234" i="2"/>
  <c r="F231" i="2" s="1"/>
  <c r="K227" i="2"/>
  <c r="J227" i="2"/>
  <c r="I227" i="2"/>
  <c r="H227" i="2"/>
  <c r="G227" i="2"/>
  <c r="K226" i="2"/>
  <c r="J226" i="2"/>
  <c r="I226" i="2"/>
  <c r="H226" i="2"/>
  <c r="G226" i="2"/>
  <c r="F228" i="2"/>
  <c r="E228" i="2"/>
  <c r="F225" i="2" s="1"/>
  <c r="K220" i="2"/>
  <c r="J220" i="2"/>
  <c r="I220" i="2"/>
  <c r="H220" i="2"/>
  <c r="G220" i="2"/>
  <c r="F222" i="2"/>
  <c r="G219" i="2" s="1"/>
  <c r="G221" i="2" s="1"/>
  <c r="E222" i="2"/>
  <c r="F219" i="2" s="1"/>
  <c r="F241" i="2"/>
  <c r="F247" i="2" s="1"/>
  <c r="E241" i="2"/>
  <c r="G65" i="3"/>
  <c r="H65" i="3" s="1"/>
  <c r="F64" i="3"/>
  <c r="G64" i="3" s="1"/>
  <c r="H64" i="3" s="1"/>
  <c r="H58" i="3"/>
  <c r="K334" i="2" s="1"/>
  <c r="G58" i="3"/>
  <c r="J334" i="2" s="1"/>
  <c r="F58" i="3"/>
  <c r="I334" i="2" s="1"/>
  <c r="E58" i="3"/>
  <c r="H334" i="2" s="1"/>
  <c r="D58" i="3"/>
  <c r="G334" i="2" s="1"/>
  <c r="H51" i="3"/>
  <c r="K312" i="2" s="1"/>
  <c r="G51" i="3"/>
  <c r="J312" i="2" s="1"/>
  <c r="F51" i="3"/>
  <c r="E51" i="3"/>
  <c r="D51" i="3"/>
  <c r="G312" i="2" s="1"/>
  <c r="F210" i="2"/>
  <c r="E210" i="2"/>
  <c r="E211" i="2" s="1"/>
  <c r="G204" i="2"/>
  <c r="H204" i="2" s="1"/>
  <c r="I204" i="2" s="1"/>
  <c r="J204" i="2" s="1"/>
  <c r="K204" i="2" s="1"/>
  <c r="G183" i="2"/>
  <c r="H183" i="2" s="1"/>
  <c r="I183" i="2" s="1"/>
  <c r="J183" i="2" s="1"/>
  <c r="K183" i="2" s="1"/>
  <c r="G173" i="2"/>
  <c r="H173" i="2" s="1"/>
  <c r="I173" i="2" s="1"/>
  <c r="J173" i="2" s="1"/>
  <c r="K173" i="2" s="1"/>
  <c r="F182" i="2"/>
  <c r="F172" i="2"/>
  <c r="F175" i="2" s="1"/>
  <c r="G150" i="2"/>
  <c r="H150" i="2" s="1"/>
  <c r="I150" i="2" s="1"/>
  <c r="J150" i="2" s="1"/>
  <c r="K150" i="2" s="1"/>
  <c r="G140" i="2"/>
  <c r="H140" i="2" s="1"/>
  <c r="I140" i="2" s="1"/>
  <c r="J140" i="2" s="1"/>
  <c r="K140" i="2" s="1"/>
  <c r="G130" i="2"/>
  <c r="H130" i="2" s="1"/>
  <c r="I130" i="2" s="1"/>
  <c r="J130" i="2" s="1"/>
  <c r="K130" i="2" s="1"/>
  <c r="G120" i="2"/>
  <c r="H120" i="2" s="1"/>
  <c r="F119" i="2"/>
  <c r="F122" i="2" s="1"/>
  <c r="G119" i="2" s="1"/>
  <c r="G121" i="2" s="1"/>
  <c r="G168" i="2"/>
  <c r="H168" i="2" s="1"/>
  <c r="I168" i="2" s="1"/>
  <c r="J168" i="2" s="1"/>
  <c r="K168" i="2" s="1"/>
  <c r="B163" i="2"/>
  <c r="B199" i="2"/>
  <c r="G110" i="2"/>
  <c r="H110" i="2" s="1"/>
  <c r="I110" i="2" s="1"/>
  <c r="J110" i="2" s="1"/>
  <c r="K110" i="2" s="1"/>
  <c r="F149" i="2"/>
  <c r="F152" i="2" s="1"/>
  <c r="F139" i="2"/>
  <c r="F142" i="2" s="1"/>
  <c r="F160" i="2"/>
  <c r="G282" i="2" s="1"/>
  <c r="G159" i="2"/>
  <c r="H159" i="2" s="1"/>
  <c r="F129" i="2"/>
  <c r="F132" i="2" s="1"/>
  <c r="F134" i="2" s="1"/>
  <c r="F109" i="2"/>
  <c r="F112" i="2" s="1"/>
  <c r="F114" i="2" s="1"/>
  <c r="E73" i="2"/>
  <c r="F73" i="2"/>
  <c r="F564" i="2" s="1"/>
  <c r="G560" i="2" s="1"/>
  <c r="E65" i="2"/>
  <c r="F65" i="2"/>
  <c r="E49" i="2"/>
  <c r="F49" i="2"/>
  <c r="E11" i="2"/>
  <c r="E16" i="2" s="1"/>
  <c r="E20" i="2" s="1"/>
  <c r="E22" i="2" s="1"/>
  <c r="E24" i="2" s="1"/>
  <c r="F11" i="2"/>
  <c r="F16" i="2" s="1"/>
  <c r="F20" i="2" s="1"/>
  <c r="F22" i="2" s="1"/>
  <c r="F24" i="2" s="1"/>
  <c r="B5" i="1"/>
  <c r="G557" i="2"/>
  <c r="H557" i="2" s="1"/>
  <c r="I557" i="2" s="1"/>
  <c r="J557" i="2" s="1"/>
  <c r="K557" i="2" s="1"/>
  <c r="G472" i="2"/>
  <c r="H472" i="2" s="1"/>
  <c r="I472" i="2" s="1"/>
  <c r="J472" i="2" s="1"/>
  <c r="K472" i="2" s="1"/>
  <c r="G105" i="2"/>
  <c r="H105" i="2" s="1"/>
  <c r="I105" i="2" s="1"/>
  <c r="J105" i="2" s="1"/>
  <c r="K105" i="2" s="1"/>
  <c r="G36" i="2"/>
  <c r="H36" i="2" s="1"/>
  <c r="I36" i="2" s="1"/>
  <c r="J36" i="2" s="1"/>
  <c r="K36" i="2" s="1"/>
  <c r="G7" i="2"/>
  <c r="H7" i="2" s="1"/>
  <c r="I7" i="2" s="1"/>
  <c r="J7" i="2" s="1"/>
  <c r="K7" i="2" s="1"/>
  <c r="B467" i="2"/>
  <c r="E5" i="3"/>
  <c r="F5" i="3" s="1"/>
  <c r="G5" i="3" s="1"/>
  <c r="H5" i="3" s="1"/>
  <c r="B2" i="3"/>
  <c r="B100" i="2"/>
  <c r="B31" i="2"/>
  <c r="B2" i="2"/>
  <c r="F568" i="2" l="1"/>
  <c r="F89" i="2"/>
  <c r="F91" i="2"/>
  <c r="F540" i="2"/>
  <c r="F541" i="2" s="1"/>
  <c r="G360" i="2"/>
  <c r="G359" i="2"/>
  <c r="G56" i="2"/>
  <c r="H213" i="2"/>
  <c r="H215" i="2" s="1"/>
  <c r="H216" i="2" s="1"/>
  <c r="G216" i="2"/>
  <c r="F213" i="2"/>
  <c r="F214" i="2" s="1"/>
  <c r="K444" i="2"/>
  <c r="G444" i="2"/>
  <c r="G450" i="2" s="1"/>
  <c r="G463" i="2" s="1"/>
  <c r="H444" i="2"/>
  <c r="I444" i="2"/>
  <c r="G355" i="2"/>
  <c r="H360" i="2" s="1"/>
  <c r="H445" i="2"/>
  <c r="J445" i="2"/>
  <c r="K445" i="2"/>
  <c r="I445" i="2"/>
  <c r="I39" i="2"/>
  <c r="I355" i="2" s="1"/>
  <c r="J360" i="2" s="1"/>
  <c r="H355" i="2"/>
  <c r="I360" i="2" s="1"/>
  <c r="H462" i="2"/>
  <c r="I46" i="2"/>
  <c r="J46" i="2" s="1"/>
  <c r="K46" i="2" s="1"/>
  <c r="G15" i="2"/>
  <c r="J434" i="2"/>
  <c r="G435" i="2"/>
  <c r="J438" i="2"/>
  <c r="K435" i="2"/>
  <c r="I434" i="2"/>
  <c r="H436" i="2"/>
  <c r="J435" i="2"/>
  <c r="J436" i="2"/>
  <c r="H434" i="2"/>
  <c r="I437" i="2"/>
  <c r="I436" i="2"/>
  <c r="K436" i="2"/>
  <c r="H435" i="2"/>
  <c r="I435" i="2"/>
  <c r="J437" i="2"/>
  <c r="G434" i="2"/>
  <c r="K437" i="2"/>
  <c r="K434" i="2"/>
  <c r="K438" i="2"/>
  <c r="E479" i="2"/>
  <c r="F479" i="2"/>
  <c r="I478" i="2"/>
  <c r="I479" i="2" s="1"/>
  <c r="H479" i="2"/>
  <c r="G479" i="2"/>
  <c r="K483" i="2"/>
  <c r="H312" i="2"/>
  <c r="I312" i="2"/>
  <c r="F229" i="2"/>
  <c r="F242" i="2"/>
  <c r="G245" i="2"/>
  <c r="G327" i="2" s="1"/>
  <c r="G329" i="2" s="1"/>
  <c r="H245" i="2"/>
  <c r="H327" i="2" s="1"/>
  <c r="H329" i="2" s="1"/>
  <c r="K245" i="2"/>
  <c r="K327" i="2" s="1"/>
  <c r="K329" i="2" s="1"/>
  <c r="J245" i="2"/>
  <c r="J327" i="2" s="1"/>
  <c r="J329" i="2" s="1"/>
  <c r="I245" i="2"/>
  <c r="I327" i="2" s="1"/>
  <c r="I329" i="2" s="1"/>
  <c r="G241" i="2"/>
  <c r="G225" i="2"/>
  <c r="G228" i="2" s="1"/>
  <c r="G63" i="2" s="1"/>
  <c r="F223" i="2"/>
  <c r="F235" i="2"/>
  <c r="I240" i="2"/>
  <c r="J240" i="2" s="1"/>
  <c r="H241" i="2"/>
  <c r="G234" i="2"/>
  <c r="G540" i="2" s="1"/>
  <c r="G222" i="2"/>
  <c r="E223" i="2"/>
  <c r="E209" i="2"/>
  <c r="F208" i="2"/>
  <c r="F193" i="2"/>
  <c r="F87" i="2" s="1"/>
  <c r="F115" i="2"/>
  <c r="G109" i="2"/>
  <c r="G111" i="2" s="1"/>
  <c r="G139" i="2"/>
  <c r="F144" i="2"/>
  <c r="G149" i="2"/>
  <c r="G151" i="2" s="1"/>
  <c r="G152" i="2" s="1"/>
  <c r="G523" i="2" s="1"/>
  <c r="G525" i="2" s="1"/>
  <c r="F154" i="2"/>
  <c r="F155" i="2"/>
  <c r="G182" i="2"/>
  <c r="F145" i="2"/>
  <c r="F135" i="2"/>
  <c r="F177" i="2"/>
  <c r="G172" i="2"/>
  <c r="F178" i="2"/>
  <c r="F187" i="2"/>
  <c r="G129" i="2"/>
  <c r="G131" i="2" s="1"/>
  <c r="F124" i="2"/>
  <c r="F125" i="2"/>
  <c r="G122" i="2"/>
  <c r="I159" i="2"/>
  <c r="I160" i="2" s="1"/>
  <c r="J282" i="2" s="1"/>
  <c r="G160" i="2"/>
  <c r="H282" i="2" s="1"/>
  <c r="H160" i="2"/>
  <c r="I282" i="2" s="1"/>
  <c r="F75" i="2"/>
  <c r="E75" i="2"/>
  <c r="E356" i="2"/>
  <c r="F356" i="2"/>
  <c r="G247" i="2" l="1"/>
  <c r="G53" i="2" s="1"/>
  <c r="H247" i="2"/>
  <c r="H53" i="2" s="1"/>
  <c r="J39" i="2"/>
  <c r="K39" i="2" s="1"/>
  <c r="K355" i="2" s="1"/>
  <c r="I213" i="2"/>
  <c r="I215" i="2" s="1"/>
  <c r="I216" i="2"/>
  <c r="H56" i="2"/>
  <c r="G223" i="2"/>
  <c r="G315" i="2" s="1"/>
  <c r="G317" i="2" s="1"/>
  <c r="G57" i="2"/>
  <c r="H231" i="2"/>
  <c r="H234" i="2" s="1"/>
  <c r="H540" i="2" s="1"/>
  <c r="G64" i="2"/>
  <c r="K446" i="2"/>
  <c r="I462" i="2"/>
  <c r="H446" i="2"/>
  <c r="H450" i="2" s="1"/>
  <c r="H463" i="2" s="1"/>
  <c r="H488" i="2" s="1"/>
  <c r="J446" i="2"/>
  <c r="I446" i="2"/>
  <c r="G488" i="2"/>
  <c r="G464" i="2"/>
  <c r="G567" i="2" s="1"/>
  <c r="J478" i="2"/>
  <c r="J479" i="2" s="1"/>
  <c r="I15" i="2"/>
  <c r="I440" i="2"/>
  <c r="I456" i="2" s="1"/>
  <c r="I487" i="2" s="1"/>
  <c r="G440" i="2"/>
  <c r="G456" i="2" s="1"/>
  <c r="H440" i="2"/>
  <c r="H456" i="2" s="1"/>
  <c r="H487" i="2" s="1"/>
  <c r="J440" i="2"/>
  <c r="J456" i="2" s="1"/>
  <c r="J487" i="2" s="1"/>
  <c r="K440" i="2"/>
  <c r="K456" i="2" s="1"/>
  <c r="K487" i="2" s="1"/>
  <c r="H119" i="2"/>
  <c r="H121" i="2" s="1"/>
  <c r="G503" i="2"/>
  <c r="G174" i="2"/>
  <c r="G175" i="2" s="1"/>
  <c r="I241" i="2"/>
  <c r="H219" i="2"/>
  <c r="H221" i="2" s="1"/>
  <c r="H222" i="2" s="1"/>
  <c r="H57" i="2" s="1"/>
  <c r="H225" i="2"/>
  <c r="H228" i="2" s="1"/>
  <c r="H63" i="2" s="1"/>
  <c r="G229" i="2"/>
  <c r="G319" i="2" s="1"/>
  <c r="G321" i="2" s="1"/>
  <c r="G242" i="2"/>
  <c r="G333" i="2" s="1"/>
  <c r="G335" i="2" s="1"/>
  <c r="H242" i="2"/>
  <c r="H333" i="2" s="1"/>
  <c r="H335" i="2" s="1"/>
  <c r="G235" i="2"/>
  <c r="G323" i="2" s="1"/>
  <c r="G325" i="2" s="1"/>
  <c r="K240" i="2"/>
  <c r="K241" i="2" s="1"/>
  <c r="J241" i="2"/>
  <c r="G141" i="2"/>
  <c r="G142" i="2" s="1"/>
  <c r="G519" i="2" s="1"/>
  <c r="G521" i="2" s="1"/>
  <c r="G184" i="2"/>
  <c r="G185" i="2" s="1"/>
  <c r="G112" i="2"/>
  <c r="F188" i="2"/>
  <c r="G154" i="2"/>
  <c r="H149" i="2"/>
  <c r="G155" i="2"/>
  <c r="G132" i="2"/>
  <c r="G124" i="2"/>
  <c r="G125" i="2"/>
  <c r="J159" i="2"/>
  <c r="J160" i="2" s="1"/>
  <c r="K282" i="2" s="1"/>
  <c r="F357" i="2"/>
  <c r="F571" i="2"/>
  <c r="J355" i="2" l="1"/>
  <c r="K360" i="2" s="1"/>
  <c r="J247" i="2"/>
  <c r="J53" i="2" s="1"/>
  <c r="K247" i="2"/>
  <c r="K53" i="2" s="1"/>
  <c r="G381" i="2"/>
  <c r="G383" i="2" s="1"/>
  <c r="G266" i="2"/>
  <c r="G268" i="2" s="1"/>
  <c r="H109" i="2"/>
  <c r="H111" i="2" s="1"/>
  <c r="H112" i="2" s="1"/>
  <c r="H509" i="2" s="1"/>
  <c r="G509" i="2"/>
  <c r="G504" i="2"/>
  <c r="G505" i="2" s="1"/>
  <c r="G507" i="2" s="1"/>
  <c r="G193" i="2"/>
  <c r="H491" i="2"/>
  <c r="H17" i="2" s="1"/>
  <c r="J213" i="2"/>
  <c r="J215" i="2" s="1"/>
  <c r="J216" i="2" s="1"/>
  <c r="I56" i="2"/>
  <c r="I242" i="2"/>
  <c r="I333" i="2" s="1"/>
  <c r="I335" i="2" s="1"/>
  <c r="I247" i="2"/>
  <c r="I53" i="2" s="1"/>
  <c r="I231" i="2"/>
  <c r="I234" i="2" s="1"/>
  <c r="I540" i="2" s="1"/>
  <c r="H64" i="2"/>
  <c r="G48" i="2"/>
  <c r="H461" i="2"/>
  <c r="H464" i="2" s="1"/>
  <c r="J462" i="2"/>
  <c r="I447" i="2"/>
  <c r="I450" i="2" s="1"/>
  <c r="I463" i="2" s="1"/>
  <c r="I488" i="2" s="1"/>
  <c r="I491" i="2" s="1"/>
  <c r="I17" i="2" s="1"/>
  <c r="J447" i="2"/>
  <c r="K447" i="2"/>
  <c r="G457" i="2"/>
  <c r="G487" i="2"/>
  <c r="G491" i="2" s="1"/>
  <c r="G17" i="2" s="1"/>
  <c r="K478" i="2"/>
  <c r="J15" i="2"/>
  <c r="G135" i="2"/>
  <c r="G270" i="2" s="1"/>
  <c r="G272" i="2" s="1"/>
  <c r="G515" i="2"/>
  <c r="G517" i="2" s="1"/>
  <c r="G278" i="2"/>
  <c r="G280" i="2" s="1"/>
  <c r="G399" i="2"/>
  <c r="G401" i="2" s="1"/>
  <c r="H122" i="2"/>
  <c r="H235" i="2"/>
  <c r="H323" i="2" s="1"/>
  <c r="H325" i="2" s="1"/>
  <c r="I225" i="2"/>
  <c r="I228" i="2" s="1"/>
  <c r="K242" i="2"/>
  <c r="K333" i="2" s="1"/>
  <c r="K335" i="2" s="1"/>
  <c r="H229" i="2"/>
  <c r="H319" i="2" s="1"/>
  <c r="H321" i="2" s="1"/>
  <c r="J242" i="2"/>
  <c r="J333" i="2" s="1"/>
  <c r="J335" i="2" s="1"/>
  <c r="I219" i="2"/>
  <c r="I221" i="2" s="1"/>
  <c r="I222" i="2" s="1"/>
  <c r="I57" i="2" s="1"/>
  <c r="H223" i="2"/>
  <c r="H315" i="2" s="1"/>
  <c r="H317" i="2" s="1"/>
  <c r="G144" i="2"/>
  <c r="H139" i="2"/>
  <c r="H141" i="2" s="1"/>
  <c r="H142" i="2" s="1"/>
  <c r="G145" i="2"/>
  <c r="G115" i="2"/>
  <c r="G114" i="2"/>
  <c r="H182" i="2"/>
  <c r="H184" i="2" s="1"/>
  <c r="G187" i="2"/>
  <c r="G188" i="2"/>
  <c r="G177" i="2"/>
  <c r="H172" i="2"/>
  <c r="G178" i="2"/>
  <c r="G510" i="2" s="1"/>
  <c r="H151" i="2"/>
  <c r="H152" i="2" s="1"/>
  <c r="H523" i="2" s="1"/>
  <c r="H525" i="2" s="1"/>
  <c r="H129" i="2"/>
  <c r="H131" i="2" s="1"/>
  <c r="G134" i="2"/>
  <c r="K159" i="2"/>
  <c r="K160" i="2" s="1"/>
  <c r="I109" i="2"/>
  <c r="G40" i="2" l="1"/>
  <c r="G87" i="2"/>
  <c r="H115" i="2"/>
  <c r="H114" i="2"/>
  <c r="K213" i="2"/>
  <c r="K215" i="2" s="1"/>
  <c r="K56" i="2" s="1"/>
  <c r="J56" i="2"/>
  <c r="K216" i="2"/>
  <c r="H454" i="2"/>
  <c r="H457" i="2" s="1"/>
  <c r="G47" i="2"/>
  <c r="K462" i="2"/>
  <c r="K449" i="2" s="1"/>
  <c r="K448" i="2"/>
  <c r="J448" i="2"/>
  <c r="J450" i="2" s="1"/>
  <c r="J463" i="2" s="1"/>
  <c r="J488" i="2" s="1"/>
  <c r="J491" i="2" s="1"/>
  <c r="J17" i="2" s="1"/>
  <c r="I235" i="2"/>
  <c r="I323" i="2" s="1"/>
  <c r="I325" i="2" s="1"/>
  <c r="I64" i="2"/>
  <c r="J225" i="2"/>
  <c r="J228" i="2" s="1"/>
  <c r="I63" i="2"/>
  <c r="G387" i="2"/>
  <c r="G389" i="2" s="1"/>
  <c r="I461" i="2"/>
  <c r="I464" i="2" s="1"/>
  <c r="H48" i="2"/>
  <c r="K479" i="2"/>
  <c r="K15" i="2"/>
  <c r="H144" i="2"/>
  <c r="H519" i="2"/>
  <c r="H521" i="2" s="1"/>
  <c r="G511" i="2"/>
  <c r="G513" i="2" s="1"/>
  <c r="G527" i="2" s="1"/>
  <c r="G529" i="2" s="1"/>
  <c r="G546" i="2" s="1"/>
  <c r="H125" i="2"/>
  <c r="H503" i="2"/>
  <c r="G286" i="2"/>
  <c r="G288" i="2" s="1"/>
  <c r="G407" i="2"/>
  <c r="G409" i="2" s="1"/>
  <c r="G290" i="2"/>
  <c r="G292" i="2" s="1"/>
  <c r="G413" i="2"/>
  <c r="G415" i="2" s="1"/>
  <c r="H174" i="2"/>
  <c r="H175" i="2" s="1"/>
  <c r="G274" i="2"/>
  <c r="G276" i="2" s="1"/>
  <c r="G393" i="2"/>
  <c r="G395" i="2" s="1"/>
  <c r="G262" i="2"/>
  <c r="G264" i="2" s="1"/>
  <c r="G375" i="2"/>
  <c r="G377" i="2" s="1"/>
  <c r="H262" i="2"/>
  <c r="H264" i="2" s="1"/>
  <c r="H375" i="2"/>
  <c r="H377" i="2" s="1"/>
  <c r="I119" i="2"/>
  <c r="I121" i="2" s="1"/>
  <c r="H124" i="2"/>
  <c r="I229" i="2"/>
  <c r="I319" i="2" s="1"/>
  <c r="I321" i="2" s="1"/>
  <c r="J231" i="2"/>
  <c r="J234" i="2" s="1"/>
  <c r="J219" i="2"/>
  <c r="I223" i="2"/>
  <c r="I315" i="2" s="1"/>
  <c r="I317" i="2" s="1"/>
  <c r="H185" i="2"/>
  <c r="G196" i="2"/>
  <c r="G88" i="2" s="1"/>
  <c r="G194" i="2"/>
  <c r="I149" i="2"/>
  <c r="H154" i="2"/>
  <c r="H155" i="2"/>
  <c r="I139" i="2"/>
  <c r="H145" i="2"/>
  <c r="H132" i="2"/>
  <c r="H515" i="2" s="1"/>
  <c r="H517" i="2" s="1"/>
  <c r="I111" i="2"/>
  <c r="I112" i="2" s="1"/>
  <c r="I509" i="2" s="1"/>
  <c r="J64" i="2" l="1"/>
  <c r="J540" i="2"/>
  <c r="J63" i="2"/>
  <c r="H381" i="2"/>
  <c r="H383" i="2" s="1"/>
  <c r="H266" i="2"/>
  <c r="H268" i="2" s="1"/>
  <c r="K450" i="2"/>
  <c r="K463" i="2" s="1"/>
  <c r="K488" i="2" s="1"/>
  <c r="K491" i="2" s="1"/>
  <c r="K17" i="2" s="1"/>
  <c r="J461" i="2"/>
  <c r="J464" i="2" s="1"/>
  <c r="I48" i="2"/>
  <c r="I454" i="2"/>
  <c r="I457" i="2" s="1"/>
  <c r="H47" i="2"/>
  <c r="G417" i="2"/>
  <c r="G297" i="2"/>
  <c r="K225" i="2"/>
  <c r="K228" i="2" s="1"/>
  <c r="G296" i="2"/>
  <c r="I182" i="2"/>
  <c r="I184" i="2" s="1"/>
  <c r="I185" i="2" s="1"/>
  <c r="I504" i="2" s="1"/>
  <c r="H504" i="2"/>
  <c r="H505" i="2" s="1"/>
  <c r="H507" i="2" s="1"/>
  <c r="G420" i="2"/>
  <c r="G418" i="2"/>
  <c r="H274" i="2"/>
  <c r="H276" i="2" s="1"/>
  <c r="H393" i="2"/>
  <c r="H395" i="2" s="1"/>
  <c r="H278" i="2"/>
  <c r="H280" i="2" s="1"/>
  <c r="H399" i="2"/>
  <c r="H401" i="2" s="1"/>
  <c r="I122" i="2"/>
  <c r="K231" i="2"/>
  <c r="K234" i="2" s="1"/>
  <c r="J229" i="2"/>
  <c r="J319" i="2" s="1"/>
  <c r="J321" i="2" s="1"/>
  <c r="J235" i="2"/>
  <c r="J323" i="2" s="1"/>
  <c r="J325" i="2" s="1"/>
  <c r="J221" i="2"/>
  <c r="J222" i="2" s="1"/>
  <c r="J57" i="2" s="1"/>
  <c r="H188" i="2"/>
  <c r="H187" i="2"/>
  <c r="H193" i="2"/>
  <c r="H87" i="2" s="1"/>
  <c r="H177" i="2"/>
  <c r="I172" i="2"/>
  <c r="H178" i="2"/>
  <c r="H510" i="2" s="1"/>
  <c r="H511" i="2" s="1"/>
  <c r="H513" i="2" s="1"/>
  <c r="I151" i="2"/>
  <c r="I152" i="2" s="1"/>
  <c r="I523" i="2" s="1"/>
  <c r="I525" i="2" s="1"/>
  <c r="I141" i="2"/>
  <c r="I142" i="2" s="1"/>
  <c r="I129" i="2"/>
  <c r="I131" i="2" s="1"/>
  <c r="H134" i="2"/>
  <c r="H135" i="2"/>
  <c r="I114" i="2"/>
  <c r="J109" i="2"/>
  <c r="I115" i="2"/>
  <c r="H567" i="2"/>
  <c r="H527" i="2" l="1"/>
  <c r="H529" i="2" s="1"/>
  <c r="H546" i="2" s="1"/>
  <c r="K64" i="2"/>
  <c r="K540" i="2"/>
  <c r="K63" i="2"/>
  <c r="G419" i="2"/>
  <c r="G422" i="2" s="1"/>
  <c r="G92" i="2" s="1"/>
  <c r="H196" i="2"/>
  <c r="H88" i="2" s="1"/>
  <c r="H40" i="2"/>
  <c r="J454" i="2"/>
  <c r="J457" i="2" s="1"/>
  <c r="I47" i="2"/>
  <c r="K461" i="2"/>
  <c r="K464" i="2" s="1"/>
  <c r="J567" i="2"/>
  <c r="J48" i="2"/>
  <c r="I144" i="2"/>
  <c r="I519" i="2"/>
  <c r="I521" i="2" s="1"/>
  <c r="K229" i="2"/>
  <c r="K319" i="2" s="1"/>
  <c r="K321" i="2" s="1"/>
  <c r="I125" i="2"/>
  <c r="I503" i="2"/>
  <c r="I505" i="2" s="1"/>
  <c r="I507" i="2" s="1"/>
  <c r="H290" i="2"/>
  <c r="H292" i="2" s="1"/>
  <c r="H413" i="2"/>
  <c r="H415" i="2" s="1"/>
  <c r="H286" i="2"/>
  <c r="H288" i="2" s="1"/>
  <c r="H407" i="2"/>
  <c r="H409" i="2" s="1"/>
  <c r="I174" i="2"/>
  <c r="I175" i="2" s="1"/>
  <c r="H270" i="2"/>
  <c r="H272" i="2" s="1"/>
  <c r="H296" i="2" s="1"/>
  <c r="H387" i="2"/>
  <c r="H389" i="2" s="1"/>
  <c r="H417" i="2" s="1"/>
  <c r="I262" i="2"/>
  <c r="I264" i="2" s="1"/>
  <c r="I375" i="2"/>
  <c r="I377" i="2" s="1"/>
  <c r="J119" i="2"/>
  <c r="J121" i="2" s="1"/>
  <c r="I124" i="2"/>
  <c r="H194" i="2"/>
  <c r="K235" i="2"/>
  <c r="K323" i="2" s="1"/>
  <c r="K325" i="2" s="1"/>
  <c r="K219" i="2"/>
  <c r="J223" i="2"/>
  <c r="J315" i="2" s="1"/>
  <c r="J317" i="2" s="1"/>
  <c r="I187" i="2"/>
  <c r="J182" i="2"/>
  <c r="J184" i="2" s="1"/>
  <c r="I188" i="2"/>
  <c r="I154" i="2"/>
  <c r="J149" i="2"/>
  <c r="I155" i="2"/>
  <c r="J139" i="2"/>
  <c r="I145" i="2"/>
  <c r="I132" i="2"/>
  <c r="I515" i="2" s="1"/>
  <c r="I517" i="2" s="1"/>
  <c r="J111" i="2"/>
  <c r="J112" i="2" s="1"/>
  <c r="J509" i="2" s="1"/>
  <c r="G19" i="2" l="1"/>
  <c r="I381" i="2"/>
  <c r="I383" i="2" s="1"/>
  <c r="I266" i="2"/>
  <c r="I268" i="2" s="1"/>
  <c r="H418" i="2"/>
  <c r="H419" i="2" s="1"/>
  <c r="H19" i="2" s="1"/>
  <c r="K567" i="2"/>
  <c r="K48" i="2"/>
  <c r="K454" i="2"/>
  <c r="K457" i="2" s="1"/>
  <c r="K47" i="2" s="1"/>
  <c r="J47" i="2"/>
  <c r="H297" i="2"/>
  <c r="H420" i="2"/>
  <c r="I290" i="2"/>
  <c r="I292" i="2" s="1"/>
  <c r="I413" i="2"/>
  <c r="I415" i="2" s="1"/>
  <c r="I278" i="2"/>
  <c r="I280" i="2" s="1"/>
  <c r="I399" i="2"/>
  <c r="I401" i="2" s="1"/>
  <c r="I274" i="2"/>
  <c r="I276" i="2" s="1"/>
  <c r="I393" i="2"/>
  <c r="I395" i="2" s="1"/>
  <c r="J122" i="2"/>
  <c r="K221" i="2"/>
  <c r="K222" i="2" s="1"/>
  <c r="I193" i="2"/>
  <c r="I87" i="2" s="1"/>
  <c r="I177" i="2"/>
  <c r="J172" i="2"/>
  <c r="I178" i="2"/>
  <c r="I510" i="2" s="1"/>
  <c r="I511" i="2" s="1"/>
  <c r="I513" i="2" s="1"/>
  <c r="J185" i="2"/>
  <c r="J504" i="2" s="1"/>
  <c r="J151" i="2"/>
  <c r="J152" i="2" s="1"/>
  <c r="J523" i="2" s="1"/>
  <c r="J525" i="2" s="1"/>
  <c r="J141" i="2"/>
  <c r="J142" i="2" s="1"/>
  <c r="J129" i="2"/>
  <c r="J131" i="2" s="1"/>
  <c r="I134" i="2"/>
  <c r="I135" i="2"/>
  <c r="J114" i="2"/>
  <c r="K109" i="2"/>
  <c r="J115" i="2"/>
  <c r="I567" i="2"/>
  <c r="K57" i="2" l="1"/>
  <c r="I196" i="2"/>
  <c r="I88" i="2" s="1"/>
  <c r="I40" i="2"/>
  <c r="J144" i="2"/>
  <c r="J519" i="2"/>
  <c r="J521" i="2" s="1"/>
  <c r="I527" i="2"/>
  <c r="I529" i="2" s="1"/>
  <c r="I546" i="2" s="1"/>
  <c r="H422" i="2"/>
  <c r="H92" i="2" s="1"/>
  <c r="J125" i="2"/>
  <c r="J503" i="2"/>
  <c r="J505" i="2" s="1"/>
  <c r="J507" i="2" s="1"/>
  <c r="I286" i="2"/>
  <c r="I288" i="2" s="1"/>
  <c r="I297" i="2" s="1"/>
  <c r="I407" i="2"/>
  <c r="I409" i="2" s="1"/>
  <c r="I418" i="2" s="1"/>
  <c r="J174" i="2"/>
  <c r="J175" i="2" s="1"/>
  <c r="I270" i="2"/>
  <c r="I272" i="2" s="1"/>
  <c r="I296" i="2" s="1"/>
  <c r="I387" i="2"/>
  <c r="I389" i="2" s="1"/>
  <c r="I417" i="2" s="1"/>
  <c r="J262" i="2"/>
  <c r="J264" i="2" s="1"/>
  <c r="J375" i="2"/>
  <c r="J377" i="2" s="1"/>
  <c r="K119" i="2"/>
  <c r="K121" i="2" s="1"/>
  <c r="K122" i="2" s="1"/>
  <c r="K503" i="2" s="1"/>
  <c r="J124" i="2"/>
  <c r="K223" i="2"/>
  <c r="K315" i="2" s="1"/>
  <c r="K317" i="2" s="1"/>
  <c r="I194" i="2"/>
  <c r="J187" i="2"/>
  <c r="K182" i="2"/>
  <c r="K184" i="2" s="1"/>
  <c r="J188" i="2"/>
  <c r="J154" i="2"/>
  <c r="K149" i="2"/>
  <c r="J155" i="2"/>
  <c r="K139" i="2"/>
  <c r="J145" i="2"/>
  <c r="J132" i="2"/>
  <c r="J515" i="2" s="1"/>
  <c r="J517" i="2" s="1"/>
  <c r="K111" i="2"/>
  <c r="K112" i="2" s="1"/>
  <c r="K509" i="2" s="1"/>
  <c r="J381" i="2" l="1"/>
  <c r="J383" i="2" s="1"/>
  <c r="J266" i="2"/>
  <c r="J268" i="2" s="1"/>
  <c r="I419" i="2"/>
  <c r="I19" i="2" s="1"/>
  <c r="J290" i="2"/>
  <c r="J292" i="2" s="1"/>
  <c r="J413" i="2"/>
  <c r="J415" i="2" s="1"/>
  <c r="I420" i="2"/>
  <c r="J278" i="2"/>
  <c r="J280" i="2" s="1"/>
  <c r="J399" i="2"/>
  <c r="J401" i="2" s="1"/>
  <c r="J274" i="2"/>
  <c r="J276" i="2" s="1"/>
  <c r="J393" i="2"/>
  <c r="J395" i="2" s="1"/>
  <c r="J193" i="2"/>
  <c r="J87" i="2" s="1"/>
  <c r="J177" i="2"/>
  <c r="K172" i="2"/>
  <c r="J178" i="2"/>
  <c r="J510" i="2" s="1"/>
  <c r="J511" i="2" s="1"/>
  <c r="J513" i="2" s="1"/>
  <c r="J527" i="2" s="1"/>
  <c r="J529" i="2" s="1"/>
  <c r="J546" i="2" s="1"/>
  <c r="K185" i="2"/>
  <c r="K504" i="2" s="1"/>
  <c r="K505" i="2" s="1"/>
  <c r="K507" i="2" s="1"/>
  <c r="K151" i="2"/>
  <c r="K152" i="2" s="1"/>
  <c r="K523" i="2" s="1"/>
  <c r="K525" i="2" s="1"/>
  <c r="K141" i="2"/>
  <c r="K142" i="2" s="1"/>
  <c r="K129" i="2"/>
  <c r="K131" i="2" s="1"/>
  <c r="J134" i="2"/>
  <c r="J135" i="2"/>
  <c r="K124" i="2"/>
  <c r="K125" i="2"/>
  <c r="K114" i="2"/>
  <c r="K115" i="2"/>
  <c r="K381" i="2" l="1"/>
  <c r="K383" i="2" s="1"/>
  <c r="K266" i="2"/>
  <c r="K268" i="2" s="1"/>
  <c r="J196" i="2"/>
  <c r="J88" i="2" s="1"/>
  <c r="J40" i="2"/>
  <c r="K144" i="2"/>
  <c r="K519" i="2"/>
  <c r="K521" i="2" s="1"/>
  <c r="I422" i="2"/>
  <c r="I92" i="2" s="1"/>
  <c r="J286" i="2"/>
  <c r="J288" i="2" s="1"/>
  <c r="J297" i="2" s="1"/>
  <c r="J407" i="2"/>
  <c r="J409" i="2" s="1"/>
  <c r="J418" i="2" s="1"/>
  <c r="K174" i="2"/>
  <c r="K175" i="2" s="1"/>
  <c r="K177" i="2" s="1"/>
  <c r="K262" i="2"/>
  <c r="K264" i="2" s="1"/>
  <c r="K375" i="2"/>
  <c r="K377" i="2" s="1"/>
  <c r="J270" i="2"/>
  <c r="J272" i="2" s="1"/>
  <c r="J296" i="2" s="1"/>
  <c r="J387" i="2"/>
  <c r="J389" i="2" s="1"/>
  <c r="J417" i="2" s="1"/>
  <c r="J194" i="2"/>
  <c r="K187" i="2"/>
  <c r="K188" i="2"/>
  <c r="K154" i="2"/>
  <c r="K155" i="2"/>
  <c r="K145" i="2"/>
  <c r="K132" i="2"/>
  <c r="K134" i="2" l="1"/>
  <c r="K515" i="2"/>
  <c r="K517" i="2" s="1"/>
  <c r="J419" i="2"/>
  <c r="J19" i="2" s="1"/>
  <c r="K290" i="2"/>
  <c r="K292" i="2" s="1"/>
  <c r="K413" i="2"/>
  <c r="K415" i="2" s="1"/>
  <c r="J420" i="2"/>
  <c r="K278" i="2"/>
  <c r="K280" i="2" s="1"/>
  <c r="K399" i="2"/>
  <c r="K401" i="2" s="1"/>
  <c r="K274" i="2"/>
  <c r="K276" i="2" s="1"/>
  <c r="K393" i="2"/>
  <c r="K395" i="2" s="1"/>
  <c r="K193" i="2"/>
  <c r="K178" i="2"/>
  <c r="K510" i="2" s="1"/>
  <c r="K511" i="2" s="1"/>
  <c r="K513" i="2" s="1"/>
  <c r="K135" i="2"/>
  <c r="K40" i="2" l="1"/>
  <c r="K87" i="2"/>
  <c r="K527" i="2"/>
  <c r="K529" i="2" s="1"/>
  <c r="K546" i="2" s="1"/>
  <c r="J422" i="2"/>
  <c r="J92" i="2" s="1"/>
  <c r="K286" i="2"/>
  <c r="K288" i="2" s="1"/>
  <c r="K297" i="2" s="1"/>
  <c r="K407" i="2"/>
  <c r="K409" i="2" s="1"/>
  <c r="K418" i="2" s="1"/>
  <c r="K270" i="2"/>
  <c r="K272" i="2" s="1"/>
  <c r="K296" i="2" s="1"/>
  <c r="K387" i="2"/>
  <c r="K389" i="2" s="1"/>
  <c r="K417" i="2" s="1"/>
  <c r="K196" i="2"/>
  <c r="K88" i="2" s="1"/>
  <c r="K194" i="2"/>
  <c r="K419" i="2" l="1"/>
  <c r="K19" i="2" s="1"/>
  <c r="K420" i="2"/>
  <c r="K422" i="2" l="1"/>
  <c r="K92" i="2" s="1"/>
  <c r="F211" i="2" l="1"/>
  <c r="F209" i="2"/>
  <c r="G208" i="2"/>
  <c r="G209" i="2" s="1"/>
  <c r="G210" i="2" l="1"/>
  <c r="G249" i="2" s="1"/>
  <c r="G54" i="2" l="1"/>
  <c r="G65" i="2" s="1"/>
  <c r="G250" i="2"/>
  <c r="H208" i="2"/>
  <c r="H209" i="2" s="1"/>
  <c r="G211" i="2"/>
  <c r="G311" i="2" l="1"/>
  <c r="G313" i="2" s="1"/>
  <c r="G337" i="2" s="1"/>
  <c r="H210" i="2"/>
  <c r="H54" i="2" l="1"/>
  <c r="H65" i="2" s="1"/>
  <c r="H249" i="2"/>
  <c r="G10" i="2"/>
  <c r="I208" i="2"/>
  <c r="H250" i="2"/>
  <c r="H211" i="2"/>
  <c r="H311" i="2" l="1"/>
  <c r="H313" i="2" s="1"/>
  <c r="H337" i="2" s="1"/>
  <c r="I209" i="2"/>
  <c r="I210" i="2" s="1"/>
  <c r="I54" i="2" l="1"/>
  <c r="I65" i="2" s="1"/>
  <c r="I249" i="2"/>
  <c r="I250" i="2" s="1"/>
  <c r="H10" i="2"/>
  <c r="J208" i="2"/>
  <c r="I211" i="2"/>
  <c r="I311" i="2" l="1"/>
  <c r="I313" i="2" s="1"/>
  <c r="I337" i="2" s="1"/>
  <c r="J209" i="2"/>
  <c r="J210" i="2" s="1"/>
  <c r="J54" i="2" l="1"/>
  <c r="J65" i="2" s="1"/>
  <c r="J249" i="2"/>
  <c r="I10" i="2"/>
  <c r="K208" i="2"/>
  <c r="J250" i="2"/>
  <c r="J211" i="2"/>
  <c r="J311" i="2" l="1"/>
  <c r="J313" i="2" s="1"/>
  <c r="J337" i="2" s="1"/>
  <c r="K209" i="2"/>
  <c r="K210" i="2" s="1"/>
  <c r="K54" i="2" l="1"/>
  <c r="K65" i="2" s="1"/>
  <c r="K249" i="2"/>
  <c r="K250" i="2" s="1"/>
  <c r="J10" i="2"/>
  <c r="K211" i="2"/>
  <c r="K311" i="2" l="1"/>
  <c r="K313" i="2" s="1"/>
  <c r="K337" i="2" s="1"/>
  <c r="K10" i="2" l="1"/>
  <c r="G361" i="2"/>
  <c r="G298" i="2" s="1"/>
  <c r="G299" i="2" s="1"/>
  <c r="G9" i="2" l="1"/>
  <c r="G11" i="2" s="1"/>
  <c r="G339" i="2"/>
  <c r="G16" i="2" l="1"/>
  <c r="G89" i="2"/>
  <c r="G20" i="2" l="1"/>
  <c r="G91" i="2"/>
  <c r="G93" i="2" l="1"/>
  <c r="G21" i="2"/>
  <c r="G22" i="2" s="1"/>
  <c r="G535" i="2" l="1"/>
  <c r="G24" i="2"/>
  <c r="G571" i="2"/>
  <c r="G561" i="2"/>
  <c r="G562" i="2" s="1"/>
  <c r="G536" i="2" l="1"/>
  <c r="G96" i="2"/>
  <c r="G537" i="2"/>
  <c r="G563" i="2" s="1"/>
  <c r="G564" i="2" l="1"/>
  <c r="H560" i="2" s="1"/>
  <c r="G97" i="2"/>
  <c r="G73" i="2"/>
  <c r="G75" i="2" s="1"/>
  <c r="G38" i="2" s="1"/>
  <c r="G565" i="2"/>
  <c r="G573" i="2" s="1"/>
  <c r="G568" i="2"/>
  <c r="G569" i="2" s="1"/>
  <c r="G574" i="2" s="1"/>
  <c r="G94" i="2" s="1"/>
  <c r="G539" i="2"/>
  <c r="G49" i="2" l="1"/>
  <c r="G354" i="2"/>
  <c r="G356" i="2" l="1"/>
  <c r="G357" i="2" s="1"/>
  <c r="G340" i="2" s="1"/>
  <c r="G341" i="2" s="1"/>
  <c r="G90" i="2" s="1"/>
  <c r="H359" i="2"/>
  <c r="H361" i="2" s="1"/>
  <c r="H298" i="2" s="1"/>
  <c r="H299" i="2" s="1"/>
  <c r="H339" i="2" l="1"/>
  <c r="H9" i="2"/>
  <c r="H11" i="2" s="1"/>
  <c r="G543" i="2"/>
  <c r="G547" i="2" l="1"/>
  <c r="G95" i="2"/>
  <c r="H16" i="2"/>
  <c r="H89" i="2"/>
  <c r="H534" i="2"/>
  <c r="G541" i="2"/>
  <c r="G549" i="2" s="1"/>
  <c r="H20" i="2" l="1"/>
  <c r="H91" i="2"/>
  <c r="H93" i="2" l="1"/>
  <c r="H21" i="2"/>
  <c r="H22" i="2" s="1"/>
  <c r="H561" i="2" l="1"/>
  <c r="H562" i="2" s="1"/>
  <c r="H571" i="2"/>
  <c r="H535" i="2"/>
  <c r="H24" i="2"/>
  <c r="H536" i="2" l="1"/>
  <c r="H537" i="2" s="1"/>
  <c r="H563" i="2" s="1"/>
  <c r="H96" i="2"/>
  <c r="H564" i="2" l="1"/>
  <c r="H97" i="2"/>
  <c r="H73" i="2"/>
  <c r="H75" i="2" s="1"/>
  <c r="H38" i="2" s="1"/>
  <c r="H568" i="2"/>
  <c r="H569" i="2" s="1"/>
  <c r="H574" i="2" s="1"/>
  <c r="H94" i="2" s="1"/>
  <c r="I560" i="2"/>
  <c r="H565" i="2"/>
  <c r="H573" i="2" s="1"/>
  <c r="H539" i="2"/>
  <c r="H541" i="2" l="1"/>
  <c r="H549" i="2" s="1"/>
  <c r="H543" i="2"/>
  <c r="I534" i="2"/>
  <c r="H354" i="2"/>
  <c r="H49" i="2"/>
  <c r="I359" i="2" l="1"/>
  <c r="I361" i="2" s="1"/>
  <c r="I298" i="2" s="1"/>
  <c r="I299" i="2" s="1"/>
  <c r="H356" i="2"/>
  <c r="H357" i="2" s="1"/>
  <c r="H340" i="2" s="1"/>
  <c r="H341" i="2" s="1"/>
  <c r="H90" i="2" s="1"/>
  <c r="H547" i="2"/>
  <c r="H95" i="2"/>
  <c r="I9" i="2" l="1"/>
  <c r="I11" i="2" s="1"/>
  <c r="I339" i="2"/>
  <c r="I16" i="2" l="1"/>
  <c r="I89" i="2"/>
  <c r="I20" i="2" l="1"/>
  <c r="I91" i="2"/>
  <c r="I21" i="2" l="1"/>
  <c r="I22" i="2" s="1"/>
  <c r="I93" i="2"/>
  <c r="I24" i="2" l="1"/>
  <c r="I535" i="2"/>
  <c r="I571" i="2"/>
  <c r="I561" i="2"/>
  <c r="I562" i="2" s="1"/>
  <c r="I536" i="2" l="1"/>
  <c r="I537" i="2" s="1"/>
  <c r="I563" i="2" s="1"/>
  <c r="I96" i="2"/>
  <c r="I539" i="2" l="1"/>
  <c r="I543" i="2" s="1"/>
  <c r="I564" i="2"/>
  <c r="I97" i="2"/>
  <c r="J534" i="2"/>
  <c r="I541" i="2"/>
  <c r="I549" i="2" s="1"/>
  <c r="I73" i="2"/>
  <c r="I75" i="2" s="1"/>
  <c r="I38" i="2" s="1"/>
  <c r="I565" i="2"/>
  <c r="I573" i="2" s="1"/>
  <c r="J560" i="2"/>
  <c r="I568" i="2"/>
  <c r="I569" i="2" s="1"/>
  <c r="I574" i="2" s="1"/>
  <c r="I94" i="2" s="1"/>
  <c r="I354" i="2" l="1"/>
  <c r="I49" i="2"/>
  <c r="I547" i="2"/>
  <c r="I95" i="2"/>
  <c r="J359" i="2" l="1"/>
  <c r="J361" i="2" s="1"/>
  <c r="J298" i="2" s="1"/>
  <c r="J299" i="2" s="1"/>
  <c r="I356" i="2"/>
  <c r="I357" i="2" s="1"/>
  <c r="I340" i="2" s="1"/>
  <c r="I341" i="2" s="1"/>
  <c r="I90" i="2" s="1"/>
  <c r="J9" i="2" l="1"/>
  <c r="J11" i="2" s="1"/>
  <c r="J339" i="2"/>
  <c r="J16" i="2" l="1"/>
  <c r="J89" i="2"/>
  <c r="J20" i="2" l="1"/>
  <c r="J91" i="2"/>
  <c r="J21" i="2" l="1"/>
  <c r="J22" i="2" s="1"/>
  <c r="J93" i="2"/>
  <c r="J24" i="2" l="1"/>
  <c r="J535" i="2"/>
  <c r="J561" i="2"/>
  <c r="J562" i="2" s="1"/>
  <c r="J571" i="2"/>
  <c r="J536" i="2" l="1"/>
  <c r="J537" i="2" s="1"/>
  <c r="J563" i="2" s="1"/>
  <c r="J96" i="2"/>
  <c r="J539" i="2" l="1"/>
  <c r="K534" i="2" s="1"/>
  <c r="J564" i="2"/>
  <c r="K560" i="2" s="1"/>
  <c r="J97" i="2"/>
  <c r="J565" i="2"/>
  <c r="J573" i="2" s="1"/>
  <c r="J568" i="2"/>
  <c r="J569" i="2" s="1"/>
  <c r="J574" i="2" s="1"/>
  <c r="J94" i="2" s="1"/>
  <c r="J73" i="2"/>
  <c r="J75" i="2" s="1"/>
  <c r="J38" i="2" s="1"/>
  <c r="J541" i="2" l="1"/>
  <c r="J549" i="2" s="1"/>
  <c r="J543" i="2"/>
  <c r="J354" i="2"/>
  <c r="J49" i="2"/>
  <c r="J547" i="2"/>
  <c r="J95" i="2"/>
  <c r="K359" i="2" l="1"/>
  <c r="K361" i="2" s="1"/>
  <c r="K298" i="2" s="1"/>
  <c r="K299" i="2" s="1"/>
  <c r="J356" i="2"/>
  <c r="J357" i="2" s="1"/>
  <c r="J340" i="2" s="1"/>
  <c r="J341" i="2" s="1"/>
  <c r="J90" i="2" s="1"/>
  <c r="K339" i="2" l="1"/>
  <c r="K9" i="2"/>
  <c r="K11" i="2" s="1"/>
  <c r="K16" i="2" l="1"/>
  <c r="K89" i="2"/>
  <c r="K20" i="2" l="1"/>
  <c r="K91" i="2"/>
  <c r="K21" i="2" l="1"/>
  <c r="K22" i="2" s="1"/>
  <c r="K93" i="2"/>
  <c r="K535" i="2" l="1"/>
  <c r="K561" i="2"/>
  <c r="K571" i="2"/>
  <c r="K24" i="2"/>
  <c r="K562" i="2" l="1"/>
  <c r="K536" i="2" l="1"/>
  <c r="K96" i="2"/>
  <c r="K537" i="2" l="1"/>
  <c r="K563" i="2" s="1"/>
  <c r="K564" i="2" l="1"/>
  <c r="K97" i="2"/>
  <c r="K539" i="2"/>
  <c r="K568" i="2"/>
  <c r="K569" i="2" s="1"/>
  <c r="K574" i="2" s="1"/>
  <c r="K94" i="2" s="1"/>
  <c r="K73" i="2"/>
  <c r="K75" i="2" s="1"/>
  <c r="K38" i="2" s="1"/>
  <c r="K565" i="2"/>
  <c r="K573" i="2" s="1"/>
  <c r="K354" i="2" l="1"/>
  <c r="K356" i="2" s="1"/>
  <c r="K357" i="2" s="1"/>
  <c r="K340" i="2" s="1"/>
  <c r="K341" i="2" s="1"/>
  <c r="K90" i="2" s="1"/>
  <c r="K49" i="2"/>
  <c r="K543" i="2"/>
  <c r="K541" i="2"/>
  <c r="K549" i="2" s="1"/>
  <c r="K547" i="2" l="1"/>
  <c r="K95" i="2"/>
</calcChain>
</file>

<file path=xl/sharedStrings.xml><?xml version="1.0" encoding="utf-8"?>
<sst xmlns="http://schemas.openxmlformats.org/spreadsheetml/2006/main" count="677" uniqueCount="368">
  <si>
    <t>Modelled by Peter Hopkinson</t>
  </si>
  <si>
    <t>Financial Statements - Income Statement</t>
  </si>
  <si>
    <t>Units</t>
  </si>
  <si>
    <t>Interest Receivable</t>
  </si>
  <si>
    <t>Interest Payable</t>
  </si>
  <si>
    <t>Net Interest Income</t>
  </si>
  <si>
    <t>Other income</t>
  </si>
  <si>
    <t>Other operating income</t>
  </si>
  <si>
    <t>Operating expenses</t>
  </si>
  <si>
    <t>Provisions for credit losses</t>
  </si>
  <si>
    <t>Units / £m</t>
  </si>
  <si>
    <t>Earning per share</t>
  </si>
  <si>
    <t xml:space="preserve"> - Basic</t>
  </si>
  <si>
    <t xml:space="preserve"> - Diluted</t>
  </si>
  <si>
    <t>Financial Statements - Balance Sheet</t>
  </si>
  <si>
    <t>Assets</t>
  </si>
  <si>
    <t>Investment securities</t>
  </si>
  <si>
    <t>Intangible Assets</t>
  </si>
  <si>
    <t>Intangible assets</t>
  </si>
  <si>
    <t>Liabilities</t>
  </si>
  <si>
    <t>Provisions</t>
  </si>
  <si>
    <t>Deferred tax liabilities</t>
  </si>
  <si>
    <t>Total assets</t>
  </si>
  <si>
    <t>Total Liabilities</t>
  </si>
  <si>
    <t>Equity</t>
  </si>
  <si>
    <t>Total equity</t>
  </si>
  <si>
    <t>Total Liabilities and equity</t>
  </si>
  <si>
    <t>Opening Balance</t>
  </si>
  <si>
    <t>Originations</t>
  </si>
  <si>
    <t>Repayments</t>
  </si>
  <si>
    <t>Closing Balances</t>
  </si>
  <si>
    <t>Closing Balance</t>
  </si>
  <si>
    <t>Model Assumptions</t>
  </si>
  <si>
    <t>Average Balance</t>
  </si>
  <si>
    <t>Funding Schedule</t>
  </si>
  <si>
    <t>Total</t>
  </si>
  <si>
    <t>Commercial asset yield</t>
  </si>
  <si>
    <t>Commercial interest income</t>
  </si>
  <si>
    <t>Total Interest Receivable</t>
  </si>
  <si>
    <t>Funding</t>
  </si>
  <si>
    <t>Deposit cost</t>
  </si>
  <si>
    <t>Deposit interest expense</t>
  </si>
  <si>
    <t>Total Interest Payable</t>
  </si>
  <si>
    <t>NIM</t>
  </si>
  <si>
    <t>Average Loan Book</t>
  </si>
  <si>
    <t>Central Bank Funding</t>
  </si>
  <si>
    <t>£m</t>
  </si>
  <si>
    <t>%</t>
  </si>
  <si>
    <t>Funding surplus / (shortfall) vs loan book</t>
  </si>
  <si>
    <t>Issuance</t>
  </si>
  <si>
    <t>TFSME</t>
  </si>
  <si>
    <t>Repayment / (Maturity)</t>
  </si>
  <si>
    <t>Central bank - total funding</t>
  </si>
  <si>
    <t>ILTR / other central-bank funding</t>
  </si>
  <si>
    <t>SONIA</t>
  </si>
  <si>
    <t>Bank Rate</t>
  </si>
  <si>
    <t>Retail Deposits</t>
  </si>
  <si>
    <t>Retail Deposits - Opening Balance</t>
  </si>
  <si>
    <t>Deposit Growth / (Closing)</t>
  </si>
  <si>
    <t>Closing Retail Deposits</t>
  </si>
  <si>
    <t>Average Retail Deposits</t>
  </si>
  <si>
    <t>ILTR funding</t>
  </si>
  <si>
    <t>ILTR funding cost</t>
  </si>
  <si>
    <t>ILTR expense</t>
  </si>
  <si>
    <t>Average Interest-Earning Assets</t>
  </si>
  <si>
    <t>Cash / central bank reserves</t>
  </si>
  <si>
    <t>Liquidity / Treasury Assets</t>
  </si>
  <si>
    <t>Total Liquid Assets</t>
  </si>
  <si>
    <t>Average Liquid Assets</t>
  </si>
  <si>
    <t>Cash / reserves interest income</t>
  </si>
  <si>
    <t>Securities interest income</t>
  </si>
  <si>
    <t>Total liquid asset interest income</t>
  </si>
  <si>
    <t>Macro Assumptions</t>
  </si>
  <si>
    <t>Commercial lending</t>
  </si>
  <si>
    <t>Commercial cost of risk</t>
  </si>
  <si>
    <t>Commercial impairment charge</t>
  </si>
  <si>
    <t>bps</t>
  </si>
  <si>
    <t>Total Impairment Charge</t>
  </si>
  <si>
    <t>Average Total Loans</t>
  </si>
  <si>
    <t>Group cost of risk</t>
  </si>
  <si>
    <t>Other income + Operating Expenses schedule</t>
  </si>
  <si>
    <t>Total other operating income</t>
  </si>
  <si>
    <t>Staff costs</t>
  </si>
  <si>
    <t>Other operating expenses</t>
  </si>
  <si>
    <t>Total operating expenses</t>
  </si>
  <si>
    <t>Headcount growth</t>
  </si>
  <si>
    <t>PP&amp;E - beginning balance</t>
  </si>
  <si>
    <t>Depreciation</t>
  </si>
  <si>
    <t>PP&amp;E - ending balance</t>
  </si>
  <si>
    <t>PP&amp;E</t>
  </si>
  <si>
    <t>Intangible assets - start of period</t>
  </si>
  <si>
    <t>Capital Expenditure on PP&amp;E</t>
  </si>
  <si>
    <t>Capital expenditure on intangible assets</t>
  </si>
  <si>
    <t>Amortization</t>
  </si>
  <si>
    <t>Intangible assets - end of period</t>
  </si>
  <si>
    <t>Depreciation Schedule</t>
  </si>
  <si>
    <t>Depreciation on 2026  capex</t>
  </si>
  <si>
    <t>Depreciation on 2028 capex</t>
  </si>
  <si>
    <t>Depreciation on 2027  capex</t>
  </si>
  <si>
    <t>Total Depreciation</t>
  </si>
  <si>
    <t>PP&amp;E - 2025</t>
  </si>
  <si>
    <t>Amortization Schedule</t>
  </si>
  <si>
    <t>Amortization on 2026 capex</t>
  </si>
  <si>
    <t>Amortization on 2028 capex</t>
  </si>
  <si>
    <t>Amortization on 2027 capex</t>
  </si>
  <si>
    <t>Intangible Assets - 2025</t>
  </si>
  <si>
    <t>Total Amortization</t>
  </si>
  <si>
    <t>Credit Risk</t>
  </si>
  <si>
    <t>Closing Mortgage Loans</t>
  </si>
  <si>
    <t>Mortgage RWA density</t>
  </si>
  <si>
    <t>Commercial RWA density</t>
  </si>
  <si>
    <t>Total Credit Risk RWA</t>
  </si>
  <si>
    <t>Operational risk RWA</t>
  </si>
  <si>
    <t>Total RWA</t>
  </si>
  <si>
    <t>CET1 Capital</t>
  </si>
  <si>
    <t>Opening CET1 capital</t>
  </si>
  <si>
    <t>Net profit</t>
  </si>
  <si>
    <t>Dividends paid</t>
  </si>
  <si>
    <t xml:space="preserve">Share buybacks </t>
  </si>
  <si>
    <t>Other CET1 movements / regulatory adjustments</t>
  </si>
  <si>
    <t>Closing CET1 capital</t>
  </si>
  <si>
    <t>CET1 requirement</t>
  </si>
  <si>
    <t>CET1 Ratio</t>
  </si>
  <si>
    <t>CET1 headroom</t>
  </si>
  <si>
    <t>Equity Schedule</t>
  </si>
  <si>
    <t>Opening equity</t>
  </si>
  <si>
    <t>Dividends</t>
  </si>
  <si>
    <t>Buybacks</t>
  </si>
  <si>
    <t>Closing equity</t>
  </si>
  <si>
    <t>Tier 2 capital</t>
  </si>
  <si>
    <t>Total Regulatory capital</t>
  </si>
  <si>
    <t>Total capital ratio</t>
  </si>
  <si>
    <t>Cash Interest Income (from treasury schedule)</t>
  </si>
  <si>
    <t>Inflation</t>
  </si>
  <si>
    <t>Closing tangible equity</t>
  </si>
  <si>
    <t>Net Income</t>
  </si>
  <si>
    <t>Return on Tangible Equity (RoTE)</t>
  </si>
  <si>
    <t>Return on Equity (ROE)</t>
  </si>
  <si>
    <t xml:space="preserve">Average equity </t>
  </si>
  <si>
    <t>Average tangible equity</t>
  </si>
  <si>
    <t>Average Repo Funding</t>
  </si>
  <si>
    <t>Repo funding cost</t>
  </si>
  <si>
    <t>Repo funding expense</t>
  </si>
  <si>
    <t>YoY Growth</t>
  </si>
  <si>
    <t xml:space="preserve">YoY Growth </t>
  </si>
  <si>
    <t>OSB</t>
  </si>
  <si>
    <t>Fair value losses on financial instruments</t>
  </si>
  <si>
    <t>Gain/(loss) on sale of financial assets</t>
  </si>
  <si>
    <t>Total Income</t>
  </si>
  <si>
    <t>Administrative expenses</t>
  </si>
  <si>
    <t>Impairment of financial assets</t>
  </si>
  <si>
    <t>Profit before taxation</t>
  </si>
  <si>
    <t>Taxation</t>
  </si>
  <si>
    <t>Profit for the year</t>
  </si>
  <si>
    <t>Total comprehensive income</t>
  </si>
  <si>
    <t>Other comprehensive expense</t>
  </si>
  <si>
    <t xml:space="preserve">Units </t>
  </si>
  <si>
    <t>pence per share</t>
  </si>
  <si>
    <t>Loans and advances to customers</t>
  </si>
  <si>
    <t>Fair value adjustments on hedged assets</t>
  </si>
  <si>
    <t>Derivative assets</t>
  </si>
  <si>
    <t>Other assets</t>
  </si>
  <si>
    <t>Current taxation asset</t>
  </si>
  <si>
    <t>Deferred taxation assets</t>
  </si>
  <si>
    <t>Property, plant and equipment</t>
  </si>
  <si>
    <t>Non-current assets held for sale</t>
  </si>
  <si>
    <t>Amounts owed to credit institutions</t>
  </si>
  <si>
    <t>Amounts owed to retail depositors</t>
  </si>
  <si>
    <t>Fair value adjustments on hedged liabilities</t>
  </si>
  <si>
    <t>Amounts owed to other customers</t>
  </si>
  <si>
    <t>Debt securities in issue</t>
  </si>
  <si>
    <t>Derivative liabilities</t>
  </si>
  <si>
    <t>Lease liabilities</t>
  </si>
  <si>
    <t>Other liabilities</t>
  </si>
  <si>
    <t>Senior notes</t>
  </si>
  <si>
    <t>Subordinated debt liabilities</t>
  </si>
  <si>
    <t>Share capital</t>
  </si>
  <si>
    <t>Share premium</t>
  </si>
  <si>
    <t>Other equity instruments</t>
  </si>
  <si>
    <t>Retained earnings</t>
  </si>
  <si>
    <t>Other reserves</t>
  </si>
  <si>
    <t>Residential redemption rate</t>
  </si>
  <si>
    <t>BTL redemption rate</t>
  </si>
  <si>
    <t>BTL origination growth rate</t>
  </si>
  <si>
    <t>Residential origination growth rate</t>
  </si>
  <si>
    <t>Buy-to-Let</t>
  </si>
  <si>
    <t>Asset finance</t>
  </si>
  <si>
    <t xml:space="preserve">Funding lines </t>
  </si>
  <si>
    <t xml:space="preserve">BTL spread </t>
  </si>
  <si>
    <t>Residential spread</t>
  </si>
  <si>
    <t>Commercial spread</t>
  </si>
  <si>
    <t>Asset Finance spread</t>
  </si>
  <si>
    <t>Commercial origination growth rate</t>
  </si>
  <si>
    <t>Commercial redemption rate</t>
  </si>
  <si>
    <t>Asset Finance origination growth rate</t>
  </si>
  <si>
    <t>Asset Finance redemption rate</t>
  </si>
  <si>
    <t>Asset Spreads over SONIA</t>
  </si>
  <si>
    <t xml:space="preserve">Residential development </t>
  </si>
  <si>
    <t>Asset Schedule - OSB</t>
  </si>
  <si>
    <t>Residential</t>
  </si>
  <si>
    <t>Loan Book Assumptions - OSB</t>
  </si>
  <si>
    <t>Residential development origination growth rate</t>
  </si>
  <si>
    <t>Residential development redemption rate</t>
  </si>
  <si>
    <t>Loan Book Assumptions - CCFS</t>
  </si>
  <si>
    <t>Asset Schedule - CCFS + Total</t>
  </si>
  <si>
    <t>OSB and CCFS Total</t>
  </si>
  <si>
    <t>Total Closing Loan Book Position</t>
  </si>
  <si>
    <t>Year-on-year growth rate</t>
  </si>
  <si>
    <t>Funding assumptions</t>
  </si>
  <si>
    <t>Retail deposit spread</t>
  </si>
  <si>
    <t>Retail deposit cost</t>
  </si>
  <si>
    <t>Deposit growth rate</t>
  </si>
  <si>
    <t>Central bank funding</t>
  </si>
  <si>
    <t>Securitisation issuance</t>
  </si>
  <si>
    <t xml:space="preserve">ILTR spread </t>
  </si>
  <si>
    <t>ILTR cost</t>
  </si>
  <si>
    <t>Senior notes - beginning of period</t>
  </si>
  <si>
    <t>Senior notes - end of period</t>
  </si>
  <si>
    <t>Senior notes - average balance</t>
  </si>
  <si>
    <t>Subordinated debt liabilities - start of period</t>
  </si>
  <si>
    <t>Subordinated debt liabilities - end of period</t>
  </si>
  <si>
    <t>Subordinated debt liabilities -average balance</t>
  </si>
  <si>
    <t xml:space="preserve">Subordinated debt liabilties </t>
  </si>
  <si>
    <t>* Redeems in 2028 - then goes to a reference rate</t>
  </si>
  <si>
    <t>Senior notes - 2028 redemption</t>
  </si>
  <si>
    <t>Senior notes - 2030 redemption</t>
  </si>
  <si>
    <t>* Reset Sep 2027 - redemption is 2028</t>
  </si>
  <si>
    <t>* Reset for 2029</t>
  </si>
  <si>
    <t>ILTR issuance</t>
  </si>
  <si>
    <t>ILTR redemption</t>
  </si>
  <si>
    <t>Debt Securities in issue - Opening Balance</t>
  </si>
  <si>
    <t>Debt Securities in issue - Closing Balance</t>
  </si>
  <si>
    <t>Debt Securities in issue - Average Balance</t>
  </si>
  <si>
    <t>Amortization / redemption</t>
  </si>
  <si>
    <t>New securitisation issuance</t>
  </si>
  <si>
    <t>Securitisation redemption</t>
  </si>
  <si>
    <t>Senior notes - redemption</t>
  </si>
  <si>
    <t>Senior notes - issuance</t>
  </si>
  <si>
    <t>Subordinated debt - issuance</t>
  </si>
  <si>
    <t>Subordinated debt - redemption</t>
  </si>
  <si>
    <t>Central bank - average funding</t>
  </si>
  <si>
    <t>Commercial repo - closing balance</t>
  </si>
  <si>
    <t>Commercial repo - average balance</t>
  </si>
  <si>
    <t>Total funding</t>
  </si>
  <si>
    <t>Interest-earning assets - OSB</t>
  </si>
  <si>
    <t>Average residential lending</t>
  </si>
  <si>
    <t>Residential asset yield</t>
  </si>
  <si>
    <t>Average BTL lending</t>
  </si>
  <si>
    <t>BTL asset yield</t>
  </si>
  <si>
    <t>Residential interest income</t>
  </si>
  <si>
    <t>Average residential development  lending</t>
  </si>
  <si>
    <t>Residential development  asset yield</t>
  </si>
  <si>
    <t>Residential development interest income</t>
  </si>
  <si>
    <t>Avergae commercial lending</t>
  </si>
  <si>
    <t>Average asset finance lending</t>
  </si>
  <si>
    <t>Asset finance asset yield</t>
  </si>
  <si>
    <t>Asset finance interest income</t>
  </si>
  <si>
    <t>Residential development spread</t>
  </si>
  <si>
    <t>Funding line interest income</t>
  </si>
  <si>
    <t>Interest-earning assets - CCFS</t>
  </si>
  <si>
    <t>One savings bank</t>
  </si>
  <si>
    <t>CCFS</t>
  </si>
  <si>
    <t>BTL spread</t>
  </si>
  <si>
    <t>BTL interest income</t>
  </si>
  <si>
    <t>CCFS interest income</t>
  </si>
  <si>
    <t>OSB interest income</t>
  </si>
  <si>
    <t>NII schedule - interest income</t>
  </si>
  <si>
    <t xml:space="preserve">Average debt securities </t>
  </si>
  <si>
    <t>Debt securities cost</t>
  </si>
  <si>
    <t>Debt securities interest expense</t>
  </si>
  <si>
    <t>Senior notes funding cost</t>
  </si>
  <si>
    <t>Senior notes interest expense</t>
  </si>
  <si>
    <t>Average senior notes</t>
  </si>
  <si>
    <t xml:space="preserve">Average subordinated debt </t>
  </si>
  <si>
    <t>Subordinated debt funding cost</t>
  </si>
  <si>
    <t>Subordinated debt interest expense</t>
  </si>
  <si>
    <t>Average senior debt coupon</t>
  </si>
  <si>
    <t>Repo spread</t>
  </si>
  <si>
    <t>Repo cost</t>
  </si>
  <si>
    <t>Securitisation spread</t>
  </si>
  <si>
    <t>Liquidity / Treasury asset schedule</t>
  </si>
  <si>
    <t>NII schedule - interest payable + NIM</t>
  </si>
  <si>
    <t>Credit / Impairment schedule</t>
  </si>
  <si>
    <t>BTL lending</t>
  </si>
  <si>
    <t>BTL cost of risk</t>
  </si>
  <si>
    <t>BTL impairment charge</t>
  </si>
  <si>
    <t>Average Residential lending</t>
  </si>
  <si>
    <t>Residential cost of risk</t>
  </si>
  <si>
    <t>Residential impairment charge</t>
  </si>
  <si>
    <t>Credit, Capital and RWA assumptions</t>
  </si>
  <si>
    <t>Residential development cost of risk</t>
  </si>
  <si>
    <t>Asset Finance cost of risk</t>
  </si>
  <si>
    <t>Residential development</t>
  </si>
  <si>
    <t>Average residential development lending</t>
  </si>
  <si>
    <t>Residential development impairment charge</t>
  </si>
  <si>
    <t>Commercial</t>
  </si>
  <si>
    <t>Average commercial lending</t>
  </si>
  <si>
    <t>Asset finance cost of risk</t>
  </si>
  <si>
    <t>Asset Finance (inc. funding lines)</t>
  </si>
  <si>
    <t>BTL - CCFS cost of risk</t>
  </si>
  <si>
    <t>Residential - CCFS cost of risk</t>
  </si>
  <si>
    <t>OSB impairment charge</t>
  </si>
  <si>
    <t>CCFS impairment charge</t>
  </si>
  <si>
    <t>Depreciation and Amortization schedule</t>
  </si>
  <si>
    <t>Support costs</t>
  </si>
  <si>
    <t>Facilities</t>
  </si>
  <si>
    <t>Marketing costs</t>
  </si>
  <si>
    <t>Amortisation</t>
  </si>
  <si>
    <t>Professional fees</t>
  </si>
  <si>
    <t>Other expense/income assumption</t>
  </si>
  <si>
    <t>Wage inflation</t>
  </si>
  <si>
    <t>Fair value adjustment to loans</t>
  </si>
  <si>
    <t>Gain / (loss) on financial assets</t>
  </si>
  <si>
    <t>OSB - Residential - Closing Balance</t>
  </si>
  <si>
    <t>CCFS - Residential - Closing Balance</t>
  </si>
  <si>
    <t>Risk-weighted assets</t>
  </si>
  <si>
    <t>BTL RWA density</t>
  </si>
  <si>
    <t>OSB - BTL - Closing Balance</t>
  </si>
  <si>
    <t>CCFS - BTL - Closing Balance</t>
  </si>
  <si>
    <t>Closing BTL Loans</t>
  </si>
  <si>
    <t>Residential Development - Closing Balance</t>
  </si>
  <si>
    <t>Residential Development RWA density</t>
  </si>
  <si>
    <t xml:space="preserve">Residential development RWA density </t>
  </si>
  <si>
    <t>Asset Finance - Closing Balance</t>
  </si>
  <si>
    <t>Asset Finance RWA density</t>
  </si>
  <si>
    <t>Asset Finance RWAs</t>
  </si>
  <si>
    <t>Residential Development RWAs</t>
  </si>
  <si>
    <t>BTL RWAs</t>
  </si>
  <si>
    <t>Mortgage RWAs</t>
  </si>
  <si>
    <t>Commercial - Closing Balance</t>
  </si>
  <si>
    <t>Commercial RWAs</t>
  </si>
  <si>
    <t>Capital / RWA schedule</t>
  </si>
  <si>
    <t>Depreciation on 2029 capex</t>
  </si>
  <si>
    <t>Depreciation on 2030 capex</t>
  </si>
  <si>
    <t>Amortization on 2029 capex</t>
  </si>
  <si>
    <t>Amortization on 2030 capex</t>
  </si>
  <si>
    <t>Capital expenditure growth rate</t>
  </si>
  <si>
    <t>Useful life of PP&amp;E and intangibles</t>
  </si>
  <si>
    <t>years</t>
  </si>
  <si>
    <t>Amount owed to credit institutions</t>
  </si>
  <si>
    <t>Other customer deposits</t>
  </si>
  <si>
    <t>Average Other Customer Deposits</t>
  </si>
  <si>
    <t>Closing Other Customer Deposits</t>
  </si>
  <si>
    <t>Other customer deposits growth / (closure)</t>
  </si>
  <si>
    <t>Average retail deposits (including other customer deposits)</t>
  </si>
  <si>
    <t>Equity assumptions</t>
  </si>
  <si>
    <t>Dividend payout ratio</t>
  </si>
  <si>
    <t>Share buybacks</t>
  </si>
  <si>
    <t>Cash and cash equivalents</t>
  </si>
  <si>
    <t>Cash yield</t>
  </si>
  <si>
    <t xml:space="preserve">Investment security spread </t>
  </si>
  <si>
    <t>Investment security yield</t>
  </si>
  <si>
    <t>Tax Rate</t>
  </si>
  <si>
    <t>Target CET1 requirement</t>
  </si>
  <si>
    <t>Target CET1 capital</t>
  </si>
  <si>
    <t>Executive Summary / Key Metrics</t>
  </si>
  <si>
    <t>Key Metrics</t>
  </si>
  <si>
    <t xml:space="preserve">Loan Book </t>
  </si>
  <si>
    <t>Loan Growth Rate</t>
  </si>
  <si>
    <t>NII</t>
  </si>
  <si>
    <t>Cost-to-income</t>
  </si>
  <si>
    <t>Cost of risk</t>
  </si>
  <si>
    <t>PBT</t>
  </si>
  <si>
    <t>RoTE</t>
  </si>
  <si>
    <t>CET1 ratio</t>
  </si>
  <si>
    <t>Dividend</t>
  </si>
  <si>
    <t>Normalized PP&amp;E capital expenditure</t>
  </si>
  <si>
    <t>Operational RWA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</si>
</sst>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[$-F800]dddd\,\ mmmm\ dd\,\ yyyy"/>
    <numFmt numFmtId="165" formatCode="0.0"/>
    <numFmt numFmtId="166" formatCode="0.0&quot;p&quot;"/>
    <numFmt numFmtId="167" formatCode="0.0%"/>
    <numFmt numFmtId="168" formatCode="#,##0.0;\(#,##0.0\);\-"/>
    <numFmt numFmtId="169" formatCode="&quot;£&quot;#,##0.0;\(&quot;£&quot;#,##0.0\);\-"/>
    <numFmt numFmtId="170" formatCode="&quot;£&quot;#,##0.0"/>
    <numFmt numFmtId="171" formatCode="&quot;£&quot;#,##0.00"/>
    <numFmt numFmtId="172" formatCode="&quot;FY&quot;0"/>
    <numFmt numFmtId="173" formatCode="0&quot;bps&quot;"/>
    <numFmt numFmtId="174" formatCode="0&quot;A&quot;"/>
    <numFmt numFmtId="175" formatCode="0&quot;F&quot;"/>
    <numFmt numFmtId="176" formatCode="0.000%"/>
    <numFmt numFmtId="177" formatCode="0\ &quot;years&quot;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/>
    <xf numFmtId="0" fontId="2" fillId="0" borderId="1" xfId="0" applyFont="1" applyBorder="1"/>
    <xf numFmtId="9" fontId="0" fillId="0" borderId="0" xfId="1" applyFont="1"/>
    <xf numFmtId="0" fontId="4" fillId="0" borderId="0" xfId="0" applyFont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166" fontId="5" fillId="0" borderId="0" xfId="0" applyNumberFormat="1" applyFont="1"/>
    <xf numFmtId="167" fontId="0" fillId="0" borderId="0" xfId="1" applyNumberFormat="1" applyFont="1" applyBorder="1"/>
    <xf numFmtId="1" fontId="0" fillId="0" borderId="0" xfId="0" applyNumberFormat="1"/>
    <xf numFmtId="168" fontId="0" fillId="0" borderId="0" xfId="0" applyNumberFormat="1"/>
    <xf numFmtId="168" fontId="2" fillId="0" borderId="0" xfId="0" applyNumberFormat="1" applyFont="1"/>
    <xf numFmtId="169" fontId="0" fillId="0" borderId="0" xfId="0" applyNumberFormat="1"/>
    <xf numFmtId="169" fontId="4" fillId="0" borderId="0" xfId="0" applyNumberFormat="1" applyFont="1"/>
    <xf numFmtId="169" fontId="4" fillId="0" borderId="2" xfId="0" applyNumberFormat="1" applyFont="1" applyBorder="1"/>
    <xf numFmtId="169" fontId="0" fillId="0" borderId="2" xfId="0" applyNumberFormat="1" applyBorder="1"/>
    <xf numFmtId="169" fontId="4" fillId="0" borderId="1" xfId="0" applyNumberFormat="1" applyFont="1" applyBorder="1"/>
    <xf numFmtId="169" fontId="0" fillId="0" borderId="1" xfId="0" applyNumberFormat="1" applyBorder="1"/>
    <xf numFmtId="0" fontId="0" fillId="0" borderId="3" xfId="0" applyBorder="1"/>
    <xf numFmtId="169" fontId="4" fillId="0" borderId="3" xfId="0" applyNumberFormat="1" applyFont="1" applyBorder="1"/>
    <xf numFmtId="169" fontId="0" fillId="0" borderId="3" xfId="0" applyNumberFormat="1" applyBorder="1"/>
    <xf numFmtId="170" fontId="0" fillId="0" borderId="0" xfId="0" applyNumberFormat="1"/>
    <xf numFmtId="171" fontId="0" fillId="0" borderId="0" xfId="0" applyNumberFormat="1"/>
    <xf numFmtId="167" fontId="1" fillId="0" borderId="0" xfId="1" applyNumberFormat="1" applyFont="1" applyBorder="1"/>
    <xf numFmtId="9" fontId="0" fillId="0" borderId="1" xfId="1" applyFont="1" applyBorder="1"/>
    <xf numFmtId="169" fontId="2" fillId="0" borderId="0" xfId="0" applyNumberFormat="1" applyFont="1"/>
    <xf numFmtId="167" fontId="0" fillId="0" borderId="0" xfId="1" applyNumberFormat="1" applyFont="1"/>
    <xf numFmtId="169" fontId="2" fillId="0" borderId="2" xfId="0" applyNumberFormat="1" applyFont="1" applyBorder="1"/>
    <xf numFmtId="172" fontId="2" fillId="0" borderId="0" xfId="1" applyNumberFormat="1" applyFont="1"/>
    <xf numFmtId="10" fontId="0" fillId="0" borderId="0" xfId="1" applyNumberFormat="1" applyFont="1"/>
    <xf numFmtId="170" fontId="0" fillId="0" borderId="2" xfId="0" applyNumberFormat="1" applyBorder="1"/>
    <xf numFmtId="167" fontId="0" fillId="0" borderId="1" xfId="1" applyNumberFormat="1" applyFont="1" applyBorder="1"/>
    <xf numFmtId="10" fontId="0" fillId="0" borderId="1" xfId="1" applyNumberFormat="1" applyFont="1" applyBorder="1"/>
    <xf numFmtId="170" fontId="2" fillId="0" borderId="0" xfId="0" applyNumberFormat="1" applyFont="1"/>
    <xf numFmtId="10" fontId="2" fillId="0" borderId="0" xfId="1" applyNumberFormat="1" applyFont="1"/>
    <xf numFmtId="167" fontId="2" fillId="0" borderId="1" xfId="1" applyNumberFormat="1" applyFont="1" applyBorder="1"/>
    <xf numFmtId="10" fontId="1" fillId="0" borderId="1" xfId="1" applyNumberFormat="1" applyFont="1" applyBorder="1"/>
    <xf numFmtId="173" fontId="2" fillId="0" borderId="0" xfId="0" applyNumberFormat="1" applyFont="1"/>
    <xf numFmtId="165" fontId="4" fillId="0" borderId="1" xfId="0" applyNumberFormat="1" applyFont="1" applyBorder="1"/>
    <xf numFmtId="169" fontId="7" fillId="0" borderId="0" xfId="0" applyNumberFormat="1" applyFont="1"/>
    <xf numFmtId="169" fontId="8" fillId="0" borderId="0" xfId="0" applyNumberFormat="1" applyFont="1"/>
    <xf numFmtId="170" fontId="0" fillId="0" borderId="1" xfId="0" applyNumberFormat="1" applyBorder="1"/>
    <xf numFmtId="9" fontId="0" fillId="0" borderId="0" xfId="1" applyFont="1" applyFill="1" applyBorder="1"/>
    <xf numFmtId="167" fontId="2" fillId="0" borderId="0" xfId="1" applyNumberFormat="1" applyFont="1"/>
    <xf numFmtId="173" fontId="0" fillId="0" borderId="1" xfId="0" applyNumberFormat="1" applyBorder="1"/>
    <xf numFmtId="170" fontId="4" fillId="0" borderId="0" xfId="0" applyNumberFormat="1" applyFont="1"/>
    <xf numFmtId="174" fontId="2" fillId="0" borderId="1" xfId="0" applyNumberFormat="1" applyFont="1" applyBorder="1"/>
    <xf numFmtId="175" fontId="2" fillId="0" borderId="1" xfId="0" applyNumberFormat="1" applyFont="1" applyBorder="1"/>
    <xf numFmtId="0" fontId="2" fillId="0" borderId="3" xfId="0" applyFont="1" applyBorder="1"/>
    <xf numFmtId="170" fontId="2" fillId="0" borderId="3" xfId="0" applyNumberFormat="1" applyFont="1" applyBorder="1"/>
    <xf numFmtId="10" fontId="4" fillId="0" borderId="0" xfId="1" applyNumberFormat="1" applyFont="1"/>
    <xf numFmtId="172" fontId="6" fillId="0" borderId="0" xfId="1" applyNumberFormat="1" applyFont="1"/>
    <xf numFmtId="9" fontId="4" fillId="0" borderId="0" xfId="1" applyFont="1"/>
    <xf numFmtId="167" fontId="4" fillId="0" borderId="0" xfId="1" applyNumberFormat="1" applyFont="1"/>
    <xf numFmtId="1" fontId="4" fillId="0" borderId="0" xfId="1" applyNumberFormat="1" applyFont="1"/>
    <xf numFmtId="1" fontId="4" fillId="0" borderId="0" xfId="0" applyNumberFormat="1" applyFont="1"/>
    <xf numFmtId="173" fontId="4" fillId="0" borderId="0" xfId="0" applyNumberFormat="1" applyFont="1"/>
    <xf numFmtId="170" fontId="2" fillId="0" borderId="2" xfId="0" applyNumberFormat="1" applyFont="1" applyBorder="1"/>
    <xf numFmtId="10" fontId="1" fillId="0" borderId="0" xfId="1" applyNumberFormat="1" applyFont="1"/>
    <xf numFmtId="9" fontId="4" fillId="0" borderId="0" xfId="1" applyFont="1" applyFill="1"/>
    <xf numFmtId="10" fontId="4" fillId="0" borderId="0" xfId="1" applyNumberFormat="1" applyFont="1" applyFill="1"/>
    <xf numFmtId="167" fontId="4" fillId="0" borderId="0" xfId="1" applyNumberFormat="1" applyFont="1" applyFill="1"/>
    <xf numFmtId="174" fontId="2" fillId="0" borderId="0" xfId="0" applyNumberFormat="1" applyFont="1"/>
    <xf numFmtId="175" fontId="2" fillId="0" borderId="0" xfId="0" applyNumberFormat="1" applyFont="1"/>
    <xf numFmtId="167" fontId="4" fillId="3" borderId="0" xfId="1" applyNumberFormat="1" applyFont="1" applyFill="1"/>
    <xf numFmtId="169" fontId="9" fillId="0" borderId="3" xfId="0" applyNumberFormat="1" applyFont="1" applyBorder="1"/>
    <xf numFmtId="169" fontId="8" fillId="0" borderId="3" xfId="0" applyNumberFormat="1" applyFont="1" applyBorder="1"/>
    <xf numFmtId="0" fontId="2" fillId="0" borderId="0" xfId="0" applyFont="1" applyAlignment="1">
      <alignment horizontal="centerContinuous"/>
    </xf>
    <xf numFmtId="174" fontId="2" fillId="0" borderId="0" xfId="0" applyNumberFormat="1" applyFont="1" applyAlignment="1">
      <alignment horizontal="centerContinuous"/>
    </xf>
    <xf numFmtId="175" fontId="2" fillId="0" borderId="0" xfId="0" applyNumberFormat="1" applyFont="1" applyAlignment="1">
      <alignment horizontal="centerContinuous"/>
    </xf>
    <xf numFmtId="10" fontId="2" fillId="0" borderId="0" xfId="1" applyNumberFormat="1" applyFont="1" applyBorder="1"/>
    <xf numFmtId="176" fontId="4" fillId="0" borderId="0" xfId="1" applyNumberFormat="1" applyFont="1" applyFill="1"/>
    <xf numFmtId="169" fontId="4" fillId="2" borderId="2" xfId="0" applyNumberFormat="1" applyFont="1" applyFill="1" applyBorder="1"/>
    <xf numFmtId="169" fontId="4" fillId="2" borderId="1" xfId="0" applyNumberFormat="1" applyFont="1" applyFill="1" applyBorder="1"/>
    <xf numFmtId="176" fontId="8" fillId="0" borderId="0" xfId="1" applyNumberFormat="1" applyFont="1" applyFill="1"/>
    <xf numFmtId="10" fontId="9" fillId="0" borderId="0" xfId="1" applyNumberFormat="1" applyFont="1" applyFill="1"/>
    <xf numFmtId="169" fontId="0" fillId="2" borderId="2" xfId="0" applyNumberFormat="1" applyFill="1" applyBorder="1"/>
    <xf numFmtId="169" fontId="0" fillId="2" borderId="1" xfId="0" applyNumberFormat="1" applyFill="1" applyBorder="1"/>
    <xf numFmtId="169" fontId="2" fillId="0" borderId="1" xfId="0" applyNumberFormat="1" applyFont="1" applyBorder="1"/>
    <xf numFmtId="170" fontId="2" fillId="0" borderId="1" xfId="0" applyNumberFormat="1" applyFont="1" applyBorder="1"/>
    <xf numFmtId="10" fontId="8" fillId="0" borderId="0" xfId="1" applyNumberFormat="1" applyFont="1" applyFill="1"/>
    <xf numFmtId="10" fontId="1" fillId="0" borderId="0" xfId="1" applyNumberFormat="1" applyFont="1" applyFill="1"/>
    <xf numFmtId="169" fontId="8" fillId="0" borderId="1" xfId="0" applyNumberFormat="1" applyFont="1" applyBorder="1"/>
    <xf numFmtId="177" fontId="4" fillId="0" borderId="0" xfId="0" applyNumberFormat="1" applyFont="1"/>
    <xf numFmtId="169" fontId="8" fillId="0" borderId="2" xfId="0" applyNumberFormat="1" applyFont="1" applyBorder="1"/>
    <xf numFmtId="170" fontId="4" fillId="0" borderId="3" xfId="0" applyNumberFormat="1" applyFont="1" applyBorder="1"/>
    <xf numFmtId="10" fontId="1" fillId="0" borderId="0" xfId="1" applyNumberFormat="1" applyFont="1" applyBorder="1"/>
    <xf numFmtId="17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8FFD-10C2-4AE9-904F-88D2A28BAA10}">
  <dimension ref="B2:B5"/>
  <sheetViews>
    <sheetView showGridLines="0" tabSelected="1" workbookViewId="0">
      <selection activeCell="B3" sqref="B3"/>
    </sheetView>
  </sheetViews>
  <sheetFormatPr defaultRowHeight="14.4" x14ac:dyDescent="0.3"/>
  <cols>
    <col min="2" max="2" width="50.77734375" customWidth="1"/>
  </cols>
  <sheetData>
    <row r="2" spans="2:2" ht="25.8" x14ac:dyDescent="0.5">
      <c r="B2" s="1" t="s">
        <v>145</v>
      </c>
    </row>
    <row r="4" spans="2:2" x14ac:dyDescent="0.3">
      <c r="B4" t="s">
        <v>0</v>
      </c>
    </row>
    <row r="5" spans="2:2" x14ac:dyDescent="0.3">
      <c r="B5" s="2">
        <f>DATE(2026, 9, 29)</f>
        <v>46294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BE84-BC98-4EF8-8B10-DF23F73FD3D0}">
  <dimension ref="B2:J124"/>
  <sheetViews>
    <sheetView showGridLines="0" topLeftCell="A12" workbookViewId="0">
      <selection activeCell="A56" sqref="A56"/>
    </sheetView>
  </sheetViews>
  <sheetFormatPr defaultRowHeight="14.4" x14ac:dyDescent="0.3"/>
  <cols>
    <col min="2" max="2" width="41.77734375" bestFit="1" customWidth="1"/>
    <col min="3" max="3" width="10.77734375" customWidth="1"/>
    <col min="7" max="7" width="9.109375" bestFit="1" customWidth="1"/>
  </cols>
  <sheetData>
    <row r="2" spans="2:10" ht="25.8" x14ac:dyDescent="0.5">
      <c r="B2" s="3" t="str">
        <f>Cover!$B$2</f>
        <v>OSB</v>
      </c>
      <c r="C2" s="3"/>
      <c r="D2" s="3"/>
      <c r="E2" s="4"/>
      <c r="F2" s="4"/>
      <c r="G2" s="4"/>
      <c r="H2" s="4"/>
      <c r="I2" s="4"/>
      <c r="J2" s="4"/>
    </row>
    <row r="3" spans="2:10" x14ac:dyDescent="0.3">
      <c r="B3" s="4" t="s">
        <v>32</v>
      </c>
      <c r="C3" s="4"/>
      <c r="D3" s="4"/>
      <c r="E3" s="4"/>
      <c r="F3" s="4"/>
      <c r="G3" s="4"/>
      <c r="H3" s="4"/>
      <c r="I3" s="4"/>
      <c r="J3" s="4"/>
    </row>
    <row r="5" spans="2:10" x14ac:dyDescent="0.3">
      <c r="C5" t="s">
        <v>2</v>
      </c>
      <c r="D5" s="33">
        <v>2026</v>
      </c>
      <c r="E5" s="33">
        <f>D5+1</f>
        <v>2027</v>
      </c>
      <c r="F5" s="33">
        <f t="shared" ref="F5" si="0">E5+1</f>
        <v>2028</v>
      </c>
      <c r="G5" s="33">
        <f t="shared" ref="G5" si="1">F5+1</f>
        <v>2029</v>
      </c>
      <c r="H5" s="33">
        <f t="shared" ref="H5" si="2">G5+1</f>
        <v>2030</v>
      </c>
    </row>
    <row r="6" spans="2:10" x14ac:dyDescent="0.3">
      <c r="B6" s="5" t="s">
        <v>72</v>
      </c>
      <c r="D6" s="33"/>
      <c r="E6" s="33"/>
      <c r="F6" s="33"/>
    </row>
    <row r="7" spans="2:10" x14ac:dyDescent="0.3">
      <c r="B7" s="5"/>
      <c r="D7" s="33"/>
      <c r="E7" s="33"/>
      <c r="F7" s="33"/>
    </row>
    <row r="8" spans="2:10" x14ac:dyDescent="0.3">
      <c r="B8" t="s">
        <v>55</v>
      </c>
      <c r="C8" t="s">
        <v>47</v>
      </c>
      <c r="D8" s="55">
        <v>3.7499999999999999E-2</v>
      </c>
      <c r="E8" s="55">
        <v>4.4999999999999998E-2</v>
      </c>
      <c r="F8" s="55">
        <v>3.5000000000000003E-2</v>
      </c>
      <c r="G8" s="55">
        <v>0.03</v>
      </c>
      <c r="H8" s="55">
        <v>2.5000000000000001E-2</v>
      </c>
    </row>
    <row r="9" spans="2:10" x14ac:dyDescent="0.3">
      <c r="B9" t="s">
        <v>54</v>
      </c>
      <c r="C9" t="s">
        <v>47</v>
      </c>
      <c r="D9" s="55">
        <v>3.9E-2</v>
      </c>
      <c r="E9" s="55">
        <v>4.65E-2</v>
      </c>
      <c r="F9" s="55">
        <v>3.6499999999999998E-2</v>
      </c>
      <c r="G9" s="55">
        <v>3.15E-2</v>
      </c>
      <c r="H9" s="55">
        <v>2.6499999999999999E-2</v>
      </c>
    </row>
    <row r="10" spans="2:10" x14ac:dyDescent="0.3">
      <c r="B10" t="s">
        <v>133</v>
      </c>
      <c r="C10" t="s">
        <v>47</v>
      </c>
      <c r="D10" s="55">
        <v>3.2500000000000001E-2</v>
      </c>
      <c r="E10" s="55">
        <v>3.5000000000000003E-2</v>
      </c>
      <c r="F10" s="55">
        <v>2.75E-2</v>
      </c>
      <c r="G10" s="55">
        <v>2.5000000000000001E-2</v>
      </c>
      <c r="H10" s="55">
        <v>2.5000000000000001E-2</v>
      </c>
    </row>
    <row r="11" spans="2:10" x14ac:dyDescent="0.3">
      <c r="D11" s="56"/>
      <c r="E11" s="56"/>
      <c r="F11" s="56"/>
    </row>
    <row r="12" spans="2:10" x14ac:dyDescent="0.3">
      <c r="B12" s="5" t="s">
        <v>200</v>
      </c>
      <c r="D12" s="56"/>
      <c r="E12" s="56"/>
      <c r="F12" s="56"/>
    </row>
    <row r="13" spans="2:10" x14ac:dyDescent="0.3">
      <c r="D13" s="8"/>
      <c r="E13" s="8"/>
      <c r="F13" s="8"/>
    </row>
    <row r="14" spans="2:10" x14ac:dyDescent="0.3">
      <c r="B14" t="s">
        <v>183</v>
      </c>
      <c r="C14" t="s">
        <v>47</v>
      </c>
      <c r="D14" s="57">
        <v>-0.02</v>
      </c>
      <c r="E14" s="57">
        <v>-0.02</v>
      </c>
      <c r="F14" s="57">
        <v>-0.02</v>
      </c>
      <c r="G14" s="57">
        <v>-0.02</v>
      </c>
      <c r="H14" s="57">
        <v>0</v>
      </c>
    </row>
    <row r="15" spans="2:10" x14ac:dyDescent="0.3">
      <c r="B15" t="s">
        <v>182</v>
      </c>
      <c r="C15" t="s">
        <v>47</v>
      </c>
      <c r="D15" s="58">
        <v>0.09</v>
      </c>
      <c r="E15" s="58">
        <v>0.09</v>
      </c>
      <c r="F15" s="58">
        <v>0.09</v>
      </c>
      <c r="G15" s="58">
        <v>0.09</v>
      </c>
      <c r="H15" s="58">
        <v>0.09</v>
      </c>
    </row>
    <row r="16" spans="2:10" x14ac:dyDescent="0.3">
      <c r="B16" t="s">
        <v>184</v>
      </c>
      <c r="C16" t="s">
        <v>47</v>
      </c>
      <c r="D16" s="58">
        <v>-0.5</v>
      </c>
      <c r="E16" s="58">
        <v>-0.5</v>
      </c>
      <c r="F16" s="69"/>
      <c r="G16" s="69"/>
      <c r="H16" s="69"/>
    </row>
    <row r="17" spans="2:8" x14ac:dyDescent="0.3">
      <c r="B17" t="s">
        <v>181</v>
      </c>
      <c r="C17" t="s">
        <v>47</v>
      </c>
      <c r="D17" s="58">
        <v>0.17499999999999999</v>
      </c>
      <c r="E17" s="58">
        <v>0.17499999999999999</v>
      </c>
      <c r="F17" s="58">
        <v>0.17499999999999999</v>
      </c>
      <c r="G17" s="58">
        <v>0.17499999999999999</v>
      </c>
      <c r="H17" s="58">
        <v>0.17499999999999999</v>
      </c>
    </row>
    <row r="18" spans="2:8" x14ac:dyDescent="0.3">
      <c r="B18" t="s">
        <v>201</v>
      </c>
      <c r="C18" t="s">
        <v>47</v>
      </c>
      <c r="D18" s="57">
        <v>0.2</v>
      </c>
      <c r="E18" s="57">
        <v>0.15</v>
      </c>
      <c r="F18" s="57">
        <v>0.12</v>
      </c>
      <c r="G18" s="57">
        <v>0.08</v>
      </c>
      <c r="H18" s="57">
        <v>0.06</v>
      </c>
    </row>
    <row r="19" spans="2:8" x14ac:dyDescent="0.3">
      <c r="B19" t="s">
        <v>202</v>
      </c>
      <c r="C19" t="s">
        <v>47</v>
      </c>
      <c r="D19" s="57">
        <v>0.75</v>
      </c>
      <c r="E19" s="57">
        <v>0.75</v>
      </c>
      <c r="F19" s="57">
        <v>0.75</v>
      </c>
      <c r="G19" s="8">
        <v>0.75</v>
      </c>
      <c r="H19" s="8">
        <v>0.75</v>
      </c>
    </row>
    <row r="20" spans="2:8" x14ac:dyDescent="0.3">
      <c r="B20" t="s">
        <v>192</v>
      </c>
      <c r="C20" t="s">
        <v>47</v>
      </c>
      <c r="D20" s="57">
        <v>0.1</v>
      </c>
      <c r="E20" s="57">
        <v>0.1</v>
      </c>
      <c r="F20" s="57">
        <v>0.08</v>
      </c>
      <c r="G20" s="57">
        <v>0.06</v>
      </c>
      <c r="H20" s="57">
        <v>0.06</v>
      </c>
    </row>
    <row r="21" spans="2:8" x14ac:dyDescent="0.3">
      <c r="B21" t="s">
        <v>193</v>
      </c>
      <c r="C21" t="s">
        <v>47</v>
      </c>
      <c r="D21" s="57">
        <v>0.15</v>
      </c>
      <c r="E21" s="57">
        <v>0.15</v>
      </c>
      <c r="F21" s="57">
        <v>0.17</v>
      </c>
      <c r="G21" s="57">
        <v>0.19</v>
      </c>
      <c r="H21" s="57">
        <v>0.2</v>
      </c>
    </row>
    <row r="22" spans="2:8" x14ac:dyDescent="0.3">
      <c r="B22" t="s">
        <v>194</v>
      </c>
      <c r="C22" t="s">
        <v>47</v>
      </c>
      <c r="D22" s="57">
        <v>0.25</v>
      </c>
      <c r="E22" s="57">
        <v>0.2</v>
      </c>
      <c r="F22" s="57">
        <v>0.15</v>
      </c>
      <c r="G22" s="57">
        <v>0.12</v>
      </c>
      <c r="H22" s="57">
        <v>0.1</v>
      </c>
    </row>
    <row r="23" spans="2:8" x14ac:dyDescent="0.3">
      <c r="B23" t="s">
        <v>195</v>
      </c>
      <c r="C23" t="s">
        <v>47</v>
      </c>
      <c r="D23" s="57">
        <v>0.33</v>
      </c>
      <c r="E23" s="57">
        <v>0.33</v>
      </c>
      <c r="F23" s="57">
        <v>0.33</v>
      </c>
      <c r="G23" s="57">
        <v>0.33</v>
      </c>
      <c r="H23" s="57">
        <v>0.33</v>
      </c>
    </row>
    <row r="24" spans="2:8" x14ac:dyDescent="0.3">
      <c r="D24" s="57"/>
      <c r="E24" s="57"/>
      <c r="F24" s="57"/>
      <c r="G24" s="57"/>
      <c r="H24" s="57"/>
    </row>
    <row r="25" spans="2:8" x14ac:dyDescent="0.3">
      <c r="B25" s="5" t="s">
        <v>203</v>
      </c>
      <c r="D25" s="57"/>
      <c r="E25" s="57"/>
      <c r="F25" s="57"/>
      <c r="G25" s="57"/>
      <c r="H25" s="57"/>
    </row>
    <row r="26" spans="2:8" x14ac:dyDescent="0.3">
      <c r="B26" s="5"/>
      <c r="D26" s="57"/>
      <c r="E26" s="57"/>
      <c r="F26" s="57"/>
      <c r="G26" s="57"/>
      <c r="H26" s="57"/>
    </row>
    <row r="27" spans="2:8" x14ac:dyDescent="0.3">
      <c r="B27" t="s">
        <v>183</v>
      </c>
      <c r="C27" t="s">
        <v>47</v>
      </c>
      <c r="D27" s="57">
        <v>0</v>
      </c>
      <c r="E27" s="57">
        <v>0</v>
      </c>
      <c r="F27" s="57">
        <v>0</v>
      </c>
      <c r="G27" s="57">
        <v>0</v>
      </c>
      <c r="H27" s="57">
        <v>0</v>
      </c>
    </row>
    <row r="28" spans="2:8" x14ac:dyDescent="0.3">
      <c r="B28" t="s">
        <v>182</v>
      </c>
      <c r="C28" t="s">
        <v>47</v>
      </c>
      <c r="D28" s="58">
        <v>0.08</v>
      </c>
      <c r="E28" s="58">
        <v>0.08</v>
      </c>
      <c r="F28" s="58">
        <v>0.08</v>
      </c>
      <c r="G28" s="58">
        <v>0.08</v>
      </c>
      <c r="H28" s="58">
        <v>0.08</v>
      </c>
    </row>
    <row r="29" spans="2:8" x14ac:dyDescent="0.3">
      <c r="B29" t="s">
        <v>184</v>
      </c>
      <c r="C29" t="s">
        <v>47</v>
      </c>
      <c r="D29" s="58">
        <v>0.1</v>
      </c>
      <c r="E29" s="58">
        <v>0.1</v>
      </c>
      <c r="F29" s="58">
        <v>0.1</v>
      </c>
      <c r="G29" s="58">
        <v>0.1</v>
      </c>
      <c r="H29" s="58">
        <v>0.1</v>
      </c>
    </row>
    <row r="30" spans="2:8" x14ac:dyDescent="0.3">
      <c r="B30" t="s">
        <v>181</v>
      </c>
      <c r="C30" t="s">
        <v>47</v>
      </c>
      <c r="D30" s="58">
        <v>0.17499999999999999</v>
      </c>
      <c r="E30" s="58">
        <v>0.17499999999999999</v>
      </c>
      <c r="F30" s="58">
        <v>0.17499999999999999</v>
      </c>
      <c r="G30" s="58">
        <v>0.17499999999999999</v>
      </c>
      <c r="H30" s="58">
        <v>0.17499999999999999</v>
      </c>
    </row>
    <row r="31" spans="2:8" x14ac:dyDescent="0.3">
      <c r="D31" s="59"/>
      <c r="E31" s="60"/>
      <c r="F31" s="60"/>
    </row>
    <row r="32" spans="2:8" x14ac:dyDescent="0.3">
      <c r="B32" s="5" t="s">
        <v>196</v>
      </c>
      <c r="D32" s="64"/>
      <c r="E32" s="64"/>
      <c r="F32" s="64"/>
    </row>
    <row r="33" spans="2:8" x14ac:dyDescent="0.3">
      <c r="B33" s="5"/>
      <c r="D33" s="64"/>
      <c r="E33" s="64"/>
      <c r="F33" s="64"/>
    </row>
    <row r="34" spans="2:8" x14ac:dyDescent="0.3">
      <c r="B34" t="s">
        <v>260</v>
      </c>
      <c r="D34" s="64"/>
      <c r="E34" s="64"/>
      <c r="F34" s="64"/>
    </row>
    <row r="35" spans="2:8" x14ac:dyDescent="0.3">
      <c r="B35" s="5"/>
      <c r="D35" s="64"/>
      <c r="E35" s="64"/>
      <c r="F35" s="64"/>
    </row>
    <row r="36" spans="2:8" x14ac:dyDescent="0.3">
      <c r="B36" t="s">
        <v>188</v>
      </c>
      <c r="C36" t="s">
        <v>47</v>
      </c>
      <c r="D36" s="65">
        <v>2.2499999999999999E-2</v>
      </c>
      <c r="E36" s="65">
        <v>2.2499999999999999E-2</v>
      </c>
      <c r="F36" s="65">
        <v>2.2499999999999999E-2</v>
      </c>
      <c r="G36" s="65">
        <v>2.2499999999999999E-2</v>
      </c>
      <c r="H36" s="65">
        <v>2.2499999999999999E-2</v>
      </c>
    </row>
    <row r="37" spans="2:8" x14ac:dyDescent="0.3">
      <c r="B37" t="s">
        <v>189</v>
      </c>
      <c r="C37" t="s">
        <v>47</v>
      </c>
      <c r="D37" s="66">
        <v>0.02</v>
      </c>
      <c r="E37" s="66">
        <v>0.02</v>
      </c>
      <c r="F37" s="66">
        <v>0.02</v>
      </c>
      <c r="G37" s="66">
        <v>0.02</v>
      </c>
      <c r="H37" s="66">
        <v>0.02</v>
      </c>
    </row>
    <row r="38" spans="2:8" x14ac:dyDescent="0.3">
      <c r="B38" t="s">
        <v>257</v>
      </c>
      <c r="C38" t="s">
        <v>47</v>
      </c>
      <c r="D38" s="66">
        <v>0.06</v>
      </c>
      <c r="E38" s="66">
        <v>0.06</v>
      </c>
      <c r="F38" s="66">
        <v>0.06</v>
      </c>
      <c r="G38" s="66">
        <v>0.06</v>
      </c>
      <c r="H38" s="66">
        <v>0.06</v>
      </c>
    </row>
    <row r="39" spans="2:8" x14ac:dyDescent="0.3">
      <c r="B39" t="s">
        <v>190</v>
      </c>
      <c r="C39" t="s">
        <v>47</v>
      </c>
      <c r="D39" s="66">
        <v>0.04</v>
      </c>
      <c r="E39" s="66">
        <v>0.04</v>
      </c>
      <c r="F39" s="66">
        <v>0.04</v>
      </c>
      <c r="G39" s="66">
        <v>0.04</v>
      </c>
      <c r="H39" s="66">
        <v>0.04</v>
      </c>
    </row>
    <row r="40" spans="2:8" x14ac:dyDescent="0.3">
      <c r="B40" t="s">
        <v>191</v>
      </c>
      <c r="C40" t="s">
        <v>47</v>
      </c>
      <c r="D40" s="66">
        <v>4.4999999999999998E-2</v>
      </c>
      <c r="E40" s="66">
        <v>4.4999999999999998E-2</v>
      </c>
      <c r="F40" s="66">
        <v>4.4999999999999998E-2</v>
      </c>
      <c r="G40" s="66">
        <v>4.4999999999999998E-2</v>
      </c>
      <c r="H40" s="66">
        <v>4.4999999999999998E-2</v>
      </c>
    </row>
    <row r="41" spans="2:8" x14ac:dyDescent="0.3">
      <c r="D41" s="66"/>
      <c r="E41" s="66"/>
      <c r="F41" s="66"/>
      <c r="G41" s="66"/>
      <c r="H41" s="66"/>
    </row>
    <row r="42" spans="2:8" x14ac:dyDescent="0.3">
      <c r="B42" t="s">
        <v>261</v>
      </c>
      <c r="D42" s="66"/>
      <c r="E42" s="66"/>
      <c r="F42" s="66"/>
      <c r="G42" s="66"/>
      <c r="H42" s="66"/>
    </row>
    <row r="43" spans="2:8" x14ac:dyDescent="0.3">
      <c r="D43" s="66"/>
      <c r="E43" s="66"/>
      <c r="F43" s="66"/>
      <c r="G43" s="66"/>
      <c r="H43" s="66"/>
    </row>
    <row r="44" spans="2:8" x14ac:dyDescent="0.3">
      <c r="B44" t="s">
        <v>262</v>
      </c>
      <c r="C44" t="s">
        <v>47</v>
      </c>
      <c r="D44" s="65">
        <v>2.2499999999999999E-2</v>
      </c>
      <c r="E44" s="65">
        <v>2.2499999999999999E-2</v>
      </c>
      <c r="F44" s="65">
        <v>2.2499999999999999E-2</v>
      </c>
      <c r="G44" s="65">
        <v>2.2499999999999999E-2</v>
      </c>
      <c r="H44" s="65">
        <v>2.2499999999999999E-2</v>
      </c>
    </row>
    <row r="45" spans="2:8" x14ac:dyDescent="0.3">
      <c r="B45" t="s">
        <v>189</v>
      </c>
      <c r="C45" t="s">
        <v>47</v>
      </c>
      <c r="D45" s="66">
        <v>2.5000000000000001E-2</v>
      </c>
      <c r="E45" s="66">
        <v>2.5000000000000001E-2</v>
      </c>
      <c r="F45" s="66">
        <v>2.5000000000000001E-2</v>
      </c>
      <c r="G45" s="66">
        <v>2.5000000000000001E-2</v>
      </c>
      <c r="H45" s="66">
        <v>2.5000000000000001E-2</v>
      </c>
    </row>
    <row r="46" spans="2:8" x14ac:dyDescent="0.3">
      <c r="D46" s="18"/>
      <c r="E46" s="18"/>
      <c r="F46" s="18"/>
    </row>
    <row r="47" spans="2:8" x14ac:dyDescent="0.3">
      <c r="B47" s="5" t="s">
        <v>208</v>
      </c>
      <c r="D47" s="64"/>
      <c r="E47" s="64"/>
      <c r="F47" s="64"/>
    </row>
    <row r="48" spans="2:8" x14ac:dyDescent="0.3">
      <c r="D48" s="8"/>
      <c r="E48" s="8"/>
      <c r="F48" s="8"/>
    </row>
    <row r="49" spans="2:10" x14ac:dyDescent="0.3">
      <c r="B49" t="s">
        <v>211</v>
      </c>
      <c r="C49" t="s">
        <v>47</v>
      </c>
      <c r="D49" s="66">
        <v>0.02</v>
      </c>
      <c r="E49" s="66">
        <v>0.02</v>
      </c>
      <c r="F49" s="66">
        <v>0.02</v>
      </c>
      <c r="G49" s="66">
        <v>0.02</v>
      </c>
      <c r="H49" s="66">
        <v>0.02</v>
      </c>
    </row>
    <row r="50" spans="2:10" x14ac:dyDescent="0.3">
      <c r="B50" t="s">
        <v>209</v>
      </c>
      <c r="C50" t="s">
        <v>47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</row>
    <row r="51" spans="2:10" x14ac:dyDescent="0.3">
      <c r="B51" t="s">
        <v>210</v>
      </c>
      <c r="C51" t="s">
        <v>47</v>
      </c>
      <c r="D51" s="86">
        <f>D9+D50</f>
        <v>3.9E-2</v>
      </c>
      <c r="E51" s="86">
        <f>E9+E50</f>
        <v>4.65E-2</v>
      </c>
      <c r="F51" s="86">
        <f>F9+F50</f>
        <v>3.6499999999999998E-2</v>
      </c>
      <c r="G51" s="86">
        <f>G9+G50</f>
        <v>3.15E-2</v>
      </c>
      <c r="H51" s="86">
        <f>H9+H50</f>
        <v>2.6499999999999999E-2</v>
      </c>
    </row>
    <row r="52" spans="2:10" x14ac:dyDescent="0.3">
      <c r="D52" s="65"/>
      <c r="E52" s="65"/>
      <c r="F52" s="65"/>
    </row>
    <row r="53" spans="2:10" x14ac:dyDescent="0.3">
      <c r="B53" t="s">
        <v>235</v>
      </c>
      <c r="C53" t="s">
        <v>47</v>
      </c>
      <c r="D53" s="65">
        <v>0.2</v>
      </c>
      <c r="E53" s="65">
        <v>0.2</v>
      </c>
      <c r="F53" s="65">
        <v>0.2</v>
      </c>
      <c r="G53" s="65">
        <v>0.2</v>
      </c>
      <c r="H53" s="65">
        <v>0.2</v>
      </c>
    </row>
    <row r="54" spans="2:10" x14ac:dyDescent="0.3">
      <c r="B54" t="s">
        <v>279</v>
      </c>
      <c r="C54" t="s">
        <v>47</v>
      </c>
      <c r="D54" s="65">
        <v>0.01</v>
      </c>
      <c r="E54" s="65">
        <v>0.01</v>
      </c>
      <c r="F54" s="65">
        <v>0.01</v>
      </c>
      <c r="G54" s="65">
        <v>0.01</v>
      </c>
      <c r="H54" s="65">
        <v>0.01</v>
      </c>
    </row>
    <row r="55" spans="2:10" x14ac:dyDescent="0.3">
      <c r="B55" t="s">
        <v>213</v>
      </c>
      <c r="C55" t="s">
        <v>46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</row>
    <row r="56" spans="2:10" x14ac:dyDescent="0.3">
      <c r="D56" s="65"/>
      <c r="E56" s="65"/>
      <c r="F56" s="65"/>
    </row>
    <row r="57" spans="2:10" x14ac:dyDescent="0.3">
      <c r="B57" t="s">
        <v>214</v>
      </c>
      <c r="C57" t="s">
        <v>47</v>
      </c>
      <c r="D57" s="65">
        <v>1.5E-3</v>
      </c>
      <c r="E57" s="65">
        <v>1.5E-3</v>
      </c>
      <c r="F57" s="65">
        <v>1.5E-3</v>
      </c>
      <c r="G57" s="65">
        <v>1.5E-3</v>
      </c>
      <c r="H57" s="65">
        <v>1.5E-3</v>
      </c>
    </row>
    <row r="58" spans="2:10" x14ac:dyDescent="0.3">
      <c r="B58" t="s">
        <v>215</v>
      </c>
      <c r="C58" t="s">
        <v>47</v>
      </c>
      <c r="D58" s="86">
        <f>D57+D8</f>
        <v>3.9E-2</v>
      </c>
      <c r="E58" s="86">
        <f>E57+E8</f>
        <v>4.65E-2</v>
      </c>
      <c r="F58" s="86">
        <f>F57+F8</f>
        <v>3.6500000000000005E-2</v>
      </c>
      <c r="G58" s="86">
        <f>G57+G8</f>
        <v>3.15E-2</v>
      </c>
      <c r="H58" s="86">
        <f>H57+H8</f>
        <v>2.6500000000000003E-2</v>
      </c>
    </row>
    <row r="59" spans="2:10" x14ac:dyDescent="0.3">
      <c r="B59" t="s">
        <v>228</v>
      </c>
      <c r="C59" t="s">
        <v>46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</row>
    <row r="60" spans="2:10" x14ac:dyDescent="0.3">
      <c r="B60" t="s">
        <v>229</v>
      </c>
      <c r="C60" t="s">
        <v>46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</row>
    <row r="61" spans="2:10" x14ac:dyDescent="0.3">
      <c r="D61" s="65"/>
      <c r="E61" s="65"/>
      <c r="F61" s="65"/>
      <c r="G61" s="65"/>
      <c r="H61" s="65"/>
    </row>
    <row r="62" spans="2:10" x14ac:dyDescent="0.3">
      <c r="B62" t="s">
        <v>236</v>
      </c>
      <c r="C62" t="s">
        <v>46</v>
      </c>
      <c r="D62" s="50">
        <v>0</v>
      </c>
      <c r="E62" s="50">
        <v>300</v>
      </c>
      <c r="F62" s="50">
        <v>0</v>
      </c>
      <c r="G62" s="50">
        <v>400</v>
      </c>
      <c r="H62" s="50">
        <v>0</v>
      </c>
    </row>
    <row r="63" spans="2:10" x14ac:dyDescent="0.3">
      <c r="B63" t="s">
        <v>237</v>
      </c>
      <c r="C63" t="s">
        <v>46</v>
      </c>
      <c r="D63" s="50">
        <v>0</v>
      </c>
      <c r="E63" s="50">
        <v>350</v>
      </c>
      <c r="F63" s="50">
        <v>0</v>
      </c>
      <c r="G63" s="50">
        <v>450</v>
      </c>
      <c r="H63" s="50">
        <v>0</v>
      </c>
    </row>
    <row r="64" spans="2:10" x14ac:dyDescent="0.3">
      <c r="B64" t="s">
        <v>224</v>
      </c>
      <c r="C64" t="s">
        <v>47</v>
      </c>
      <c r="D64" s="65">
        <v>9.5000000000000001E-2</v>
      </c>
      <c r="E64" s="65">
        <v>9.5000000000000001E-2</v>
      </c>
      <c r="F64" s="80">
        <f>F9+0.04985</f>
        <v>8.6349999999999996E-2</v>
      </c>
      <c r="G64" s="85">
        <f>F64</f>
        <v>8.6349999999999996E-2</v>
      </c>
      <c r="H64" s="85">
        <f>G64</f>
        <v>8.6349999999999996E-2</v>
      </c>
      <c r="J64" t="s">
        <v>226</v>
      </c>
    </row>
    <row r="65" spans="2:10" x14ac:dyDescent="0.3">
      <c r="B65" t="s">
        <v>225</v>
      </c>
      <c r="C65" t="s">
        <v>47</v>
      </c>
      <c r="D65" s="76">
        <v>8.8749999999999996E-2</v>
      </c>
      <c r="E65" s="76">
        <v>8.8749999999999996E-2</v>
      </c>
      <c r="F65" s="76">
        <v>8.8749999999999996E-2</v>
      </c>
      <c r="G65" s="79">
        <f>G9+0.05252</f>
        <v>8.4019999999999997E-2</v>
      </c>
      <c r="H65" s="85">
        <f>G65</f>
        <v>8.4019999999999997E-2</v>
      </c>
      <c r="J65" t="s">
        <v>227</v>
      </c>
    </row>
    <row r="66" spans="2:10" x14ac:dyDescent="0.3">
      <c r="B66" t="s">
        <v>276</v>
      </c>
      <c r="D66" s="58">
        <v>9.0999999999999998E-2</v>
      </c>
      <c r="E66" s="58">
        <v>9.0999999999999998E-2</v>
      </c>
      <c r="F66" s="58">
        <v>8.6999999999999994E-2</v>
      </c>
      <c r="G66" s="58">
        <v>8.5000000000000006E-2</v>
      </c>
      <c r="H66" s="58">
        <v>8.5000000000000006E-2</v>
      </c>
    </row>
    <row r="67" spans="2:10" x14ac:dyDescent="0.3">
      <c r="D67" s="58"/>
      <c r="E67" s="58"/>
      <c r="F67" s="58"/>
    </row>
    <row r="68" spans="2:10" x14ac:dyDescent="0.3">
      <c r="B68" t="s">
        <v>222</v>
      </c>
      <c r="C68" t="s">
        <v>47</v>
      </c>
      <c r="D68" s="55">
        <v>9.9299999999999999E-2</v>
      </c>
      <c r="E68" s="55">
        <v>9.9299999999999999E-2</v>
      </c>
      <c r="F68" s="55">
        <v>9.9299999999999999E-2</v>
      </c>
      <c r="G68" s="55">
        <v>9.9299999999999999E-2</v>
      </c>
      <c r="H68" s="55">
        <v>9.9299999999999999E-2</v>
      </c>
      <c r="J68" t="s">
        <v>223</v>
      </c>
    </row>
    <row r="69" spans="2:10" x14ac:dyDescent="0.3">
      <c r="B69" t="s">
        <v>238</v>
      </c>
      <c r="C69" t="s">
        <v>46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</row>
    <row r="70" spans="2:10" x14ac:dyDescent="0.3">
      <c r="B70" t="s">
        <v>239</v>
      </c>
      <c r="C70" t="s">
        <v>46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</row>
    <row r="71" spans="2:10" x14ac:dyDescent="0.3">
      <c r="D71" s="55"/>
      <c r="E71" s="55"/>
      <c r="F71" s="55"/>
    </row>
    <row r="72" spans="2:10" x14ac:dyDescent="0.3">
      <c r="B72" t="s">
        <v>277</v>
      </c>
      <c r="C72" t="s">
        <v>47</v>
      </c>
      <c r="D72" s="57">
        <v>0.02</v>
      </c>
      <c r="E72" s="57">
        <v>0.02</v>
      </c>
      <c r="F72" s="57">
        <v>0.02</v>
      </c>
      <c r="G72" s="57">
        <v>0.02</v>
      </c>
      <c r="H72" s="57">
        <v>0.02</v>
      </c>
    </row>
    <row r="73" spans="2:10" x14ac:dyDescent="0.3">
      <c r="B73" t="s">
        <v>278</v>
      </c>
      <c r="C73" t="s">
        <v>47</v>
      </c>
      <c r="D73" s="58">
        <f>D72+D9</f>
        <v>5.8999999999999997E-2</v>
      </c>
      <c r="E73" s="58">
        <f>E72+E9</f>
        <v>6.6500000000000004E-2</v>
      </c>
      <c r="F73" s="58">
        <f>F72+F9</f>
        <v>5.6499999999999995E-2</v>
      </c>
      <c r="G73" s="58">
        <f>G72+G9</f>
        <v>5.1500000000000004E-2</v>
      </c>
      <c r="H73" s="58">
        <f>H72+H9</f>
        <v>4.65E-2</v>
      </c>
    </row>
    <row r="74" spans="2:10" x14ac:dyDescent="0.3">
      <c r="D74" s="58"/>
      <c r="E74" s="58"/>
      <c r="F74" s="58"/>
      <c r="G74" s="58"/>
      <c r="H74" s="58"/>
    </row>
    <row r="75" spans="2:10" x14ac:dyDescent="0.3">
      <c r="B75" t="s">
        <v>349</v>
      </c>
      <c r="C75" t="s">
        <v>47</v>
      </c>
      <c r="D75" s="85">
        <f>D8</f>
        <v>3.7499999999999999E-2</v>
      </c>
      <c r="E75" s="85">
        <f>E8</f>
        <v>4.4999999999999998E-2</v>
      </c>
      <c r="F75" s="85">
        <f>F8</f>
        <v>3.5000000000000003E-2</v>
      </c>
      <c r="G75" s="85">
        <f>G8</f>
        <v>0.03</v>
      </c>
      <c r="H75" s="85">
        <f>H8</f>
        <v>2.5000000000000001E-2</v>
      </c>
    </row>
    <row r="76" spans="2:10" x14ac:dyDescent="0.3">
      <c r="B76" t="s">
        <v>350</v>
      </c>
      <c r="C76" t="s">
        <v>47</v>
      </c>
      <c r="D76" s="58">
        <v>0.01</v>
      </c>
      <c r="E76" s="58">
        <v>0.01</v>
      </c>
      <c r="F76" s="58">
        <v>0.01</v>
      </c>
      <c r="G76" s="58">
        <v>0.01</v>
      </c>
      <c r="H76" s="58">
        <v>0.01</v>
      </c>
    </row>
    <row r="77" spans="2:10" x14ac:dyDescent="0.3">
      <c r="B77" t="s">
        <v>351</v>
      </c>
      <c r="D77" s="55">
        <f>D76+D9</f>
        <v>4.9000000000000002E-2</v>
      </c>
      <c r="E77" s="55">
        <f>E76+E9</f>
        <v>5.6500000000000002E-2</v>
      </c>
      <c r="F77" s="55">
        <f>F76+F9</f>
        <v>4.65E-2</v>
      </c>
      <c r="G77" s="55">
        <f>G76+G9</f>
        <v>4.1500000000000002E-2</v>
      </c>
      <c r="H77" s="55">
        <f>H76+H9</f>
        <v>3.6499999999999998E-2</v>
      </c>
    </row>
    <row r="78" spans="2:10" x14ac:dyDescent="0.3">
      <c r="B78" s="5"/>
      <c r="D78" s="8"/>
      <c r="E78" s="8"/>
      <c r="F78" s="8"/>
    </row>
    <row r="79" spans="2:10" x14ac:dyDescent="0.3">
      <c r="B79" s="5" t="s">
        <v>289</v>
      </c>
      <c r="D79" s="8"/>
      <c r="E79" s="8"/>
      <c r="F79" s="8"/>
    </row>
    <row r="80" spans="2:10" x14ac:dyDescent="0.3">
      <c r="B80" s="5"/>
      <c r="D80" s="8"/>
      <c r="E80" s="8"/>
      <c r="F80" s="8"/>
    </row>
    <row r="81" spans="2:8" x14ac:dyDescent="0.3">
      <c r="B81" t="s">
        <v>260</v>
      </c>
      <c r="D81" s="8"/>
      <c r="E81" s="8"/>
      <c r="F81" s="8"/>
    </row>
    <row r="82" spans="2:8" x14ac:dyDescent="0.3">
      <c r="D82" s="61"/>
      <c r="E82" s="61"/>
      <c r="F82" s="61"/>
    </row>
    <row r="83" spans="2:8" x14ac:dyDescent="0.3">
      <c r="B83" t="s">
        <v>284</v>
      </c>
      <c r="C83" t="s">
        <v>76</v>
      </c>
      <c r="D83" s="61">
        <v>10</v>
      </c>
      <c r="E83" s="61">
        <v>10</v>
      </c>
      <c r="F83" s="61">
        <v>10</v>
      </c>
      <c r="G83" s="61">
        <v>10</v>
      </c>
      <c r="H83" s="61">
        <v>10</v>
      </c>
    </row>
    <row r="84" spans="2:8" x14ac:dyDescent="0.3">
      <c r="B84" t="s">
        <v>287</v>
      </c>
      <c r="C84" t="s">
        <v>76</v>
      </c>
      <c r="D84" s="61">
        <v>5</v>
      </c>
      <c r="E84" s="61">
        <v>5</v>
      </c>
      <c r="F84" s="61">
        <v>5</v>
      </c>
      <c r="G84" s="61">
        <v>5</v>
      </c>
      <c r="H84" s="61">
        <v>5</v>
      </c>
    </row>
    <row r="85" spans="2:8" x14ac:dyDescent="0.3">
      <c r="B85" t="s">
        <v>290</v>
      </c>
      <c r="C85" t="s">
        <v>76</v>
      </c>
      <c r="D85" s="61">
        <v>30</v>
      </c>
      <c r="E85" s="61">
        <v>30</v>
      </c>
      <c r="F85" s="61">
        <v>30</v>
      </c>
      <c r="G85" s="61">
        <v>30</v>
      </c>
      <c r="H85" s="61">
        <v>30</v>
      </c>
    </row>
    <row r="86" spans="2:8" x14ac:dyDescent="0.3">
      <c r="B86" t="s">
        <v>74</v>
      </c>
      <c r="C86" t="s">
        <v>76</v>
      </c>
      <c r="D86" s="61">
        <v>20</v>
      </c>
      <c r="E86" s="61">
        <v>20</v>
      </c>
      <c r="F86" s="61">
        <v>20</v>
      </c>
      <c r="G86" s="61">
        <v>20</v>
      </c>
      <c r="H86" s="61">
        <v>20</v>
      </c>
    </row>
    <row r="87" spans="2:8" x14ac:dyDescent="0.3">
      <c r="B87" t="s">
        <v>291</v>
      </c>
      <c r="C87" t="s">
        <v>76</v>
      </c>
      <c r="D87" s="61">
        <v>30</v>
      </c>
      <c r="E87" s="61">
        <v>30</v>
      </c>
      <c r="F87" s="61">
        <v>30</v>
      </c>
      <c r="G87" s="61">
        <v>30</v>
      </c>
      <c r="H87" s="61">
        <v>30</v>
      </c>
    </row>
    <row r="88" spans="2:8" x14ac:dyDescent="0.3">
      <c r="D88" s="55"/>
      <c r="E88" s="55"/>
      <c r="F88" s="55"/>
    </row>
    <row r="89" spans="2:8" x14ac:dyDescent="0.3">
      <c r="B89" t="s">
        <v>261</v>
      </c>
      <c r="D89" s="18"/>
      <c r="E89" s="18"/>
      <c r="F89" s="18"/>
    </row>
    <row r="90" spans="2:8" x14ac:dyDescent="0.3">
      <c r="D90" s="61"/>
      <c r="E90" s="61"/>
      <c r="F90" s="61"/>
    </row>
    <row r="91" spans="2:8" x14ac:dyDescent="0.3">
      <c r="B91" t="s">
        <v>284</v>
      </c>
      <c r="C91" t="s">
        <v>76</v>
      </c>
      <c r="D91" s="61">
        <v>10</v>
      </c>
      <c r="E91" s="61">
        <v>10</v>
      </c>
      <c r="F91" s="61">
        <v>10</v>
      </c>
      <c r="G91" s="61">
        <v>10</v>
      </c>
      <c r="H91" s="61">
        <v>10</v>
      </c>
    </row>
    <row r="92" spans="2:8" x14ac:dyDescent="0.3">
      <c r="B92" t="s">
        <v>287</v>
      </c>
      <c r="C92" t="s">
        <v>76</v>
      </c>
      <c r="D92" s="61">
        <v>10</v>
      </c>
      <c r="E92" s="61">
        <v>10</v>
      </c>
      <c r="F92" s="61">
        <v>10</v>
      </c>
      <c r="G92" s="61">
        <v>10</v>
      </c>
      <c r="H92" s="61">
        <v>10</v>
      </c>
    </row>
    <row r="93" spans="2:8" x14ac:dyDescent="0.3">
      <c r="D93" s="61"/>
      <c r="E93" s="61"/>
      <c r="F93" s="61"/>
      <c r="G93" s="61"/>
      <c r="H93" s="61"/>
    </row>
    <row r="94" spans="2:8" x14ac:dyDescent="0.3">
      <c r="B94" t="s">
        <v>315</v>
      </c>
      <c r="D94" s="61"/>
      <c r="E94" s="61"/>
      <c r="F94" s="61"/>
      <c r="G94" s="61"/>
      <c r="H94" s="61"/>
    </row>
    <row r="95" spans="2:8" x14ac:dyDescent="0.3">
      <c r="D95" s="61"/>
      <c r="E95" s="61"/>
      <c r="F95" s="61"/>
      <c r="G95" s="61"/>
      <c r="H95" s="61"/>
    </row>
    <row r="96" spans="2:8" x14ac:dyDescent="0.3">
      <c r="B96" t="s">
        <v>109</v>
      </c>
      <c r="C96" t="s">
        <v>47</v>
      </c>
      <c r="D96" s="57">
        <v>0.35</v>
      </c>
      <c r="E96" s="57">
        <v>0.35</v>
      </c>
      <c r="F96" s="57">
        <v>0.35</v>
      </c>
      <c r="G96" s="57">
        <v>0.35</v>
      </c>
      <c r="H96" s="57">
        <v>0.35</v>
      </c>
    </row>
    <row r="97" spans="2:8" x14ac:dyDescent="0.3">
      <c r="B97" t="s">
        <v>316</v>
      </c>
      <c r="C97" t="s">
        <v>47</v>
      </c>
      <c r="D97" s="57">
        <v>0.35</v>
      </c>
      <c r="E97" s="57">
        <v>0.35</v>
      </c>
      <c r="F97" s="57">
        <v>0.35</v>
      </c>
      <c r="G97" s="57">
        <v>0.35</v>
      </c>
      <c r="H97" s="57">
        <v>0.35</v>
      </c>
    </row>
    <row r="98" spans="2:8" x14ac:dyDescent="0.3">
      <c r="B98" t="s">
        <v>322</v>
      </c>
      <c r="C98" t="s">
        <v>47</v>
      </c>
      <c r="D98" s="57">
        <v>1.5</v>
      </c>
      <c r="E98" s="57">
        <v>1.5</v>
      </c>
      <c r="F98" s="57">
        <v>1.5</v>
      </c>
      <c r="G98" s="57">
        <v>1.5</v>
      </c>
      <c r="H98" s="57">
        <v>1.5</v>
      </c>
    </row>
    <row r="99" spans="2:8" x14ac:dyDescent="0.3">
      <c r="B99" t="s">
        <v>110</v>
      </c>
      <c r="C99" t="s">
        <v>47</v>
      </c>
      <c r="D99" s="57">
        <v>0.9</v>
      </c>
      <c r="E99" s="57">
        <v>0.9</v>
      </c>
      <c r="F99" s="57">
        <v>0.9</v>
      </c>
      <c r="G99" s="57">
        <v>0.9</v>
      </c>
      <c r="H99" s="57">
        <v>0.9</v>
      </c>
    </row>
    <row r="100" spans="2:8" x14ac:dyDescent="0.3">
      <c r="B100" t="s">
        <v>324</v>
      </c>
      <c r="C100" t="s">
        <v>47</v>
      </c>
      <c r="D100" s="57">
        <v>0.9</v>
      </c>
      <c r="E100" s="57">
        <v>0.9</v>
      </c>
      <c r="F100" s="57">
        <v>0.9</v>
      </c>
      <c r="G100" s="57">
        <v>0.9</v>
      </c>
      <c r="H100" s="57">
        <v>0.9</v>
      </c>
    </row>
    <row r="101" spans="2:8" x14ac:dyDescent="0.3">
      <c r="D101" s="55"/>
      <c r="E101" s="55"/>
      <c r="F101" s="55"/>
    </row>
    <row r="102" spans="2:8" x14ac:dyDescent="0.3">
      <c r="B102" t="s">
        <v>367</v>
      </c>
      <c r="C102" t="s">
        <v>46</v>
      </c>
      <c r="D102" s="50">
        <v>900</v>
      </c>
      <c r="E102" s="50">
        <v>900</v>
      </c>
      <c r="F102" s="50">
        <v>900</v>
      </c>
      <c r="G102" s="50">
        <v>900</v>
      </c>
      <c r="H102" s="50">
        <v>900</v>
      </c>
    </row>
    <row r="103" spans="2:8" x14ac:dyDescent="0.3">
      <c r="D103" s="55"/>
      <c r="E103" s="55"/>
      <c r="F103" s="55"/>
    </row>
    <row r="104" spans="2:8" x14ac:dyDescent="0.3">
      <c r="B104" s="5" t="s">
        <v>309</v>
      </c>
      <c r="D104" s="55"/>
      <c r="E104" s="55"/>
      <c r="F104" s="55"/>
    </row>
    <row r="105" spans="2:8" x14ac:dyDescent="0.3">
      <c r="B105" s="5"/>
      <c r="D105" s="55"/>
      <c r="E105" s="55"/>
      <c r="F105" s="55"/>
    </row>
    <row r="106" spans="2:8" x14ac:dyDescent="0.3">
      <c r="B106" t="s">
        <v>352</v>
      </c>
      <c r="C106" t="s">
        <v>47</v>
      </c>
      <c r="D106" s="57">
        <v>0.25</v>
      </c>
      <c r="E106" s="57">
        <v>0.25</v>
      </c>
      <c r="F106" s="57">
        <v>0.25</v>
      </c>
      <c r="G106" s="57">
        <v>0.25</v>
      </c>
      <c r="H106" s="57">
        <v>0.25</v>
      </c>
    </row>
    <row r="107" spans="2:8" x14ac:dyDescent="0.3">
      <c r="B107" t="s">
        <v>85</v>
      </c>
      <c r="C107" t="s">
        <v>47</v>
      </c>
      <c r="D107" s="55">
        <v>0.01</v>
      </c>
      <c r="E107" s="55">
        <v>0.01</v>
      </c>
      <c r="F107" s="55">
        <v>0.01</v>
      </c>
      <c r="G107" s="55">
        <v>0.01</v>
      </c>
      <c r="H107" s="55">
        <v>0.01</v>
      </c>
    </row>
    <row r="108" spans="2:8" x14ac:dyDescent="0.3">
      <c r="B108" t="s">
        <v>310</v>
      </c>
      <c r="C108" t="s">
        <v>47</v>
      </c>
      <c r="D108" s="55">
        <v>0.02</v>
      </c>
      <c r="E108" s="55">
        <v>0.02</v>
      </c>
      <c r="F108" s="55">
        <v>0.02</v>
      </c>
      <c r="G108" s="55">
        <v>0.02</v>
      </c>
      <c r="H108" s="55">
        <v>0.02</v>
      </c>
    </row>
    <row r="109" spans="2:8" x14ac:dyDescent="0.3">
      <c r="B109" t="s">
        <v>336</v>
      </c>
      <c r="C109" t="s">
        <v>47</v>
      </c>
      <c r="D109" s="55">
        <v>0.03</v>
      </c>
      <c r="E109" s="55">
        <v>0.03</v>
      </c>
      <c r="F109" s="55">
        <v>0.03</v>
      </c>
      <c r="G109" s="55">
        <v>0.03</v>
      </c>
      <c r="H109" s="55">
        <v>0.03</v>
      </c>
    </row>
    <row r="110" spans="2:8" x14ac:dyDescent="0.3">
      <c r="B110" t="s">
        <v>337</v>
      </c>
      <c r="C110" t="s">
        <v>338</v>
      </c>
      <c r="D110" s="88">
        <v>7</v>
      </c>
      <c r="E110" s="88">
        <v>7</v>
      </c>
      <c r="F110" s="88">
        <v>7</v>
      </c>
      <c r="G110" s="88">
        <v>7</v>
      </c>
      <c r="H110" s="88">
        <v>7</v>
      </c>
    </row>
    <row r="111" spans="2:8" x14ac:dyDescent="0.3">
      <c r="B111" t="s">
        <v>366</v>
      </c>
      <c r="C111" t="s">
        <v>46</v>
      </c>
      <c r="D111" s="50">
        <v>12</v>
      </c>
      <c r="E111" s="88"/>
      <c r="F111" s="88"/>
      <c r="G111" s="88"/>
      <c r="H111" s="88"/>
    </row>
    <row r="112" spans="2:8" x14ac:dyDescent="0.3">
      <c r="D112" s="18"/>
      <c r="E112" s="18"/>
      <c r="F112" s="18"/>
    </row>
    <row r="113" spans="2:8" x14ac:dyDescent="0.3">
      <c r="B113" s="5" t="s">
        <v>345</v>
      </c>
      <c r="D113" s="58"/>
      <c r="E113" s="58"/>
      <c r="F113" s="58"/>
    </row>
    <row r="114" spans="2:8" x14ac:dyDescent="0.3">
      <c r="D114" s="8"/>
      <c r="E114" s="8"/>
      <c r="F114" s="8"/>
    </row>
    <row r="115" spans="2:8" x14ac:dyDescent="0.3">
      <c r="B115" t="s">
        <v>346</v>
      </c>
      <c r="C115" t="s">
        <v>47</v>
      </c>
      <c r="D115" s="57">
        <v>0.4</v>
      </c>
      <c r="E115" s="57">
        <v>0.4</v>
      </c>
      <c r="F115" s="57">
        <v>0.4</v>
      </c>
      <c r="G115" s="57">
        <v>0.4</v>
      </c>
      <c r="H115" s="57">
        <v>0.4</v>
      </c>
    </row>
    <row r="116" spans="2:8" x14ac:dyDescent="0.3">
      <c r="D116" s="57"/>
      <c r="E116" s="8"/>
      <c r="F116" s="8"/>
    </row>
    <row r="117" spans="2:8" x14ac:dyDescent="0.3">
      <c r="D117" s="57"/>
      <c r="E117" s="8"/>
      <c r="F117" s="8"/>
    </row>
    <row r="118" spans="2:8" x14ac:dyDescent="0.3">
      <c r="D118" s="57"/>
      <c r="E118" s="8"/>
      <c r="F118" s="8"/>
    </row>
    <row r="119" spans="2:8" x14ac:dyDescent="0.3">
      <c r="D119" s="58"/>
      <c r="E119" s="8"/>
      <c r="F119" s="8"/>
    </row>
    <row r="120" spans="2:8" x14ac:dyDescent="0.3">
      <c r="D120" s="8"/>
      <c r="E120" s="8"/>
      <c r="F120" s="8"/>
    </row>
    <row r="121" spans="2:8" x14ac:dyDescent="0.3">
      <c r="B121" s="5"/>
      <c r="D121" s="8"/>
      <c r="E121" s="8"/>
      <c r="F121" s="8"/>
    </row>
    <row r="122" spans="2:8" x14ac:dyDescent="0.3">
      <c r="D122" s="8"/>
      <c r="E122" s="8"/>
      <c r="F122" s="8"/>
    </row>
    <row r="123" spans="2:8" x14ac:dyDescent="0.3">
      <c r="D123" s="57"/>
      <c r="E123" s="8"/>
      <c r="F123" s="8"/>
    </row>
    <row r="124" spans="2:8" x14ac:dyDescent="0.3">
      <c r="D124" s="18"/>
      <c r="E124" s="18"/>
      <c r="F124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95AF-FDE0-40AF-9B1D-946EE3A6BF23}">
  <dimension ref="B2:K574"/>
  <sheetViews>
    <sheetView showGridLines="0" topLeftCell="A147" zoomScale="79" zoomScaleNormal="100" workbookViewId="0">
      <selection activeCell="A78" sqref="A78"/>
    </sheetView>
  </sheetViews>
  <sheetFormatPr defaultRowHeight="14.4" x14ac:dyDescent="0.3"/>
  <cols>
    <col min="2" max="2" width="52.33203125" bestFit="1" customWidth="1"/>
    <col min="3" max="3" width="12.109375" bestFit="1" customWidth="1"/>
    <col min="5" max="6" width="9.5546875" bestFit="1" customWidth="1"/>
    <col min="7" max="7" width="10.6640625" bestFit="1" customWidth="1"/>
    <col min="8" max="9" width="9.5546875" bestFit="1" customWidth="1"/>
    <col min="10" max="11" width="10" bestFit="1" customWidth="1"/>
  </cols>
  <sheetData>
    <row r="2" spans="2:11" ht="25.8" x14ac:dyDescent="0.5">
      <c r="B2" s="3" t="str">
        <f>Cover!$B$2</f>
        <v>OSB</v>
      </c>
      <c r="C2" s="3"/>
      <c r="D2" s="4"/>
      <c r="E2" s="4"/>
      <c r="F2" s="4"/>
      <c r="G2" s="4"/>
      <c r="H2" s="4"/>
      <c r="I2" s="4"/>
      <c r="J2" s="4"/>
      <c r="K2" s="4"/>
    </row>
    <row r="3" spans="2:11" x14ac:dyDescent="0.3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</row>
    <row r="4" spans="2:11" x14ac:dyDescent="0.3">
      <c r="B4" s="4"/>
      <c r="C4" s="4"/>
      <c r="D4" s="4"/>
      <c r="E4" s="4"/>
      <c r="F4" s="4"/>
      <c r="G4" s="4"/>
      <c r="H4" s="4"/>
      <c r="I4" s="4"/>
    </row>
    <row r="5" spans="2:11" x14ac:dyDescent="0.3">
      <c r="B5" s="4"/>
      <c r="C5" s="4"/>
      <c r="D5" s="4"/>
      <c r="E5" s="4"/>
      <c r="F5" s="4"/>
      <c r="G5" s="4"/>
      <c r="H5" s="4"/>
      <c r="I5" s="4"/>
    </row>
    <row r="7" spans="2:11" x14ac:dyDescent="0.3">
      <c r="C7" t="s">
        <v>10</v>
      </c>
      <c r="E7" s="51">
        <v>2024</v>
      </c>
      <c r="F7" s="51">
        <v>2025</v>
      </c>
      <c r="G7" s="52">
        <f>F7+1</f>
        <v>2026</v>
      </c>
      <c r="H7" s="52">
        <f t="shared" ref="H7:I7" si="0">G7+1</f>
        <v>2027</v>
      </c>
      <c r="I7" s="52">
        <f t="shared" si="0"/>
        <v>2028</v>
      </c>
      <c r="J7" s="52">
        <f t="shared" ref="J7" si="1">I7+1</f>
        <v>2029</v>
      </c>
      <c r="K7" s="52">
        <f t="shared" ref="K7" si="2">J7+1</f>
        <v>2030</v>
      </c>
    </row>
    <row r="9" spans="2:11" x14ac:dyDescent="0.3">
      <c r="B9" s="7" t="s">
        <v>3</v>
      </c>
      <c r="E9" s="18">
        <v>2099.3000000000002</v>
      </c>
      <c r="F9" s="18">
        <v>1914.8</v>
      </c>
      <c r="G9" s="17">
        <f>G299</f>
        <v>1891.2294849999998</v>
      </c>
      <c r="H9" s="17">
        <f t="shared" ref="H9:K9" si="3">H299</f>
        <v>2178.4570633163257</v>
      </c>
      <c r="I9" s="17">
        <f t="shared" si="3"/>
        <v>1910.3192440177068</v>
      </c>
      <c r="J9" s="17">
        <f t="shared" si="3"/>
        <v>1791.1810438554146</v>
      </c>
      <c r="K9" s="17">
        <f t="shared" si="3"/>
        <v>1668.2096805812878</v>
      </c>
    </row>
    <row r="10" spans="2:11" x14ac:dyDescent="0.3">
      <c r="B10" t="s">
        <v>4</v>
      </c>
      <c r="E10" s="18">
        <v>-1432.9</v>
      </c>
      <c r="F10" s="18">
        <v>-1235.4000000000001</v>
      </c>
      <c r="G10" s="17">
        <f>-G337</f>
        <v>-1188.356659</v>
      </c>
      <c r="H10" s="17">
        <f t="shared" ref="H10:K10" si="4">-H337</f>
        <v>-1411.0323497300001</v>
      </c>
      <c r="I10" s="17">
        <f t="shared" si="4"/>
        <v>-1141.4169002806</v>
      </c>
      <c r="J10" s="17">
        <f t="shared" si="4"/>
        <v>-1011.313814175772</v>
      </c>
      <c r="K10" s="17">
        <f t="shared" si="4"/>
        <v>-879.94390851463868</v>
      </c>
    </row>
    <row r="11" spans="2:11" x14ac:dyDescent="0.3">
      <c r="B11" s="5" t="s">
        <v>5</v>
      </c>
      <c r="C11" s="5"/>
      <c r="D11" s="5"/>
      <c r="E11" s="44">
        <f t="shared" ref="E11" si="5">SUM(E9:E10)</f>
        <v>666.40000000000009</v>
      </c>
      <c r="F11" s="44">
        <f>SUM(F9:F10)</f>
        <v>679.39999999999986</v>
      </c>
      <c r="G11" s="38">
        <f t="shared" ref="G11:I11" si="6">SUM(G9:G10)</f>
        <v>702.8728259999998</v>
      </c>
      <c r="H11" s="38">
        <f t="shared" si="6"/>
        <v>767.42471358632565</v>
      </c>
      <c r="I11" s="38">
        <f t="shared" si="6"/>
        <v>768.90234373710678</v>
      </c>
      <c r="J11" s="38">
        <f t="shared" ref="J11" si="7">SUM(J9:J10)</f>
        <v>779.86722967964261</v>
      </c>
      <c r="K11" s="38">
        <f t="shared" ref="K11" si="8">SUM(K9:K10)</f>
        <v>788.26577206664911</v>
      </c>
    </row>
    <row r="12" spans="2:11" x14ac:dyDescent="0.3">
      <c r="E12" s="18"/>
      <c r="F12" s="18"/>
    </row>
    <row r="13" spans="2:11" x14ac:dyDescent="0.3">
      <c r="B13" t="s">
        <v>146</v>
      </c>
      <c r="E13" s="18">
        <v>-1.5</v>
      </c>
      <c r="F13" s="18">
        <v>-22.1</v>
      </c>
      <c r="G13" s="17">
        <f>G476</f>
        <v>0</v>
      </c>
      <c r="H13" s="17">
        <f t="shared" ref="H13:K13" si="9">H476</f>
        <v>0</v>
      </c>
      <c r="I13" s="17">
        <f t="shared" si="9"/>
        <v>0</v>
      </c>
      <c r="J13">
        <f t="shared" si="9"/>
        <v>0</v>
      </c>
      <c r="K13">
        <f t="shared" si="9"/>
        <v>0</v>
      </c>
    </row>
    <row r="14" spans="2:11" x14ac:dyDescent="0.3">
      <c r="B14" t="s">
        <v>147</v>
      </c>
      <c r="E14" s="18">
        <v>-2.4</v>
      </c>
      <c r="F14" s="18">
        <v>3.4</v>
      </c>
      <c r="G14" s="17">
        <f t="shared" ref="G14:K14" si="10">G477</f>
        <v>0</v>
      </c>
      <c r="H14" s="17">
        <f t="shared" si="10"/>
        <v>0</v>
      </c>
      <c r="I14" s="17">
        <f t="shared" si="10"/>
        <v>0</v>
      </c>
      <c r="J14">
        <f t="shared" si="10"/>
        <v>0</v>
      </c>
      <c r="K14">
        <f t="shared" si="10"/>
        <v>0</v>
      </c>
    </row>
    <row r="15" spans="2:11" x14ac:dyDescent="0.3">
      <c r="B15" s="9" t="s">
        <v>7</v>
      </c>
      <c r="C15" s="9"/>
      <c r="D15" s="9"/>
      <c r="E15" s="18">
        <v>4.7</v>
      </c>
      <c r="F15" s="18">
        <v>7.3</v>
      </c>
      <c r="G15" s="22">
        <f t="shared" ref="G15:K15" si="11">G478</f>
        <v>7.3</v>
      </c>
      <c r="H15" s="22">
        <f t="shared" si="11"/>
        <v>7.3</v>
      </c>
      <c r="I15" s="22">
        <f t="shared" si="11"/>
        <v>7.3</v>
      </c>
      <c r="J15" s="22">
        <f t="shared" si="11"/>
        <v>7.3</v>
      </c>
      <c r="K15" s="22">
        <f t="shared" si="11"/>
        <v>7.3</v>
      </c>
    </row>
    <row r="16" spans="2:11" x14ac:dyDescent="0.3">
      <c r="B16" s="5" t="s">
        <v>148</v>
      </c>
      <c r="C16" s="5"/>
      <c r="D16" s="5"/>
      <c r="E16" s="32">
        <f>SUM(E13:E15)+E11</f>
        <v>667.2</v>
      </c>
      <c r="F16" s="32">
        <f t="shared" ref="F16:K16" si="12">SUM(F13:F15)+F11</f>
        <v>667.99999999999989</v>
      </c>
      <c r="G16" s="32">
        <f t="shared" si="12"/>
        <v>710.17282599999976</v>
      </c>
      <c r="H16" s="32">
        <f t="shared" si="12"/>
        <v>774.72471358632561</v>
      </c>
      <c r="I16" s="32">
        <f t="shared" si="12"/>
        <v>776.20234373710673</v>
      </c>
      <c r="J16" s="32">
        <f t="shared" si="12"/>
        <v>787.16722967964256</v>
      </c>
      <c r="K16" s="32">
        <f t="shared" si="12"/>
        <v>795.56577206664906</v>
      </c>
    </row>
    <row r="17" spans="2:11" x14ac:dyDescent="0.3">
      <c r="B17" t="s">
        <v>149</v>
      </c>
      <c r="E17" s="18">
        <v>-258.10000000000002</v>
      </c>
      <c r="F17" s="18">
        <v>-270.10000000000002</v>
      </c>
      <c r="G17" s="30">
        <f>-G491</f>
        <v>-281.70585142857141</v>
      </c>
      <c r="H17" s="30">
        <f t="shared" ref="H17:K17" si="13">-H491</f>
        <v>-296.02400918457147</v>
      </c>
      <c r="I17" s="30">
        <f t="shared" si="13"/>
        <v>-309.94535788980261</v>
      </c>
      <c r="J17" s="30">
        <f t="shared" si="13"/>
        <v>-323.98766463704186</v>
      </c>
      <c r="K17" s="30">
        <f t="shared" si="13"/>
        <v>-338.43772997945672</v>
      </c>
    </row>
    <row r="18" spans="2:11" x14ac:dyDescent="0.3">
      <c r="B18" t="s">
        <v>9</v>
      </c>
      <c r="E18" s="18">
        <v>-2.7</v>
      </c>
      <c r="F18" s="18">
        <v>-2.4</v>
      </c>
      <c r="G18" s="18">
        <f>0</f>
        <v>0</v>
      </c>
      <c r="H18" s="18">
        <f>0</f>
        <v>0</v>
      </c>
      <c r="I18" s="18">
        <f>0</f>
        <v>0</v>
      </c>
      <c r="J18" s="18">
        <f>0</f>
        <v>0</v>
      </c>
      <c r="K18" s="18">
        <f>0</f>
        <v>0</v>
      </c>
    </row>
    <row r="19" spans="2:11" x14ac:dyDescent="0.3">
      <c r="B19" t="s">
        <v>150</v>
      </c>
      <c r="E19" s="18">
        <v>11.7</v>
      </c>
      <c r="F19" s="18">
        <v>-13</v>
      </c>
      <c r="G19" s="17">
        <f>-G419</f>
        <v>-29.383707124999994</v>
      </c>
      <c r="H19" s="17">
        <f t="shared" ref="H19:K19" si="14">-H419</f>
        <v>-31.525842415625</v>
      </c>
      <c r="I19" s="17">
        <f t="shared" si="14"/>
        <v>-33.47930137006562</v>
      </c>
      <c r="J19" s="17">
        <f t="shared" si="14"/>
        <v>-35.168603147464893</v>
      </c>
      <c r="K19" s="17">
        <f t="shared" si="14"/>
        <v>-36.63579893637619</v>
      </c>
    </row>
    <row r="20" spans="2:11" x14ac:dyDescent="0.3">
      <c r="B20" s="10" t="s">
        <v>151</v>
      </c>
      <c r="C20" s="10"/>
      <c r="D20" s="10"/>
      <c r="E20" s="32">
        <f>SUM(E16:E19)</f>
        <v>418.1</v>
      </c>
      <c r="F20" s="32">
        <f t="shared" ref="F20:K20" si="15">SUM(F16:F19)</f>
        <v>382.49999999999989</v>
      </c>
      <c r="G20" s="32">
        <f t="shared" si="15"/>
        <v>399.08326744642835</v>
      </c>
      <c r="H20" s="32">
        <f t="shared" si="15"/>
        <v>447.17486198612914</v>
      </c>
      <c r="I20" s="32">
        <f t="shared" si="15"/>
        <v>432.77768447723849</v>
      </c>
      <c r="J20" s="32">
        <f t="shared" si="15"/>
        <v>428.01096189513578</v>
      </c>
      <c r="K20" s="32">
        <f t="shared" si="15"/>
        <v>420.49224315081614</v>
      </c>
    </row>
    <row r="21" spans="2:11" x14ac:dyDescent="0.3">
      <c r="B21" t="s">
        <v>152</v>
      </c>
      <c r="E21" s="21">
        <v>-110</v>
      </c>
      <c r="F21" s="21">
        <v>-96.8</v>
      </c>
      <c r="G21" s="22">
        <f>-G20*Assumptions!D106</f>
        <v>-99.770816861607088</v>
      </c>
      <c r="H21" s="22">
        <f>-H20*Assumptions!E106</f>
        <v>-111.79371549653229</v>
      </c>
      <c r="I21" s="22">
        <f>-I20*Assumptions!F106</f>
        <v>-108.19442111930962</v>
      </c>
      <c r="J21" s="22">
        <f>-J20*Assumptions!G106</f>
        <v>-107.00274047378394</v>
      </c>
      <c r="K21" s="22">
        <f>-K20*Assumptions!H106</f>
        <v>-105.12306078770403</v>
      </c>
    </row>
    <row r="22" spans="2:11" x14ac:dyDescent="0.3">
      <c r="B22" s="10" t="s">
        <v>153</v>
      </c>
      <c r="C22" s="10"/>
      <c r="D22" s="10"/>
      <c r="E22" s="30">
        <f>SUM(E20:E21)</f>
        <v>308.10000000000002</v>
      </c>
      <c r="F22" s="30">
        <f t="shared" ref="F22:K22" si="16">SUM(F20:F21)</f>
        <v>285.69999999999987</v>
      </c>
      <c r="G22" s="30">
        <f t="shared" si="16"/>
        <v>299.31245058482125</v>
      </c>
      <c r="H22" s="30">
        <f t="shared" si="16"/>
        <v>335.38114648959686</v>
      </c>
      <c r="I22" s="30">
        <f t="shared" si="16"/>
        <v>324.5832633579289</v>
      </c>
      <c r="J22" s="30">
        <f t="shared" si="16"/>
        <v>321.00822142135183</v>
      </c>
      <c r="K22" s="30">
        <f t="shared" si="16"/>
        <v>315.36918236311209</v>
      </c>
    </row>
    <row r="23" spans="2:11" x14ac:dyDescent="0.3">
      <c r="B23" t="s">
        <v>155</v>
      </c>
      <c r="E23" s="18">
        <v>-0.1</v>
      </c>
      <c r="F23" s="18">
        <v>-0.7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</row>
    <row r="24" spans="2:11" x14ac:dyDescent="0.3">
      <c r="B24" s="10" t="s">
        <v>154</v>
      </c>
      <c r="C24" s="11"/>
      <c r="D24" s="11"/>
      <c r="E24" s="32">
        <f>SUM(E22:E23)</f>
        <v>308</v>
      </c>
      <c r="F24" s="32">
        <f t="shared" ref="F24:K24" si="17">SUM(F22:F23)</f>
        <v>284.99999999999989</v>
      </c>
      <c r="G24" s="32">
        <f t="shared" si="17"/>
        <v>299.31245058482125</v>
      </c>
      <c r="H24" s="32">
        <f t="shared" si="17"/>
        <v>335.38114648959686</v>
      </c>
      <c r="I24" s="32">
        <f t="shared" si="17"/>
        <v>324.5832633579289</v>
      </c>
      <c r="J24" s="32">
        <f t="shared" si="17"/>
        <v>321.00822142135183</v>
      </c>
      <c r="K24" s="32">
        <f t="shared" si="17"/>
        <v>315.36918236311209</v>
      </c>
    </row>
    <row r="26" spans="2:11" x14ac:dyDescent="0.3">
      <c r="B26" t="s">
        <v>11</v>
      </c>
      <c r="C26" t="s">
        <v>156</v>
      </c>
    </row>
    <row r="27" spans="2:11" x14ac:dyDescent="0.3">
      <c r="B27" t="s">
        <v>12</v>
      </c>
      <c r="C27" t="s">
        <v>157</v>
      </c>
      <c r="E27" s="12"/>
      <c r="F27" s="12"/>
    </row>
    <row r="28" spans="2:11" x14ac:dyDescent="0.3">
      <c r="B28" t="s">
        <v>13</v>
      </c>
      <c r="C28" t="s">
        <v>157</v>
      </c>
      <c r="E28" s="12"/>
      <c r="F28" s="12"/>
    </row>
    <row r="31" spans="2:11" ht="25.8" x14ac:dyDescent="0.5">
      <c r="B31" s="3" t="str">
        <f>Cover!$B$2</f>
        <v>OSB</v>
      </c>
      <c r="C31" s="3"/>
      <c r="D31" s="4"/>
      <c r="E31" s="4"/>
      <c r="F31" s="4"/>
      <c r="G31" s="4"/>
      <c r="H31" s="4"/>
      <c r="I31" s="4"/>
      <c r="J31" s="4"/>
      <c r="K31" s="4"/>
    </row>
    <row r="32" spans="2:11" x14ac:dyDescent="0.3">
      <c r="B32" s="4" t="s">
        <v>14</v>
      </c>
      <c r="C32" s="4"/>
      <c r="D32" s="4"/>
      <c r="E32" s="4"/>
      <c r="F32" s="4"/>
      <c r="G32" s="4"/>
      <c r="H32" s="4"/>
      <c r="I32" s="4"/>
      <c r="J32" s="4"/>
      <c r="K32" s="4"/>
    </row>
    <row r="33" spans="2:11" x14ac:dyDescent="0.3">
      <c r="B33" s="4"/>
      <c r="C33" s="4"/>
      <c r="D33" s="4"/>
      <c r="E33" s="4"/>
      <c r="F33" s="4"/>
      <c r="G33" s="4"/>
      <c r="H33" s="4"/>
      <c r="I33" s="4"/>
    </row>
    <row r="34" spans="2:11" x14ac:dyDescent="0.3">
      <c r="B34" s="4"/>
      <c r="C34" s="4"/>
      <c r="D34" s="4"/>
      <c r="E34" s="4"/>
      <c r="F34" s="4"/>
      <c r="G34" s="4"/>
      <c r="H34" s="4"/>
      <c r="I34" s="4"/>
    </row>
    <row r="36" spans="2:11" x14ac:dyDescent="0.3">
      <c r="C36" t="s">
        <v>10</v>
      </c>
      <c r="E36" s="51">
        <v>2024</v>
      </c>
      <c r="F36" s="51">
        <v>2025</v>
      </c>
      <c r="G36" s="52">
        <f>F36+1</f>
        <v>2026</v>
      </c>
      <c r="H36" s="52">
        <f t="shared" ref="H36:I36" si="18">G36+1</f>
        <v>2027</v>
      </c>
      <c r="I36" s="52">
        <f t="shared" si="18"/>
        <v>2028</v>
      </c>
      <c r="J36" s="52">
        <f t="shared" ref="J36" si="19">I36+1</f>
        <v>2029</v>
      </c>
      <c r="K36" s="52">
        <f t="shared" ref="K36" si="20">J36+1</f>
        <v>2030</v>
      </c>
    </row>
    <row r="37" spans="2:11" x14ac:dyDescent="0.3">
      <c r="B37" s="5" t="s">
        <v>15</v>
      </c>
    </row>
    <row r="38" spans="2:11" x14ac:dyDescent="0.3">
      <c r="B38" t="s">
        <v>348</v>
      </c>
      <c r="E38" s="18">
        <v>3406.2</v>
      </c>
      <c r="F38" s="18">
        <v>3053.4</v>
      </c>
      <c r="G38" s="17">
        <f>G75-SUM(G39:G48)</f>
        <v>2336.9875417794647</v>
      </c>
      <c r="H38" s="17">
        <f t="shared" ref="H38:K38" si="21">H75-SUM(H39:H48)</f>
        <v>1755.2055361017992</v>
      </c>
      <c r="I38" s="17">
        <f t="shared" si="21"/>
        <v>1310.8738417451204</v>
      </c>
      <c r="J38" s="17">
        <f t="shared" si="21"/>
        <v>1099.7677570720953</v>
      </c>
      <c r="K38" s="17">
        <f t="shared" si="21"/>
        <v>1006.6259526212889</v>
      </c>
    </row>
    <row r="39" spans="2:11" x14ac:dyDescent="0.3">
      <c r="B39" t="s">
        <v>16</v>
      </c>
      <c r="E39" s="18">
        <v>1434.4</v>
      </c>
      <c r="F39" s="18">
        <v>1814.5</v>
      </c>
      <c r="G39" s="17">
        <f>F39</f>
        <v>1814.5</v>
      </c>
      <c r="H39" s="17">
        <f t="shared" ref="H39:K39" si="22">G39</f>
        <v>1814.5</v>
      </c>
      <c r="I39" s="17">
        <f t="shared" si="22"/>
        <v>1814.5</v>
      </c>
      <c r="J39" s="17">
        <f t="shared" si="22"/>
        <v>1814.5</v>
      </c>
      <c r="K39" s="17">
        <f t="shared" si="22"/>
        <v>1814.5</v>
      </c>
    </row>
    <row r="40" spans="2:11" x14ac:dyDescent="0.3">
      <c r="B40" t="s">
        <v>158</v>
      </c>
      <c r="E40" s="18">
        <v>25126.3</v>
      </c>
      <c r="F40" s="18">
        <v>25920.6</v>
      </c>
      <c r="G40" s="17">
        <f>G193</f>
        <v>26875.019999999997</v>
      </c>
      <c r="H40" s="17">
        <f t="shared" ref="H40:K40" si="23">H193</f>
        <v>27824.606289999996</v>
      </c>
      <c r="I40" s="17">
        <f t="shared" si="23"/>
        <v>28627.27272515</v>
      </c>
      <c r="J40" s="17">
        <f t="shared" si="23"/>
        <v>29290.540211608746</v>
      </c>
      <c r="K40" s="17">
        <f t="shared" si="23"/>
        <v>29893.119420461328</v>
      </c>
    </row>
    <row r="41" spans="2:11" x14ac:dyDescent="0.3">
      <c r="B41" t="s">
        <v>159</v>
      </c>
      <c r="E41" s="18">
        <v>-179.3</v>
      </c>
      <c r="F41" s="18">
        <v>85.1</v>
      </c>
      <c r="G41" s="17">
        <f t="shared" ref="G41:G46" si="24">F41</f>
        <v>85.1</v>
      </c>
      <c r="H41" s="17">
        <f t="shared" ref="H41:K41" si="25">G41</f>
        <v>85.1</v>
      </c>
      <c r="I41" s="17">
        <f t="shared" si="25"/>
        <v>85.1</v>
      </c>
      <c r="J41">
        <f t="shared" si="25"/>
        <v>85.1</v>
      </c>
      <c r="K41">
        <f t="shared" si="25"/>
        <v>85.1</v>
      </c>
    </row>
    <row r="42" spans="2:11" x14ac:dyDescent="0.3">
      <c r="B42" t="s">
        <v>160</v>
      </c>
      <c r="E42" s="18">
        <v>313.8</v>
      </c>
      <c r="F42" s="18">
        <v>101.4</v>
      </c>
      <c r="G42" s="17">
        <f t="shared" si="24"/>
        <v>101.4</v>
      </c>
      <c r="H42" s="17">
        <f t="shared" ref="H42:K42" si="26">G42</f>
        <v>101.4</v>
      </c>
      <c r="I42" s="17">
        <f t="shared" si="26"/>
        <v>101.4</v>
      </c>
      <c r="J42">
        <f t="shared" si="26"/>
        <v>101.4</v>
      </c>
      <c r="K42">
        <f t="shared" si="26"/>
        <v>101.4</v>
      </c>
    </row>
    <row r="43" spans="2:11" x14ac:dyDescent="0.3">
      <c r="B43" t="s">
        <v>161</v>
      </c>
      <c r="E43" s="18">
        <v>17.8</v>
      </c>
      <c r="F43" s="18">
        <v>21</v>
      </c>
      <c r="G43" s="17">
        <f t="shared" si="24"/>
        <v>21</v>
      </c>
      <c r="H43" s="17">
        <f t="shared" ref="H43:K43" si="27">G43</f>
        <v>21</v>
      </c>
      <c r="I43" s="17">
        <f t="shared" si="27"/>
        <v>21</v>
      </c>
      <c r="J43" s="17">
        <f t="shared" si="27"/>
        <v>21</v>
      </c>
      <c r="K43" s="17">
        <f t="shared" si="27"/>
        <v>21</v>
      </c>
    </row>
    <row r="44" spans="2:11" x14ac:dyDescent="0.3">
      <c r="B44" t="s">
        <v>162</v>
      </c>
      <c r="E44" s="18">
        <v>14.8</v>
      </c>
      <c r="F44" s="18">
        <v>1.7</v>
      </c>
      <c r="G44" s="17">
        <f t="shared" si="24"/>
        <v>1.7</v>
      </c>
      <c r="H44" s="17">
        <f t="shared" ref="H44:K44" si="28">G44</f>
        <v>1.7</v>
      </c>
      <c r="I44" s="17">
        <f t="shared" si="28"/>
        <v>1.7</v>
      </c>
      <c r="J44">
        <f t="shared" si="28"/>
        <v>1.7</v>
      </c>
      <c r="K44">
        <f t="shared" si="28"/>
        <v>1.7</v>
      </c>
    </row>
    <row r="45" spans="2:11" x14ac:dyDescent="0.3">
      <c r="B45" t="s">
        <v>163</v>
      </c>
      <c r="E45" s="18">
        <v>6.2</v>
      </c>
      <c r="F45" s="18">
        <v>8.8000000000000007</v>
      </c>
      <c r="G45" s="17">
        <f t="shared" si="24"/>
        <v>8.8000000000000007</v>
      </c>
      <c r="H45" s="17">
        <f t="shared" ref="H45:K45" si="29">G45</f>
        <v>8.8000000000000007</v>
      </c>
      <c r="I45" s="17">
        <f t="shared" si="29"/>
        <v>8.8000000000000007</v>
      </c>
      <c r="J45">
        <f t="shared" si="29"/>
        <v>8.8000000000000007</v>
      </c>
      <c r="K45">
        <f t="shared" si="29"/>
        <v>8.8000000000000007</v>
      </c>
    </row>
    <row r="46" spans="2:11" x14ac:dyDescent="0.3">
      <c r="B46" t="s">
        <v>165</v>
      </c>
      <c r="E46" s="18">
        <v>0</v>
      </c>
      <c r="F46" s="18">
        <v>1.5</v>
      </c>
      <c r="G46" s="17">
        <f t="shared" si="24"/>
        <v>1.5</v>
      </c>
      <c r="H46" s="17">
        <f t="shared" ref="H46:K46" si="30">G46</f>
        <v>1.5</v>
      </c>
      <c r="I46" s="17">
        <f t="shared" si="30"/>
        <v>1.5</v>
      </c>
      <c r="J46">
        <f t="shared" si="30"/>
        <v>1.5</v>
      </c>
      <c r="K46">
        <f t="shared" si="30"/>
        <v>1.5</v>
      </c>
    </row>
    <row r="47" spans="2:11" x14ac:dyDescent="0.3">
      <c r="B47" t="s">
        <v>164</v>
      </c>
      <c r="E47" s="18">
        <v>54.6</v>
      </c>
      <c r="F47" s="18">
        <v>47.8</v>
      </c>
      <c r="G47" s="17">
        <f>G457</f>
        <v>52.448571428571427</v>
      </c>
      <c r="H47" s="17">
        <f t="shared" ref="H47:K47" si="31">H457</f>
        <v>55.675742857142858</v>
      </c>
      <c r="I47" s="17">
        <f t="shared" si="31"/>
        <v>57.438872285714282</v>
      </c>
      <c r="J47" s="17">
        <f t="shared" si="31"/>
        <v>57.694038454285717</v>
      </c>
      <c r="K47" s="17">
        <f t="shared" si="31"/>
        <v>56.396002465057137</v>
      </c>
    </row>
    <row r="48" spans="2:11" x14ac:dyDescent="0.3">
      <c r="B48" t="s">
        <v>18</v>
      </c>
      <c r="E48" s="18">
        <v>48.8</v>
      </c>
      <c r="F48" s="18">
        <v>66.900000000000006</v>
      </c>
      <c r="G48" s="22">
        <f>G464</f>
        <v>83.453357142857143</v>
      </c>
      <c r="H48" s="22">
        <f t="shared" ref="H48:K48" si="32">H464</f>
        <v>96.773029285714287</v>
      </c>
      <c r="I48" s="22">
        <f t="shared" si="32"/>
        <v>106.76200587857143</v>
      </c>
      <c r="J48" s="22">
        <f t="shared" si="32"/>
        <v>113.32036605492857</v>
      </c>
      <c r="K48" s="22">
        <f t="shared" si="32"/>
        <v>116.3451913222907</v>
      </c>
    </row>
    <row r="49" spans="2:11" x14ac:dyDescent="0.3">
      <c r="B49" s="10" t="s">
        <v>22</v>
      </c>
      <c r="C49" s="11"/>
      <c r="D49" s="11"/>
      <c r="E49" s="32">
        <f t="shared" ref="E49:K49" si="33">SUM(E38:E48)</f>
        <v>30243.599999999999</v>
      </c>
      <c r="F49" s="32">
        <f t="shared" si="33"/>
        <v>31122.7</v>
      </c>
      <c r="G49" s="32">
        <f t="shared" si="33"/>
        <v>31381.909470350893</v>
      </c>
      <c r="H49" s="32">
        <f t="shared" si="33"/>
        <v>31766.260598244655</v>
      </c>
      <c r="I49" s="32">
        <f t="shared" si="33"/>
        <v>32136.347445059408</v>
      </c>
      <c r="J49" s="32">
        <f t="shared" si="33"/>
        <v>32595.322373190058</v>
      </c>
      <c r="K49" s="32">
        <f t="shared" si="33"/>
        <v>33106.486566869964</v>
      </c>
    </row>
    <row r="50" spans="2:11" x14ac:dyDescent="0.3">
      <c r="E50" s="15"/>
      <c r="F50" s="15"/>
      <c r="G50" s="15"/>
      <c r="H50" s="15"/>
      <c r="I50" s="15"/>
    </row>
    <row r="51" spans="2:11" x14ac:dyDescent="0.3">
      <c r="E51" s="15"/>
      <c r="F51" s="15"/>
      <c r="G51" s="15"/>
      <c r="H51" s="15"/>
      <c r="I51" s="15"/>
    </row>
    <row r="52" spans="2:11" x14ac:dyDescent="0.3">
      <c r="B52" s="5" t="s">
        <v>19</v>
      </c>
      <c r="E52" s="15"/>
      <c r="F52" s="15"/>
      <c r="G52" s="15"/>
      <c r="H52" s="15"/>
      <c r="I52" s="15"/>
    </row>
    <row r="53" spans="2:11" x14ac:dyDescent="0.3">
      <c r="B53" t="s">
        <v>166</v>
      </c>
      <c r="E53" s="18">
        <v>1935.2</v>
      </c>
      <c r="F53" s="18">
        <v>1838.1</v>
      </c>
      <c r="G53" s="17">
        <f>G247</f>
        <v>1838.1000000000001</v>
      </c>
      <c r="H53" s="17">
        <f t="shared" ref="H53:K53" si="34">H247</f>
        <v>1838.1000000000001</v>
      </c>
      <c r="I53" s="17">
        <f t="shared" si="34"/>
        <v>1838.1000000000001</v>
      </c>
      <c r="J53" s="17">
        <f t="shared" si="34"/>
        <v>1838.1000000000001</v>
      </c>
      <c r="K53" s="17">
        <f t="shared" si="34"/>
        <v>1838.1000000000001</v>
      </c>
    </row>
    <row r="54" spans="2:11" x14ac:dyDescent="0.3">
      <c r="B54" t="s">
        <v>167</v>
      </c>
      <c r="E54" s="18">
        <v>23820.3</v>
      </c>
      <c r="F54" s="18">
        <v>24251.1</v>
      </c>
      <c r="G54" s="17">
        <f>G210</f>
        <v>24736.121999999999</v>
      </c>
      <c r="H54" s="17">
        <f t="shared" ref="H54:K54" si="35">H210</f>
        <v>25230.844440000001</v>
      </c>
      <c r="I54" s="17">
        <f t="shared" si="35"/>
        <v>25735.4613288</v>
      </c>
      <c r="J54" s="17">
        <f t="shared" si="35"/>
        <v>26250.170555376</v>
      </c>
      <c r="K54" s="17">
        <f t="shared" si="35"/>
        <v>26775.173966483519</v>
      </c>
    </row>
    <row r="55" spans="2:11" x14ac:dyDescent="0.3">
      <c r="B55" t="s">
        <v>168</v>
      </c>
      <c r="E55" s="18">
        <v>-6.1</v>
      </c>
      <c r="F55" s="18">
        <v>11.9</v>
      </c>
      <c r="G55" s="17">
        <f>F55</f>
        <v>11.9</v>
      </c>
      <c r="H55" s="17">
        <f t="shared" ref="H55:K55" si="36">G55</f>
        <v>11.9</v>
      </c>
      <c r="I55" s="17">
        <f t="shared" si="36"/>
        <v>11.9</v>
      </c>
      <c r="J55" s="17">
        <f t="shared" si="36"/>
        <v>11.9</v>
      </c>
      <c r="K55" s="17">
        <f t="shared" si="36"/>
        <v>11.9</v>
      </c>
    </row>
    <row r="56" spans="2:11" x14ac:dyDescent="0.3">
      <c r="B56" t="s">
        <v>169</v>
      </c>
      <c r="E56" s="18">
        <v>104.9</v>
      </c>
      <c r="F56" s="18">
        <v>478.4</v>
      </c>
      <c r="G56" s="17">
        <f>G215</f>
        <v>478.4</v>
      </c>
      <c r="H56" s="17">
        <f t="shared" ref="H56:K56" si="37">H215</f>
        <v>478.4</v>
      </c>
      <c r="I56" s="17">
        <f t="shared" si="37"/>
        <v>478.4</v>
      </c>
      <c r="J56">
        <f t="shared" si="37"/>
        <v>478.4</v>
      </c>
      <c r="K56">
        <f t="shared" si="37"/>
        <v>478.4</v>
      </c>
    </row>
    <row r="57" spans="2:11" x14ac:dyDescent="0.3">
      <c r="B57" t="s">
        <v>170</v>
      </c>
      <c r="E57" s="18">
        <v>1018.3</v>
      </c>
      <c r="F57" s="18">
        <v>1010</v>
      </c>
      <c r="G57" s="17">
        <f>G222</f>
        <v>808</v>
      </c>
      <c r="H57" s="17">
        <f t="shared" ref="H57:K57" si="38">H222</f>
        <v>646.4</v>
      </c>
      <c r="I57" s="17">
        <f t="shared" si="38"/>
        <v>517.12</v>
      </c>
      <c r="J57" s="17">
        <f t="shared" si="38"/>
        <v>413.69600000000003</v>
      </c>
      <c r="K57" s="17">
        <f t="shared" si="38"/>
        <v>330.95680000000004</v>
      </c>
    </row>
    <row r="58" spans="2:11" x14ac:dyDescent="0.3">
      <c r="B58" t="s">
        <v>171</v>
      </c>
      <c r="E58" s="18">
        <v>81.900000000000006</v>
      </c>
      <c r="F58" s="18">
        <v>152</v>
      </c>
      <c r="G58" s="17">
        <f>F58</f>
        <v>152</v>
      </c>
      <c r="H58" s="17">
        <f t="shared" ref="H58:K58" si="39">G58</f>
        <v>152</v>
      </c>
      <c r="I58" s="17">
        <f t="shared" si="39"/>
        <v>152</v>
      </c>
      <c r="J58" s="17">
        <f t="shared" si="39"/>
        <v>152</v>
      </c>
      <c r="K58" s="17">
        <f t="shared" si="39"/>
        <v>152</v>
      </c>
    </row>
    <row r="59" spans="2:11" x14ac:dyDescent="0.3">
      <c r="B59" t="s">
        <v>172</v>
      </c>
      <c r="E59" s="18">
        <v>9.1</v>
      </c>
      <c r="F59" s="18">
        <v>6.3</v>
      </c>
      <c r="G59" s="17">
        <f>F59</f>
        <v>6.3</v>
      </c>
      <c r="H59" s="17">
        <f t="shared" ref="H59:K59" si="40">G59</f>
        <v>6.3</v>
      </c>
      <c r="I59" s="17">
        <f t="shared" si="40"/>
        <v>6.3</v>
      </c>
      <c r="J59" s="17">
        <f t="shared" si="40"/>
        <v>6.3</v>
      </c>
      <c r="K59" s="17">
        <f t="shared" si="40"/>
        <v>6.3</v>
      </c>
    </row>
    <row r="60" spans="2:11" x14ac:dyDescent="0.3">
      <c r="B60" t="s">
        <v>173</v>
      </c>
      <c r="E60" s="18">
        <v>56.4</v>
      </c>
      <c r="F60" s="18">
        <v>70.8</v>
      </c>
      <c r="G60" s="17">
        <f>F60</f>
        <v>70.8</v>
      </c>
      <c r="H60" s="17">
        <f t="shared" ref="H60:K60" si="41">G60</f>
        <v>70.8</v>
      </c>
      <c r="I60" s="17">
        <f t="shared" si="41"/>
        <v>70.8</v>
      </c>
      <c r="J60" s="17">
        <f t="shared" si="41"/>
        <v>70.8</v>
      </c>
      <c r="K60" s="17">
        <f t="shared" si="41"/>
        <v>70.8</v>
      </c>
    </row>
    <row r="61" spans="2:11" x14ac:dyDescent="0.3">
      <c r="B61" t="s">
        <v>20</v>
      </c>
      <c r="E61" s="18">
        <v>4.5999999999999996</v>
      </c>
      <c r="F61" s="18">
        <v>3.4</v>
      </c>
      <c r="G61" s="18">
        <f>0</f>
        <v>0</v>
      </c>
      <c r="H61" s="18">
        <f>0</f>
        <v>0</v>
      </c>
      <c r="I61" s="18">
        <f>0</f>
        <v>0</v>
      </c>
      <c r="J61" s="18">
        <f>0</f>
        <v>0</v>
      </c>
      <c r="K61" s="18">
        <f>0</f>
        <v>0</v>
      </c>
    </row>
    <row r="62" spans="2:11" x14ac:dyDescent="0.3">
      <c r="B62" t="s">
        <v>21</v>
      </c>
      <c r="E62" s="18">
        <v>13.1</v>
      </c>
      <c r="F62" s="18">
        <v>20.5</v>
      </c>
      <c r="G62" s="17">
        <f>F62</f>
        <v>20.5</v>
      </c>
      <c r="H62" s="17">
        <f t="shared" ref="H62:K62" si="42">G62</f>
        <v>20.5</v>
      </c>
      <c r="I62" s="17">
        <f t="shared" si="42"/>
        <v>20.5</v>
      </c>
      <c r="J62">
        <f t="shared" si="42"/>
        <v>20.5</v>
      </c>
      <c r="K62">
        <f t="shared" si="42"/>
        <v>20.5</v>
      </c>
    </row>
    <row r="63" spans="2:11" x14ac:dyDescent="0.3">
      <c r="B63" t="s">
        <v>174</v>
      </c>
      <c r="E63" s="18">
        <v>722.7</v>
      </c>
      <c r="F63" s="18">
        <v>723.4</v>
      </c>
      <c r="G63" s="17">
        <f>G228</f>
        <v>723.4</v>
      </c>
      <c r="H63" s="17">
        <f t="shared" ref="H63:K63" si="43">H228</f>
        <v>773.40000000000009</v>
      </c>
      <c r="I63" s="17">
        <f t="shared" si="43"/>
        <v>773.40000000000009</v>
      </c>
      <c r="J63" s="17">
        <f t="shared" si="43"/>
        <v>823.40000000000009</v>
      </c>
      <c r="K63" s="17">
        <f t="shared" si="43"/>
        <v>823.40000000000009</v>
      </c>
    </row>
    <row r="64" spans="2:11" x14ac:dyDescent="0.3">
      <c r="B64" t="s">
        <v>175</v>
      </c>
      <c r="E64" s="18">
        <v>259.8</v>
      </c>
      <c r="F64" s="18">
        <v>260.10000000000002</v>
      </c>
      <c r="G64" s="17">
        <f>G234</f>
        <v>260.10000000000002</v>
      </c>
      <c r="H64" s="17">
        <f t="shared" ref="H64:K64" si="44">H234</f>
        <v>260.10000000000002</v>
      </c>
      <c r="I64" s="17">
        <f t="shared" si="44"/>
        <v>260.10000000000002</v>
      </c>
      <c r="J64" s="17">
        <f t="shared" si="44"/>
        <v>260.10000000000002</v>
      </c>
      <c r="K64" s="17">
        <f t="shared" si="44"/>
        <v>260.10000000000002</v>
      </c>
    </row>
    <row r="65" spans="2:11" x14ac:dyDescent="0.3">
      <c r="B65" s="10" t="s">
        <v>23</v>
      </c>
      <c r="C65" s="11"/>
      <c r="D65" s="11"/>
      <c r="E65" s="32">
        <f t="shared" ref="E65" si="45">SUM(E53:E64)</f>
        <v>28020.2</v>
      </c>
      <c r="F65" s="32">
        <f>SUM(F53:F64)</f>
        <v>28826</v>
      </c>
      <c r="G65" s="32">
        <f t="shared" ref="G65:K65" si="46">SUM(G53:G64)</f>
        <v>29105.621999999999</v>
      </c>
      <c r="H65" s="32">
        <f t="shared" si="46"/>
        <v>29488.744440000002</v>
      </c>
      <c r="I65" s="32">
        <f t="shared" si="46"/>
        <v>29864.081328799999</v>
      </c>
      <c r="J65" s="32">
        <f t="shared" si="46"/>
        <v>30325.366555376</v>
      </c>
      <c r="K65" s="32">
        <f t="shared" si="46"/>
        <v>30767.630766483519</v>
      </c>
    </row>
    <row r="66" spans="2:11" x14ac:dyDescent="0.3">
      <c r="E66" s="15"/>
      <c r="F66" s="15"/>
      <c r="G66" s="15"/>
      <c r="H66" s="15"/>
      <c r="I66" s="15"/>
    </row>
    <row r="67" spans="2:11" x14ac:dyDescent="0.3">
      <c r="B67" s="5" t="s">
        <v>24</v>
      </c>
      <c r="E67" s="15"/>
      <c r="F67" s="15"/>
      <c r="G67" s="15"/>
      <c r="H67" s="15"/>
      <c r="I67" s="15"/>
    </row>
    <row r="68" spans="2:11" x14ac:dyDescent="0.3">
      <c r="B68" t="s">
        <v>176</v>
      </c>
      <c r="E68" s="18">
        <v>3.7</v>
      </c>
      <c r="F68" s="18">
        <v>3.6</v>
      </c>
      <c r="G68" s="15"/>
      <c r="H68" s="15"/>
      <c r="I68" s="15"/>
    </row>
    <row r="69" spans="2:11" x14ac:dyDescent="0.3">
      <c r="B69" t="s">
        <v>177</v>
      </c>
      <c r="E69" s="18">
        <v>4.5</v>
      </c>
      <c r="F69" s="18">
        <v>6</v>
      </c>
      <c r="G69" s="15"/>
      <c r="H69" s="15"/>
      <c r="I69" s="15"/>
    </row>
    <row r="70" spans="2:11" x14ac:dyDescent="0.3">
      <c r="B70" t="s">
        <v>178</v>
      </c>
      <c r="E70" s="18">
        <v>150</v>
      </c>
      <c r="F70" s="18">
        <v>167.1</v>
      </c>
      <c r="G70" s="15"/>
      <c r="H70" s="15"/>
      <c r="I70" s="15"/>
    </row>
    <row r="71" spans="2:11" x14ac:dyDescent="0.3">
      <c r="B71" t="s">
        <v>179</v>
      </c>
      <c r="E71" s="18">
        <v>3406.4</v>
      </c>
      <c r="F71" s="18">
        <v>3457</v>
      </c>
      <c r="G71" s="15"/>
      <c r="H71" s="15"/>
      <c r="I71" s="15"/>
    </row>
    <row r="72" spans="2:11" x14ac:dyDescent="0.3">
      <c r="B72" t="s">
        <v>180</v>
      </c>
      <c r="E72" s="18">
        <v>-1341.2</v>
      </c>
      <c r="F72" s="18">
        <v>-1337</v>
      </c>
      <c r="G72" s="15"/>
      <c r="H72" s="15"/>
      <c r="I72" s="15"/>
    </row>
    <row r="73" spans="2:11" x14ac:dyDescent="0.3">
      <c r="B73" s="10" t="s">
        <v>25</v>
      </c>
      <c r="C73" s="11"/>
      <c r="D73" s="11"/>
      <c r="E73" s="32">
        <f t="shared" ref="E73" si="47">SUM(E68:E72)</f>
        <v>2223.3999999999996</v>
      </c>
      <c r="F73" s="32">
        <f>SUM(F68:F72)</f>
        <v>2296.6999999999998</v>
      </c>
      <c r="G73" s="32">
        <f>G564</f>
        <v>2276.2874703508928</v>
      </c>
      <c r="H73" s="32">
        <f t="shared" ref="H73:K73" si="48">H564</f>
        <v>2277.5161582446508</v>
      </c>
      <c r="I73" s="32">
        <f t="shared" si="48"/>
        <v>2272.2661162594081</v>
      </c>
      <c r="J73" s="32">
        <f t="shared" si="48"/>
        <v>2269.9558178140587</v>
      </c>
      <c r="K73" s="32">
        <f t="shared" si="48"/>
        <v>2338.8558003864455</v>
      </c>
    </row>
    <row r="74" spans="2:11" x14ac:dyDescent="0.3">
      <c r="E74" s="15"/>
      <c r="F74" s="15"/>
      <c r="G74" s="15"/>
      <c r="H74" s="15"/>
      <c r="I74" s="15"/>
    </row>
    <row r="75" spans="2:11" x14ac:dyDescent="0.3">
      <c r="B75" s="10" t="s">
        <v>26</v>
      </c>
      <c r="C75" s="11"/>
      <c r="D75" s="11"/>
      <c r="E75" s="32">
        <f>E65+E73</f>
        <v>30243.599999999999</v>
      </c>
      <c r="F75" s="32">
        <f t="shared" ref="F75:K75" si="49">F65+F73</f>
        <v>31122.7</v>
      </c>
      <c r="G75" s="32">
        <f t="shared" si="49"/>
        <v>31381.909470350893</v>
      </c>
      <c r="H75" s="32">
        <f t="shared" si="49"/>
        <v>31766.260598244655</v>
      </c>
      <c r="I75" s="32">
        <f t="shared" si="49"/>
        <v>32136.347445059408</v>
      </c>
      <c r="J75" s="32">
        <f t="shared" si="49"/>
        <v>32595.322373190058</v>
      </c>
      <c r="K75" s="32">
        <f t="shared" si="49"/>
        <v>33106.486566869964</v>
      </c>
    </row>
    <row r="76" spans="2:11" x14ac:dyDescent="0.3">
      <c r="G76" s="14"/>
      <c r="H76" s="14"/>
      <c r="I76" s="14"/>
    </row>
    <row r="77" spans="2:11" x14ac:dyDescent="0.3">
      <c r="G77" s="14"/>
      <c r="H77" s="14"/>
      <c r="I77" s="14"/>
    </row>
    <row r="78" spans="2:11" ht="25.8" x14ac:dyDescent="0.5">
      <c r="B78" s="3" t="str">
        <f>Cover!$B$2</f>
        <v>OSB</v>
      </c>
      <c r="C78" s="3"/>
      <c r="D78" s="4"/>
      <c r="E78" s="4"/>
      <c r="F78" s="4"/>
      <c r="G78" s="4"/>
      <c r="H78" s="4"/>
      <c r="I78" s="4"/>
      <c r="J78" s="4"/>
      <c r="K78" s="4"/>
    </row>
    <row r="79" spans="2:11" x14ac:dyDescent="0.3">
      <c r="B79" s="4" t="s">
        <v>355</v>
      </c>
      <c r="C79" s="4"/>
      <c r="D79" s="4"/>
      <c r="E79" s="4"/>
      <c r="F79" s="4"/>
      <c r="G79" s="4"/>
      <c r="H79" s="4"/>
      <c r="I79" s="4"/>
      <c r="J79" s="4"/>
      <c r="K79" s="4"/>
    </row>
    <row r="80" spans="2:11" x14ac:dyDescent="0.3">
      <c r="B80" s="4"/>
      <c r="C80" s="4"/>
      <c r="D80" s="4"/>
      <c r="E80" s="4"/>
      <c r="F80" s="4"/>
      <c r="G80" s="4"/>
      <c r="H80" s="4"/>
      <c r="I80" s="4"/>
    </row>
    <row r="81" spans="2:11" x14ac:dyDescent="0.3">
      <c r="B81" s="4"/>
      <c r="C81" s="4"/>
      <c r="D81" s="4"/>
      <c r="E81" s="4"/>
      <c r="F81" s="4"/>
      <c r="G81" s="4"/>
      <c r="H81" s="4"/>
      <c r="I81" s="4"/>
    </row>
    <row r="83" spans="2:11" x14ac:dyDescent="0.3">
      <c r="C83" t="s">
        <v>10</v>
      </c>
      <c r="E83" s="51">
        <v>2024</v>
      </c>
      <c r="F83" s="51">
        <v>2025</v>
      </c>
      <c r="G83" s="52">
        <f>F83+1</f>
        <v>2026</v>
      </c>
      <c r="H83" s="52">
        <f t="shared" ref="H83" si="50">G83+1</f>
        <v>2027</v>
      </c>
      <c r="I83" s="52">
        <f t="shared" ref="I83" si="51">H83+1</f>
        <v>2028</v>
      </c>
      <c r="J83" s="52">
        <f t="shared" ref="J83" si="52">I83+1</f>
        <v>2029</v>
      </c>
      <c r="K83" s="52">
        <f t="shared" ref="K83" si="53">J83+1</f>
        <v>2030</v>
      </c>
    </row>
    <row r="84" spans="2:11" x14ac:dyDescent="0.3">
      <c r="E84" s="67"/>
      <c r="F84" s="67"/>
      <c r="G84" s="68"/>
      <c r="H84" s="68"/>
      <c r="I84" s="68"/>
      <c r="J84" s="68"/>
      <c r="K84" s="68"/>
    </row>
    <row r="85" spans="2:11" x14ac:dyDescent="0.3">
      <c r="B85" s="5" t="s">
        <v>356</v>
      </c>
      <c r="E85" s="67"/>
      <c r="F85" s="67"/>
      <c r="G85" s="68"/>
      <c r="H85" s="68"/>
      <c r="I85" s="68"/>
      <c r="J85" s="68"/>
      <c r="K85" s="68"/>
    </row>
    <row r="86" spans="2:11" x14ac:dyDescent="0.3">
      <c r="E86" s="67"/>
      <c r="F86" s="67"/>
      <c r="G86" s="68"/>
      <c r="H86" s="68"/>
      <c r="I86" s="68"/>
      <c r="J86" s="68"/>
      <c r="K86" s="68"/>
    </row>
    <row r="87" spans="2:11" x14ac:dyDescent="0.3">
      <c r="B87" t="s">
        <v>357</v>
      </c>
      <c r="C87" t="s">
        <v>46</v>
      </c>
      <c r="E87" s="67"/>
      <c r="F87" s="17">
        <f>F193</f>
        <v>25831.7</v>
      </c>
      <c r="G87" s="17">
        <f t="shared" ref="G87:K87" si="54">G193</f>
        <v>26875.019999999997</v>
      </c>
      <c r="H87" s="17">
        <f t="shared" si="54"/>
        <v>27824.606289999996</v>
      </c>
      <c r="I87" s="17">
        <f t="shared" si="54"/>
        <v>28627.27272515</v>
      </c>
      <c r="J87" s="17">
        <f t="shared" si="54"/>
        <v>29290.540211608746</v>
      </c>
      <c r="K87" s="17">
        <f t="shared" si="54"/>
        <v>29893.119420461328</v>
      </c>
    </row>
    <row r="88" spans="2:11" x14ac:dyDescent="0.3">
      <c r="B88" t="s">
        <v>358</v>
      </c>
      <c r="C88" t="s">
        <v>47</v>
      </c>
      <c r="E88" s="67"/>
      <c r="F88" s="67"/>
      <c r="G88" s="91">
        <f>G196</f>
        <v>4.0389134280747918E-2</v>
      </c>
      <c r="H88" s="91">
        <f t="shared" ref="H88:K88" si="55">H196</f>
        <v>3.533341705420124E-2</v>
      </c>
      <c r="I88" s="91">
        <f t="shared" si="55"/>
        <v>2.8847360023148923E-2</v>
      </c>
      <c r="J88" s="91">
        <f t="shared" si="55"/>
        <v>2.3169077013614498E-2</v>
      </c>
      <c r="K88" s="91">
        <f t="shared" si="55"/>
        <v>2.057248533141634E-2</v>
      </c>
    </row>
    <row r="89" spans="2:11" x14ac:dyDescent="0.3">
      <c r="B89" t="s">
        <v>359</v>
      </c>
      <c r="C89" t="s">
        <v>46</v>
      </c>
      <c r="E89" s="67"/>
      <c r="F89" s="17">
        <f>F11</f>
        <v>679.39999999999986</v>
      </c>
      <c r="G89" s="17">
        <f>G11</f>
        <v>702.8728259999998</v>
      </c>
      <c r="H89" s="17">
        <f>H11</f>
        <v>767.42471358632565</v>
      </c>
      <c r="I89" s="17">
        <f>I11</f>
        <v>768.90234373710678</v>
      </c>
      <c r="J89" s="17">
        <f>J11</f>
        <v>779.86722967964261</v>
      </c>
      <c r="K89" s="17">
        <f>K11</f>
        <v>788.26577206664911</v>
      </c>
    </row>
    <row r="90" spans="2:11" x14ac:dyDescent="0.3">
      <c r="B90" t="s">
        <v>43</v>
      </c>
      <c r="C90" t="s">
        <v>47</v>
      </c>
      <c r="E90" s="67"/>
      <c r="F90" s="67"/>
      <c r="G90" s="91">
        <f>G341</f>
        <v>2.2773923514430541E-2</v>
      </c>
      <c r="H90" s="91">
        <f t="shared" ref="H90:K90" si="56">H341</f>
        <v>2.4588742069002877E-2</v>
      </c>
      <c r="I90" s="91">
        <f t="shared" si="56"/>
        <v>2.4352791117881585E-2</v>
      </c>
      <c r="J90" s="91">
        <f t="shared" si="56"/>
        <v>2.4387062785491128E-2</v>
      </c>
      <c r="K90" s="91">
        <f t="shared" si="56"/>
        <v>2.4284573834336715E-2</v>
      </c>
    </row>
    <row r="91" spans="2:11" x14ac:dyDescent="0.3">
      <c r="B91" t="s">
        <v>360</v>
      </c>
      <c r="C91" t="s">
        <v>47</v>
      </c>
      <c r="E91" s="67"/>
      <c r="F91" s="13">
        <f>-F17/F16</f>
        <v>0.40434131736526957</v>
      </c>
      <c r="G91" s="13">
        <f>-G17/G16</f>
        <v>0.39667224809946683</v>
      </c>
      <c r="H91" s="13">
        <f>-H17/H16</f>
        <v>0.38210218932377749</v>
      </c>
      <c r="I91" s="13">
        <f>-I17/I16</f>
        <v>0.39931000001563832</v>
      </c>
      <c r="J91" s="13">
        <f>-J17/J16</f>
        <v>0.41158682986447082</v>
      </c>
      <c r="K91" s="13">
        <f>-K17/K16</f>
        <v>0.42540509139840654</v>
      </c>
    </row>
    <row r="92" spans="2:11" x14ac:dyDescent="0.3">
      <c r="B92" t="s">
        <v>361</v>
      </c>
      <c r="C92" t="s">
        <v>76</v>
      </c>
      <c r="E92" s="67"/>
      <c r="F92" s="67"/>
      <c r="G92" s="92">
        <f>G422</f>
        <v>11.14989023221327</v>
      </c>
      <c r="H92" s="92">
        <f t="shared" ref="H92:K92" si="57">H422</f>
        <v>11.526894991378926</v>
      </c>
      <c r="I92" s="92">
        <f t="shared" si="57"/>
        <v>11.8611822862728</v>
      </c>
      <c r="J92" s="92">
        <f t="shared" si="57"/>
        <v>12.144313248107617</v>
      </c>
      <c r="K92" s="92">
        <f t="shared" si="57"/>
        <v>12.38037632824051</v>
      </c>
    </row>
    <row r="93" spans="2:11" x14ac:dyDescent="0.3">
      <c r="B93" t="s">
        <v>362</v>
      </c>
      <c r="C93" t="s">
        <v>46</v>
      </c>
      <c r="E93" s="67"/>
      <c r="F93" s="67"/>
      <c r="G93" s="17">
        <f>G20</f>
        <v>399.08326744642835</v>
      </c>
      <c r="H93" s="17">
        <f>H20</f>
        <v>447.17486198612914</v>
      </c>
      <c r="I93" s="17">
        <f>I20</f>
        <v>432.77768447723849</v>
      </c>
      <c r="J93" s="17">
        <f>J20</f>
        <v>428.01096189513578</v>
      </c>
      <c r="K93" s="17">
        <f>K20</f>
        <v>420.49224315081614</v>
      </c>
    </row>
    <row r="94" spans="2:11" x14ac:dyDescent="0.3">
      <c r="B94" t="s">
        <v>363</v>
      </c>
      <c r="C94" t="s">
        <v>47</v>
      </c>
      <c r="E94" s="67"/>
      <c r="F94" s="67"/>
      <c r="G94" s="28">
        <f>G574</f>
        <v>0.13535483285444549</v>
      </c>
      <c r="H94" s="28">
        <f t="shared" ref="H94:K94" si="58">H574</f>
        <v>0.15336697075157901</v>
      </c>
      <c r="I94" s="28">
        <f t="shared" si="58"/>
        <v>0.14936253990338363</v>
      </c>
      <c r="J94" s="28">
        <f t="shared" si="58"/>
        <v>0.14854134939706345</v>
      </c>
      <c r="K94" s="28">
        <f t="shared" si="58"/>
        <v>0.14403227386474626</v>
      </c>
    </row>
    <row r="95" spans="2:11" x14ac:dyDescent="0.3">
      <c r="B95" t="s">
        <v>364</v>
      </c>
      <c r="C95" t="s">
        <v>47</v>
      </c>
      <c r="E95" s="67"/>
      <c r="F95" s="67"/>
      <c r="G95" s="28">
        <f>G543</f>
        <v>0.15761521190082789</v>
      </c>
      <c r="H95" s="28">
        <f t="shared" ref="H95:K95" si="59">H543</f>
        <v>0.14837599807026963</v>
      </c>
      <c r="I95" s="28">
        <f t="shared" si="59"/>
        <v>0.14069664764608983</v>
      </c>
      <c r="J95" s="28">
        <f t="shared" si="59"/>
        <v>0.13500000000000001</v>
      </c>
      <c r="K95" s="28">
        <f t="shared" si="59"/>
        <v>0.13500000000000001</v>
      </c>
    </row>
    <row r="96" spans="2:11" x14ac:dyDescent="0.3">
      <c r="B96" t="s">
        <v>365</v>
      </c>
      <c r="C96" t="s">
        <v>46</v>
      </c>
      <c r="E96" s="67"/>
      <c r="F96" s="67"/>
      <c r="G96" s="17">
        <f>-G562</f>
        <v>119.72498023392851</v>
      </c>
      <c r="H96" s="17">
        <f t="shared" ref="H96:K96" si="60">-H562</f>
        <v>134.15245859583874</v>
      </c>
      <c r="I96" s="17">
        <f t="shared" si="60"/>
        <v>129.83330534317156</v>
      </c>
      <c r="J96" s="17">
        <f t="shared" si="60"/>
        <v>128.40328856854075</v>
      </c>
      <c r="K96" s="17">
        <f t="shared" si="60"/>
        <v>126.14767294524484</v>
      </c>
    </row>
    <row r="97" spans="2:11" x14ac:dyDescent="0.3">
      <c r="B97" t="s">
        <v>347</v>
      </c>
      <c r="C97" t="s">
        <v>46</v>
      </c>
      <c r="E97" s="67"/>
      <c r="F97" s="67"/>
      <c r="G97" s="17">
        <f>-G563</f>
        <v>200</v>
      </c>
      <c r="H97" s="17">
        <f t="shared" ref="H97:K97" si="61">-H563</f>
        <v>200</v>
      </c>
      <c r="I97" s="17">
        <f t="shared" si="61"/>
        <v>200</v>
      </c>
      <c r="J97" s="17">
        <f t="shared" si="61"/>
        <v>194.91523129816073</v>
      </c>
      <c r="K97" s="17">
        <f t="shared" si="61"/>
        <v>120.32152684548032</v>
      </c>
    </row>
    <row r="98" spans="2:11" x14ac:dyDescent="0.3">
      <c r="E98" s="67"/>
      <c r="F98" s="67"/>
      <c r="G98" s="68"/>
      <c r="H98" s="68"/>
      <c r="I98" s="68"/>
      <c r="J98" s="68"/>
      <c r="K98" s="68"/>
    </row>
    <row r="99" spans="2:11" x14ac:dyDescent="0.3">
      <c r="E99" s="67"/>
      <c r="F99" s="67"/>
      <c r="G99" s="68"/>
      <c r="H99" s="68"/>
      <c r="I99" s="68"/>
      <c r="J99" s="68"/>
      <c r="K99" s="68"/>
    </row>
    <row r="100" spans="2:11" ht="25.8" x14ac:dyDescent="0.5">
      <c r="B100" s="3" t="str">
        <f>Cover!$B$2</f>
        <v>OSB</v>
      </c>
      <c r="C100" s="3"/>
      <c r="D100" s="4"/>
      <c r="E100" s="4"/>
      <c r="F100" s="4"/>
      <c r="G100" s="4"/>
      <c r="H100" s="4"/>
      <c r="I100" s="4"/>
      <c r="J100" s="4"/>
      <c r="K100" s="4"/>
    </row>
    <row r="101" spans="2:11" x14ac:dyDescent="0.3">
      <c r="B101" s="4" t="s">
        <v>198</v>
      </c>
      <c r="C101" s="4"/>
      <c r="D101" s="4"/>
      <c r="E101" s="4"/>
      <c r="F101" s="4"/>
      <c r="G101" s="4"/>
      <c r="H101" s="4"/>
      <c r="I101" s="4"/>
      <c r="J101" s="4"/>
      <c r="K101" s="4"/>
    </row>
    <row r="102" spans="2:11" x14ac:dyDescent="0.3">
      <c r="B102" s="4"/>
      <c r="C102" s="4"/>
      <c r="D102" s="4"/>
      <c r="E102" s="4"/>
      <c r="F102" s="4"/>
      <c r="G102" s="4"/>
      <c r="H102" s="4"/>
      <c r="I102" s="4"/>
    </row>
    <row r="103" spans="2:11" x14ac:dyDescent="0.3">
      <c r="B103" s="4"/>
      <c r="C103" s="4"/>
      <c r="D103" s="4"/>
      <c r="E103" s="4"/>
      <c r="F103" s="4"/>
      <c r="G103" s="4"/>
      <c r="H103" s="4"/>
      <c r="I103" s="4"/>
    </row>
    <row r="105" spans="2:11" x14ac:dyDescent="0.3">
      <c r="C105" t="s">
        <v>10</v>
      </c>
      <c r="E105" s="51">
        <v>2024</v>
      </c>
      <c r="F105" s="51">
        <v>2025</v>
      </c>
      <c r="G105" s="52">
        <f>F105+1</f>
        <v>2026</v>
      </c>
      <c r="H105" s="52">
        <f t="shared" ref="H105:K105" si="62">G105+1</f>
        <v>2027</v>
      </c>
      <c r="I105" s="52">
        <f t="shared" si="62"/>
        <v>2028</v>
      </c>
      <c r="J105" s="52">
        <f t="shared" si="62"/>
        <v>2029</v>
      </c>
      <c r="K105" s="52">
        <f t="shared" si="62"/>
        <v>2030</v>
      </c>
    </row>
    <row r="107" spans="2:11" x14ac:dyDescent="0.3">
      <c r="B107" s="5" t="s">
        <v>185</v>
      </c>
    </row>
    <row r="109" spans="2:11" x14ac:dyDescent="0.3">
      <c r="B109" t="s">
        <v>27</v>
      </c>
      <c r="E109" s="18"/>
      <c r="F109" s="45">
        <f>E112</f>
        <v>11201.2</v>
      </c>
      <c r="G109" s="17">
        <f t="shared" ref="G109:K109" si="63">F112</f>
        <v>12061.9</v>
      </c>
      <c r="H109" s="17">
        <f t="shared" si="63"/>
        <v>12809.713</v>
      </c>
      <c r="I109" s="17">
        <f t="shared" si="63"/>
        <v>13453.55515</v>
      </c>
      <c r="J109" s="17">
        <f t="shared" si="63"/>
        <v>14003.5171801</v>
      </c>
      <c r="K109" s="17">
        <f t="shared" si="63"/>
        <v>14468.766987618999</v>
      </c>
    </row>
    <row r="110" spans="2:11" x14ac:dyDescent="0.3">
      <c r="B110" s="11" t="s">
        <v>28</v>
      </c>
      <c r="C110" s="11"/>
      <c r="D110" s="11"/>
      <c r="E110" s="19">
        <v>2049.1999999999998</v>
      </c>
      <c r="F110" s="19">
        <v>1870.8</v>
      </c>
      <c r="G110" s="20">
        <f>F110*(1+Assumptions!D14)</f>
        <v>1833.384</v>
      </c>
      <c r="H110" s="20">
        <f>G110*(1+Assumptions!E14)</f>
        <v>1796.71632</v>
      </c>
      <c r="I110" s="20">
        <f>H110*(1+Assumptions!F14)</f>
        <v>1760.7819935999999</v>
      </c>
      <c r="J110" s="20">
        <f>I110*(1+Assumptions!G14)</f>
        <v>1725.5663537279997</v>
      </c>
      <c r="K110" s="20">
        <f>J110*(1+Assumptions!H14)</f>
        <v>1725.5663537279997</v>
      </c>
    </row>
    <row r="111" spans="2:11" x14ac:dyDescent="0.3">
      <c r="B111" s="9" t="s">
        <v>29</v>
      </c>
      <c r="C111" s="9"/>
      <c r="D111" s="9"/>
      <c r="E111" s="21"/>
      <c r="F111" s="21">
        <v>-1010.1</v>
      </c>
      <c r="G111" s="22">
        <f>-G109*Assumptions!D15</f>
        <v>-1085.5709999999999</v>
      </c>
      <c r="H111" s="22">
        <f>-H109*Assumptions!E15</f>
        <v>-1152.8741699999998</v>
      </c>
      <c r="I111" s="22">
        <f>-I109*Assumptions!F15</f>
        <v>-1210.8199634999999</v>
      </c>
      <c r="J111" s="22">
        <f>-J109*Assumptions!G15</f>
        <v>-1260.3165462089999</v>
      </c>
      <c r="K111" s="22">
        <f>-K109*Assumptions!H15</f>
        <v>-1302.1890288857098</v>
      </c>
    </row>
    <row r="112" spans="2:11" x14ac:dyDescent="0.3">
      <c r="B112" s="23" t="s">
        <v>30</v>
      </c>
      <c r="C112" s="23"/>
      <c r="D112" s="23"/>
      <c r="E112" s="24">
        <v>11201.2</v>
      </c>
      <c r="F112" s="25">
        <f>SUM(F109:F111)</f>
        <v>12061.9</v>
      </c>
      <c r="G112" s="25">
        <f t="shared" ref="G112:K112" si="64">SUM(G109:G111)</f>
        <v>12809.713</v>
      </c>
      <c r="H112" s="25">
        <f t="shared" si="64"/>
        <v>13453.55515</v>
      </c>
      <c r="I112" s="25">
        <f t="shared" si="64"/>
        <v>14003.5171801</v>
      </c>
      <c r="J112" s="25">
        <f t="shared" si="64"/>
        <v>14468.766987618999</v>
      </c>
      <c r="K112" s="25">
        <f t="shared" si="64"/>
        <v>14892.144312461289</v>
      </c>
    </row>
    <row r="113" spans="2:11" x14ac:dyDescent="0.3">
      <c r="E113" s="18"/>
      <c r="F113" s="18"/>
      <c r="G113" s="17"/>
      <c r="H113" s="17"/>
      <c r="I113" s="17"/>
      <c r="J113" s="17"/>
      <c r="K113" s="17"/>
    </row>
    <row r="114" spans="2:11" x14ac:dyDescent="0.3">
      <c r="B114" t="s">
        <v>144</v>
      </c>
      <c r="E114" s="18"/>
      <c r="F114" s="13">
        <f>(F112-E112)/E112</f>
        <v>7.6839981430560908E-2</v>
      </c>
      <c r="G114" s="13">
        <f t="shared" ref="G114:K114" si="65">(G112-F112)/F112</f>
        <v>6.1997943939180407E-2</v>
      </c>
      <c r="H114" s="13">
        <f t="shared" si="65"/>
        <v>5.0262027728490123E-2</v>
      </c>
      <c r="I114" s="13">
        <f t="shared" si="65"/>
        <v>4.0878565105521535E-2</v>
      </c>
      <c r="J114" s="13">
        <f t="shared" si="65"/>
        <v>3.322378239233733E-2</v>
      </c>
      <c r="K114" s="13">
        <f t="shared" si="65"/>
        <v>2.9261465417514544E-2</v>
      </c>
    </row>
    <row r="115" spans="2:11" x14ac:dyDescent="0.3">
      <c r="B115" t="s">
        <v>33</v>
      </c>
      <c r="E115" s="18"/>
      <c r="F115" s="17">
        <f>AVERAGE(F109,F112)</f>
        <v>11631.55</v>
      </c>
      <c r="G115" s="17">
        <f t="shared" ref="G115:K115" si="66">AVERAGE(G109,G112)</f>
        <v>12435.806499999999</v>
      </c>
      <c r="H115" s="17">
        <f t="shared" si="66"/>
        <v>13131.634075</v>
      </c>
      <c r="I115" s="17">
        <f t="shared" si="66"/>
        <v>13728.53616505</v>
      </c>
      <c r="J115" s="17">
        <f t="shared" si="66"/>
        <v>14236.1420838595</v>
      </c>
      <c r="K115" s="17">
        <f t="shared" si="66"/>
        <v>14680.455650040145</v>
      </c>
    </row>
    <row r="116" spans="2:11" x14ac:dyDescent="0.3">
      <c r="E116" s="17"/>
      <c r="F116" s="17"/>
      <c r="G116" s="17"/>
      <c r="H116" s="17"/>
      <c r="I116" s="17"/>
      <c r="J116" s="17"/>
      <c r="K116" s="17"/>
    </row>
    <row r="117" spans="2:11" x14ac:dyDescent="0.3">
      <c r="B117" s="5" t="s">
        <v>199</v>
      </c>
    </row>
    <row r="119" spans="2:11" x14ac:dyDescent="0.3">
      <c r="B119" t="s">
        <v>27</v>
      </c>
      <c r="E119" s="18"/>
      <c r="F119" s="45">
        <f>E122</f>
        <v>2181.1999999999998</v>
      </c>
      <c r="G119" s="17">
        <f t="shared" ref="G119:K119" si="67">F122</f>
        <v>1967.1</v>
      </c>
      <c r="H119" s="17">
        <f t="shared" si="67"/>
        <v>1682.0574999999999</v>
      </c>
      <c r="I119" s="17">
        <f t="shared" si="67"/>
        <v>1417.2974374999999</v>
      </c>
      <c r="J119" s="17">
        <f t="shared" si="67"/>
        <v>1169.2703859374999</v>
      </c>
      <c r="K119" s="17">
        <f t="shared" si="67"/>
        <v>964.64806839843743</v>
      </c>
    </row>
    <row r="120" spans="2:11" x14ac:dyDescent="0.3">
      <c r="B120" s="11" t="s">
        <v>28</v>
      </c>
      <c r="C120" s="11"/>
      <c r="D120" s="11"/>
      <c r="E120" s="19">
        <v>255.9</v>
      </c>
      <c r="F120" s="19">
        <v>118.4</v>
      </c>
      <c r="G120" s="20">
        <f>F120*(1+Assumptions!D16)</f>
        <v>59.2</v>
      </c>
      <c r="H120" s="20">
        <f>G120*(1+Assumptions!E16)</f>
        <v>29.6</v>
      </c>
      <c r="I120" s="19">
        <v>0</v>
      </c>
      <c r="J120" s="19">
        <v>0</v>
      </c>
      <c r="K120" s="19">
        <v>0</v>
      </c>
    </row>
    <row r="121" spans="2:11" x14ac:dyDescent="0.3">
      <c r="B121" s="9" t="s">
        <v>29</v>
      </c>
      <c r="C121" s="9"/>
      <c r="D121" s="9"/>
      <c r="E121" s="21"/>
      <c r="F121" s="21">
        <v>-332.5</v>
      </c>
      <c r="G121" s="22">
        <f>-G119*Assumptions!D17</f>
        <v>-344.24249999999995</v>
      </c>
      <c r="H121" s="22">
        <f>-H119*Assumptions!E17</f>
        <v>-294.36006249999997</v>
      </c>
      <c r="I121" s="22">
        <f>-I119*Assumptions!F17</f>
        <v>-248.02705156249996</v>
      </c>
      <c r="J121" s="22">
        <f>-J119*Assumptions!G17</f>
        <v>-204.62231753906246</v>
      </c>
      <c r="K121" s="22">
        <f>-K119*Assumptions!H17</f>
        <v>-168.81341196972653</v>
      </c>
    </row>
    <row r="122" spans="2:11" x14ac:dyDescent="0.3">
      <c r="B122" s="23" t="s">
        <v>30</v>
      </c>
      <c r="C122" s="23"/>
      <c r="D122" s="23"/>
      <c r="E122" s="24">
        <v>2181.1999999999998</v>
      </c>
      <c r="F122" s="71">
        <f>SUM(F119:F121)</f>
        <v>1967.1</v>
      </c>
      <c r="G122" s="25">
        <f>SUM(G119:G121)</f>
        <v>1682.0574999999999</v>
      </c>
      <c r="H122" s="25">
        <f t="shared" ref="H122" si="68">SUM(H119:H121)</f>
        <v>1417.2974374999999</v>
      </c>
      <c r="I122" s="25">
        <f t="shared" ref="I122" si="69">SUM(I119:I121)</f>
        <v>1169.2703859374999</v>
      </c>
      <c r="J122" s="25">
        <f t="shared" ref="J122" si="70">SUM(J119:J121)</f>
        <v>964.64806839843743</v>
      </c>
      <c r="K122" s="25">
        <f t="shared" ref="K122" si="71">SUM(K119:K121)</f>
        <v>795.8346564287109</v>
      </c>
    </row>
    <row r="123" spans="2:11" x14ac:dyDescent="0.3">
      <c r="E123" s="18"/>
      <c r="F123" s="18"/>
      <c r="G123" s="17"/>
      <c r="H123" s="17"/>
      <c r="I123" s="17"/>
      <c r="J123" s="17"/>
      <c r="K123" s="17"/>
    </row>
    <row r="124" spans="2:11" x14ac:dyDescent="0.3">
      <c r="B124" t="s">
        <v>144</v>
      </c>
      <c r="E124" s="18"/>
      <c r="F124" s="13">
        <f>(F122-E122)/E122</f>
        <v>-9.8156977810379575E-2</v>
      </c>
      <c r="G124" s="13">
        <f t="shared" ref="G124:K124" si="72">(G122-F122)/F122</f>
        <v>-0.14490493620049821</v>
      </c>
      <c r="H124" s="13">
        <f t="shared" si="72"/>
        <v>-0.15740250407610917</v>
      </c>
      <c r="I124" s="13">
        <f t="shared" si="72"/>
        <v>-0.17500000000000002</v>
      </c>
      <c r="J124" s="13">
        <f t="shared" si="72"/>
        <v>-0.17499999999999999</v>
      </c>
      <c r="K124" s="13">
        <f t="shared" si="72"/>
        <v>-0.17499999999999999</v>
      </c>
    </row>
    <row r="125" spans="2:11" x14ac:dyDescent="0.3">
      <c r="B125" t="s">
        <v>33</v>
      </c>
      <c r="E125" s="18"/>
      <c r="F125" s="17">
        <f>AVERAGE(F119,F122)</f>
        <v>2074.1499999999996</v>
      </c>
      <c r="G125" s="17">
        <f t="shared" ref="G125:K125" si="73">AVERAGE(G119,G122)</f>
        <v>1824.5787499999999</v>
      </c>
      <c r="H125" s="17">
        <f t="shared" si="73"/>
        <v>1549.6774687499999</v>
      </c>
      <c r="I125" s="17">
        <f t="shared" si="73"/>
        <v>1293.28391171875</v>
      </c>
      <c r="J125" s="17">
        <f t="shared" si="73"/>
        <v>1066.9592271679687</v>
      </c>
      <c r="K125" s="17">
        <f t="shared" si="73"/>
        <v>880.24136241357417</v>
      </c>
    </row>
    <row r="126" spans="2:11" x14ac:dyDescent="0.3">
      <c r="E126" s="18"/>
      <c r="F126" s="17"/>
      <c r="G126" s="17"/>
      <c r="H126" s="17"/>
      <c r="I126" s="17"/>
      <c r="J126" s="17"/>
      <c r="K126" s="17"/>
    </row>
    <row r="127" spans="2:11" x14ac:dyDescent="0.3">
      <c r="B127" s="5" t="s">
        <v>197</v>
      </c>
      <c r="E127" s="17"/>
      <c r="F127" s="17"/>
      <c r="G127" s="17"/>
      <c r="H127" s="17"/>
      <c r="I127" s="17"/>
      <c r="J127" s="17"/>
      <c r="K127" s="17"/>
    </row>
    <row r="128" spans="2:11" x14ac:dyDescent="0.3">
      <c r="B128" s="5"/>
      <c r="E128" s="17"/>
      <c r="F128" s="17"/>
      <c r="G128" s="17"/>
      <c r="H128" s="17"/>
      <c r="I128" s="17"/>
      <c r="J128" s="17"/>
      <c r="K128" s="17"/>
    </row>
    <row r="129" spans="2:11" x14ac:dyDescent="0.3">
      <c r="B129" t="s">
        <v>27</v>
      </c>
      <c r="E129" s="18"/>
      <c r="F129" s="45">
        <f>E132</f>
        <v>262</v>
      </c>
      <c r="G129" s="45">
        <f t="shared" ref="G129:K129" si="74">F132</f>
        <v>343.1</v>
      </c>
      <c r="H129" s="45">
        <f t="shared" si="74"/>
        <v>448.05499999999995</v>
      </c>
      <c r="I129" s="45">
        <f t="shared" si="74"/>
        <v>528.63574999999992</v>
      </c>
      <c r="J129" s="45">
        <f t="shared" si="74"/>
        <v>598.77557749999994</v>
      </c>
      <c r="K129" s="45">
        <f t="shared" si="74"/>
        <v>653.63986557499993</v>
      </c>
    </row>
    <row r="130" spans="2:11" x14ac:dyDescent="0.3">
      <c r="B130" s="11" t="s">
        <v>28</v>
      </c>
      <c r="C130" s="11"/>
      <c r="D130" s="11"/>
      <c r="E130" s="19">
        <v>189.1</v>
      </c>
      <c r="F130" s="19">
        <v>301.89999999999998</v>
      </c>
      <c r="G130" s="20">
        <f>F130*(1+Assumptions!D18)</f>
        <v>362.28</v>
      </c>
      <c r="H130" s="20">
        <f>G130*(1+Assumptions!E18)</f>
        <v>416.62199999999996</v>
      </c>
      <c r="I130" s="20">
        <f>H130*(1+Assumptions!F18)</f>
        <v>466.61664000000002</v>
      </c>
      <c r="J130" s="20">
        <f>I130*(1+Assumptions!G18)</f>
        <v>503.94597120000003</v>
      </c>
      <c r="K130" s="20">
        <f>J130*(1+Assumptions!H18)</f>
        <v>534.18272947200001</v>
      </c>
    </row>
    <row r="131" spans="2:11" x14ac:dyDescent="0.3">
      <c r="B131" s="9" t="s">
        <v>29</v>
      </c>
      <c r="C131" s="9"/>
      <c r="D131" s="9"/>
      <c r="E131" s="21"/>
      <c r="F131" s="21">
        <v>-220.79999999999995</v>
      </c>
      <c r="G131" s="22">
        <f>-G129*Assumptions!D19</f>
        <v>-257.32500000000005</v>
      </c>
      <c r="H131" s="22">
        <f>-H129*Assumptions!E19</f>
        <v>-336.04124999999999</v>
      </c>
      <c r="I131" s="22">
        <f>-I129*Assumptions!F19</f>
        <v>-396.47681249999994</v>
      </c>
      <c r="J131" s="22">
        <f>-J129*Assumptions!G19</f>
        <v>-449.08168312499993</v>
      </c>
      <c r="K131" s="22">
        <f>-K129*Assumptions!H19</f>
        <v>-490.22989918124995</v>
      </c>
    </row>
    <row r="132" spans="2:11" x14ac:dyDescent="0.3">
      <c r="B132" s="23" t="s">
        <v>31</v>
      </c>
      <c r="C132" s="23"/>
      <c r="D132" s="23"/>
      <c r="E132" s="24">
        <v>262</v>
      </c>
      <c r="F132" s="70">
        <f>SUM(F129:F131)</f>
        <v>343.1</v>
      </c>
      <c r="G132" s="25">
        <f t="shared" ref="G132:K132" si="75">SUM(G129:G131)</f>
        <v>448.05499999999995</v>
      </c>
      <c r="H132" s="25">
        <f t="shared" si="75"/>
        <v>528.63574999999992</v>
      </c>
      <c r="I132" s="25">
        <f t="shared" si="75"/>
        <v>598.77557749999994</v>
      </c>
      <c r="J132" s="25">
        <f t="shared" si="75"/>
        <v>653.63986557499993</v>
      </c>
      <c r="K132" s="25">
        <f t="shared" si="75"/>
        <v>697.5926958657501</v>
      </c>
    </row>
    <row r="133" spans="2:11" x14ac:dyDescent="0.3">
      <c r="E133" s="18"/>
      <c r="F133" s="18"/>
      <c r="G133" s="17"/>
      <c r="H133" s="17"/>
      <c r="I133" s="17"/>
      <c r="J133" s="17"/>
      <c r="K133" s="17"/>
    </row>
    <row r="134" spans="2:11" x14ac:dyDescent="0.3">
      <c r="B134" t="s">
        <v>143</v>
      </c>
      <c r="E134" s="18"/>
      <c r="F134" s="28">
        <f>(F132-E132)/E132</f>
        <v>0.30954198473282452</v>
      </c>
      <c r="G134" s="28">
        <f t="shared" ref="G134:K134" si="76">(G132-F132)/F132</f>
        <v>0.30590206936753112</v>
      </c>
      <c r="H134" s="28">
        <f t="shared" si="76"/>
        <v>0.17984566626865001</v>
      </c>
      <c r="I134" s="28">
        <f t="shared" si="76"/>
        <v>0.13268082512391574</v>
      </c>
      <c r="J134" s="28">
        <f t="shared" si="76"/>
        <v>9.1627464673941214E-2</v>
      </c>
      <c r="K134" s="28">
        <f t="shared" si="76"/>
        <v>6.7243190945958195E-2</v>
      </c>
    </row>
    <row r="135" spans="2:11" x14ac:dyDescent="0.3">
      <c r="B135" t="s">
        <v>33</v>
      </c>
      <c r="E135" s="18"/>
      <c r="F135" s="17">
        <f>AVERAGE(F129,F132)</f>
        <v>302.55</v>
      </c>
      <c r="G135" s="17">
        <f t="shared" ref="G135:K135" si="77">AVERAGE(G129,G132)</f>
        <v>395.57749999999999</v>
      </c>
      <c r="H135" s="17">
        <f t="shared" si="77"/>
        <v>488.34537499999993</v>
      </c>
      <c r="I135" s="17">
        <f t="shared" si="77"/>
        <v>563.70566374999999</v>
      </c>
      <c r="J135" s="17">
        <f t="shared" si="77"/>
        <v>626.20772153749999</v>
      </c>
      <c r="K135" s="17">
        <f t="shared" si="77"/>
        <v>675.61628072037502</v>
      </c>
    </row>
    <row r="136" spans="2:11" x14ac:dyDescent="0.3">
      <c r="E136" s="18"/>
      <c r="F136" s="17"/>
      <c r="G136" s="17"/>
      <c r="H136" s="17"/>
      <c r="I136" s="17"/>
      <c r="J136" s="17"/>
      <c r="K136" s="17"/>
    </row>
    <row r="137" spans="2:11" x14ac:dyDescent="0.3">
      <c r="B137" s="5" t="s">
        <v>73</v>
      </c>
      <c r="E137" s="17"/>
      <c r="F137" s="17"/>
      <c r="G137" s="17"/>
      <c r="H137" s="17"/>
      <c r="I137" s="17"/>
      <c r="J137" s="17"/>
      <c r="K137" s="17"/>
    </row>
    <row r="138" spans="2:11" x14ac:dyDescent="0.3">
      <c r="B138" s="5"/>
      <c r="E138" s="17"/>
      <c r="F138" s="17"/>
      <c r="G138" s="17"/>
      <c r="H138" s="17"/>
      <c r="I138" s="17"/>
      <c r="J138" s="17"/>
      <c r="K138" s="17"/>
    </row>
    <row r="139" spans="2:11" x14ac:dyDescent="0.3">
      <c r="B139" t="s">
        <v>27</v>
      </c>
      <c r="E139" s="18"/>
      <c r="F139" s="17">
        <f>E142</f>
        <v>1356</v>
      </c>
      <c r="G139" s="17">
        <f t="shared" ref="G139:K139" si="78">F142</f>
        <v>1866.1</v>
      </c>
      <c r="H139" s="17">
        <f t="shared" si="78"/>
        <v>2357.2849999999999</v>
      </c>
      <c r="I139" s="17">
        <f t="shared" si="78"/>
        <v>2851.9022500000001</v>
      </c>
      <c r="J139" s="17">
        <f t="shared" si="78"/>
        <v>3283.1456674999999</v>
      </c>
      <c r="K139" s="17">
        <f t="shared" si="78"/>
        <v>3630.3787986750003</v>
      </c>
    </row>
    <row r="140" spans="2:11" x14ac:dyDescent="0.3">
      <c r="B140" s="11" t="s">
        <v>28</v>
      </c>
      <c r="C140" s="11"/>
      <c r="D140" s="11"/>
      <c r="E140" s="19">
        <v>446.8</v>
      </c>
      <c r="F140" s="19">
        <v>701</v>
      </c>
      <c r="G140" s="20">
        <f>F140*(Assumptions!D20+1)</f>
        <v>771.1</v>
      </c>
      <c r="H140" s="20">
        <f>G140*(Assumptions!E20+1)</f>
        <v>848.21000000000015</v>
      </c>
      <c r="I140" s="20">
        <f>H140*(Assumptions!F20+1)</f>
        <v>916.06680000000017</v>
      </c>
      <c r="J140" s="20">
        <f>I140*(Assumptions!G20+1)</f>
        <v>971.03080800000021</v>
      </c>
      <c r="K140" s="20">
        <f>J140*(Assumptions!H20+1)</f>
        <v>1029.2926564800002</v>
      </c>
    </row>
    <row r="141" spans="2:11" x14ac:dyDescent="0.3">
      <c r="B141" s="9" t="s">
        <v>29</v>
      </c>
      <c r="C141" s="9"/>
      <c r="D141" s="9"/>
      <c r="E141" s="21"/>
      <c r="F141" s="21">
        <v>-190.90000000000009</v>
      </c>
      <c r="G141" s="22">
        <f>-Assumptions!D21*G139</f>
        <v>-279.91499999999996</v>
      </c>
      <c r="H141" s="22">
        <f>-Assumptions!E21*H139</f>
        <v>-353.59274999999997</v>
      </c>
      <c r="I141" s="22">
        <f>-Assumptions!F21*I139</f>
        <v>-484.82338250000004</v>
      </c>
      <c r="J141" s="22">
        <f>-Assumptions!G21*J139</f>
        <v>-623.79767682500005</v>
      </c>
      <c r="K141" s="22">
        <f>-Assumptions!H21*K139</f>
        <v>-726.07575973500013</v>
      </c>
    </row>
    <row r="142" spans="2:11" x14ac:dyDescent="0.3">
      <c r="B142" s="23" t="s">
        <v>31</v>
      </c>
      <c r="C142" s="23"/>
      <c r="D142" s="23"/>
      <c r="E142" s="24">
        <v>1356</v>
      </c>
      <c r="F142" s="25">
        <f>SUM(F139:F141)</f>
        <v>1866.1</v>
      </c>
      <c r="G142" s="25">
        <f t="shared" ref="G142:K142" si="79">SUM(G139:G141)</f>
        <v>2357.2849999999999</v>
      </c>
      <c r="H142" s="25">
        <f t="shared" si="79"/>
        <v>2851.9022500000001</v>
      </c>
      <c r="I142" s="25">
        <f t="shared" si="79"/>
        <v>3283.1456674999999</v>
      </c>
      <c r="J142" s="25">
        <f t="shared" si="79"/>
        <v>3630.3787986750003</v>
      </c>
      <c r="K142" s="25">
        <f t="shared" si="79"/>
        <v>3933.5956954200001</v>
      </c>
    </row>
    <row r="143" spans="2:11" x14ac:dyDescent="0.3">
      <c r="E143" s="18"/>
      <c r="F143" s="18"/>
      <c r="G143" s="17"/>
      <c r="H143" s="17"/>
      <c r="I143" s="17"/>
    </row>
    <row r="144" spans="2:11" x14ac:dyDescent="0.3">
      <c r="B144" t="s">
        <v>143</v>
      </c>
      <c r="E144" s="18"/>
      <c r="F144" s="28">
        <f>(F142-E142)/E142</f>
        <v>0.37617994100294977</v>
      </c>
      <c r="G144" s="28">
        <f t="shared" ref="G144:K144" si="80">(G142-F142)/F142</f>
        <v>0.26321472589893358</v>
      </c>
      <c r="H144" s="28">
        <f t="shared" si="80"/>
        <v>0.2098249681307098</v>
      </c>
      <c r="I144" s="28">
        <f t="shared" si="80"/>
        <v>0.15121255207817863</v>
      </c>
      <c r="J144" s="31">
        <f t="shared" si="80"/>
        <v>0.10576232867529335</v>
      </c>
      <c r="K144" s="31">
        <f t="shared" si="80"/>
        <v>8.35221098293287E-2</v>
      </c>
    </row>
    <row r="145" spans="2:11" x14ac:dyDescent="0.3">
      <c r="B145" t="s">
        <v>33</v>
      </c>
      <c r="E145" s="18"/>
      <c r="F145" s="17">
        <f>AVERAGE(F139,F142)</f>
        <v>1611.05</v>
      </c>
      <c r="G145" s="17">
        <f t="shared" ref="G145:K145" si="81">AVERAGE(G139,G142)</f>
        <v>2111.6925000000001</v>
      </c>
      <c r="H145" s="17">
        <f t="shared" si="81"/>
        <v>2604.593625</v>
      </c>
      <c r="I145" s="17">
        <f t="shared" si="81"/>
        <v>3067.52395875</v>
      </c>
      <c r="J145" s="17">
        <f t="shared" si="81"/>
        <v>3456.7622330875001</v>
      </c>
      <c r="K145" s="17">
        <f t="shared" si="81"/>
        <v>3781.9872470475002</v>
      </c>
    </row>
    <row r="146" spans="2:11" x14ac:dyDescent="0.3">
      <c r="E146" s="18"/>
      <c r="F146" s="17"/>
      <c r="G146" s="17"/>
      <c r="H146" s="17"/>
      <c r="I146" s="17"/>
    </row>
    <row r="147" spans="2:11" x14ac:dyDescent="0.3">
      <c r="B147" s="5" t="s">
        <v>186</v>
      </c>
      <c r="E147" s="17"/>
      <c r="F147" s="17"/>
      <c r="G147" s="17"/>
      <c r="H147" s="17"/>
      <c r="I147" s="17"/>
      <c r="J147" s="17"/>
      <c r="K147" s="17"/>
    </row>
    <row r="148" spans="2:11" x14ac:dyDescent="0.3">
      <c r="B148" s="5"/>
      <c r="E148" s="17"/>
      <c r="F148" s="17"/>
      <c r="G148" s="17"/>
      <c r="H148" s="17"/>
      <c r="I148" s="17"/>
      <c r="J148" s="17"/>
      <c r="K148" s="17"/>
    </row>
    <row r="149" spans="2:11" x14ac:dyDescent="0.3">
      <c r="B149" t="s">
        <v>27</v>
      </c>
      <c r="E149" s="18"/>
      <c r="F149" s="45">
        <f>E152</f>
        <v>316.39999999999998</v>
      </c>
      <c r="G149" s="45">
        <f t="shared" ref="G149:K149" si="82">F152</f>
        <v>424.20000000000005</v>
      </c>
      <c r="H149" s="45">
        <f t="shared" si="82"/>
        <v>585.58900000000006</v>
      </c>
      <c r="I149" s="45">
        <f t="shared" si="82"/>
        <v>753.99463000000003</v>
      </c>
      <c r="J149" s="45">
        <f t="shared" si="82"/>
        <v>921.07390209999994</v>
      </c>
      <c r="K149" s="45">
        <f t="shared" si="82"/>
        <v>1082.924714407</v>
      </c>
    </row>
    <row r="150" spans="2:11" x14ac:dyDescent="0.3">
      <c r="B150" s="11" t="s">
        <v>28</v>
      </c>
      <c r="C150" s="11"/>
      <c r="D150" s="11"/>
      <c r="E150" s="19">
        <v>182.1</v>
      </c>
      <c r="F150" s="19">
        <v>241.1</v>
      </c>
      <c r="G150" s="20">
        <f>F150*(1+Assumptions!D22)</f>
        <v>301.375</v>
      </c>
      <c r="H150" s="20">
        <f>G150*(1+Assumptions!E22)</f>
        <v>361.65</v>
      </c>
      <c r="I150" s="20">
        <f>H150*(1+Assumptions!F22)</f>
        <v>415.89749999999992</v>
      </c>
      <c r="J150" s="20">
        <f>I150*(1+Assumptions!G22)</f>
        <v>465.80519999999996</v>
      </c>
      <c r="K150" s="20">
        <f>J150*(1+Assumptions!H22)</f>
        <v>512.38571999999999</v>
      </c>
    </row>
    <row r="151" spans="2:11" x14ac:dyDescent="0.3">
      <c r="B151" s="9" t="s">
        <v>29</v>
      </c>
      <c r="C151" s="9"/>
      <c r="D151" s="9"/>
      <c r="E151" s="21"/>
      <c r="F151" s="21">
        <v>-133.29999999999998</v>
      </c>
      <c r="G151" s="22">
        <f>-Assumptions!D23*Model!G149</f>
        <v>-139.98600000000002</v>
      </c>
      <c r="H151" s="22">
        <f>-Assumptions!E23*Model!H149</f>
        <v>-193.24437000000003</v>
      </c>
      <c r="I151" s="22">
        <f>-Assumptions!F23*Model!I149</f>
        <v>-248.81822790000001</v>
      </c>
      <c r="J151" s="22">
        <f>-Assumptions!G23*Model!J149</f>
        <v>-303.954387693</v>
      </c>
      <c r="K151" s="22">
        <f>-Assumptions!H23*Model!K149</f>
        <v>-357.36515575431002</v>
      </c>
    </row>
    <row r="152" spans="2:11" x14ac:dyDescent="0.3">
      <c r="B152" s="23" t="s">
        <v>31</v>
      </c>
      <c r="C152" s="23"/>
      <c r="D152" s="23"/>
      <c r="E152" s="24">
        <v>316.39999999999998</v>
      </c>
      <c r="F152" s="25">
        <f>SUM(F149:F151)</f>
        <v>424.20000000000005</v>
      </c>
      <c r="G152" s="25">
        <f t="shared" ref="G152:K152" si="83">SUM(G149:G151)</f>
        <v>585.58900000000006</v>
      </c>
      <c r="H152" s="25">
        <f t="shared" si="83"/>
        <v>753.99463000000003</v>
      </c>
      <c r="I152" s="25">
        <f t="shared" si="83"/>
        <v>921.07390209999994</v>
      </c>
      <c r="J152" s="25">
        <f t="shared" si="83"/>
        <v>1082.924714407</v>
      </c>
      <c r="K152" s="25">
        <f t="shared" si="83"/>
        <v>1237.9452786526899</v>
      </c>
    </row>
    <row r="153" spans="2:11" x14ac:dyDescent="0.3">
      <c r="E153" s="18"/>
      <c r="F153" s="18"/>
      <c r="G153" s="17"/>
      <c r="H153" s="17"/>
      <c r="I153" s="17"/>
    </row>
    <row r="154" spans="2:11" x14ac:dyDescent="0.3">
      <c r="B154" t="s">
        <v>143</v>
      </c>
      <c r="E154" s="18"/>
      <c r="F154" s="28">
        <f>(F152-E152)/E152</f>
        <v>0.34070796460177016</v>
      </c>
      <c r="G154" s="28">
        <f t="shared" ref="G154:K154" si="84">(G152-F152)/F152</f>
        <v>0.38045497406883544</v>
      </c>
      <c r="H154" s="28">
        <f t="shared" si="84"/>
        <v>0.28758332209109111</v>
      </c>
      <c r="I154" s="28">
        <f t="shared" si="84"/>
        <v>0.22159212473436304</v>
      </c>
      <c r="J154" s="31">
        <f t="shared" si="84"/>
        <v>0.17571968105706692</v>
      </c>
      <c r="K154" s="31">
        <f t="shared" si="84"/>
        <v>0.14314989969600778</v>
      </c>
    </row>
    <row r="155" spans="2:11" x14ac:dyDescent="0.3">
      <c r="B155" t="s">
        <v>33</v>
      </c>
      <c r="E155" s="18"/>
      <c r="F155" s="17">
        <f>AVERAGE(F149,F152)</f>
        <v>370.3</v>
      </c>
      <c r="G155" s="17">
        <f t="shared" ref="G155:K155" si="85">AVERAGE(G149,G152)</f>
        <v>504.89450000000005</v>
      </c>
      <c r="H155" s="17">
        <f t="shared" si="85"/>
        <v>669.79181500000004</v>
      </c>
      <c r="I155" s="17">
        <f t="shared" si="85"/>
        <v>837.53426605000004</v>
      </c>
      <c r="J155" s="17">
        <f t="shared" si="85"/>
        <v>1001.9993082535</v>
      </c>
      <c r="K155" s="17">
        <f t="shared" si="85"/>
        <v>1160.434996529845</v>
      </c>
    </row>
    <row r="156" spans="2:11" x14ac:dyDescent="0.3">
      <c r="E156" s="18"/>
      <c r="F156" s="17"/>
      <c r="G156" s="17"/>
      <c r="H156" s="17"/>
      <c r="I156" s="17"/>
    </row>
    <row r="157" spans="2:11" x14ac:dyDescent="0.3">
      <c r="B157" s="5" t="s">
        <v>187</v>
      </c>
      <c r="E157" s="17"/>
      <c r="F157" s="17"/>
      <c r="G157" s="17"/>
      <c r="H157" s="17"/>
      <c r="I157" s="17"/>
      <c r="J157" s="17"/>
      <c r="K157" s="17"/>
    </row>
    <row r="158" spans="2:11" x14ac:dyDescent="0.3">
      <c r="B158" s="5"/>
      <c r="E158" s="17"/>
      <c r="F158" s="17"/>
      <c r="G158" s="17"/>
      <c r="H158" s="17"/>
      <c r="I158" s="17"/>
      <c r="J158" s="17"/>
      <c r="K158" s="17"/>
    </row>
    <row r="159" spans="2:11" x14ac:dyDescent="0.3">
      <c r="B159" s="9" t="s">
        <v>158</v>
      </c>
      <c r="C159" s="9"/>
      <c r="D159" s="9"/>
      <c r="E159" s="21">
        <v>19.7</v>
      </c>
      <c r="F159" s="21">
        <v>15</v>
      </c>
      <c r="G159" s="22">
        <f>F159</f>
        <v>15</v>
      </c>
      <c r="H159" s="22">
        <f t="shared" ref="H159:K159" si="86">G159</f>
        <v>15</v>
      </c>
      <c r="I159" s="22">
        <f t="shared" si="86"/>
        <v>15</v>
      </c>
      <c r="J159" s="22">
        <f t="shared" si="86"/>
        <v>15</v>
      </c>
      <c r="K159" s="22">
        <f t="shared" si="86"/>
        <v>15</v>
      </c>
    </row>
    <row r="160" spans="2:11" x14ac:dyDescent="0.3">
      <c r="B160" t="s">
        <v>33</v>
      </c>
      <c r="E160" s="18"/>
      <c r="F160" s="17">
        <f>AVERAGE(E159,F159)</f>
        <v>17.350000000000001</v>
      </c>
      <c r="G160" s="17">
        <f t="shared" ref="G160:K160" si="87">AVERAGE(F159,G159)</f>
        <v>15</v>
      </c>
      <c r="H160" s="17">
        <f t="shared" si="87"/>
        <v>15</v>
      </c>
      <c r="I160" s="17">
        <f t="shared" si="87"/>
        <v>15</v>
      </c>
      <c r="J160" s="17">
        <f t="shared" si="87"/>
        <v>15</v>
      </c>
      <c r="K160" s="17">
        <f t="shared" si="87"/>
        <v>15</v>
      </c>
    </row>
    <row r="161" spans="2:11" x14ac:dyDescent="0.3">
      <c r="E161" s="18"/>
      <c r="F161" s="17"/>
      <c r="G161" s="17"/>
      <c r="H161" s="17"/>
      <c r="I161" s="17"/>
    </row>
    <row r="163" spans="2:11" ht="25.8" x14ac:dyDescent="0.5">
      <c r="B163" s="3" t="str">
        <f>Cover!$B$2</f>
        <v>OSB</v>
      </c>
      <c r="C163" s="3"/>
      <c r="D163" s="4"/>
      <c r="E163" s="4"/>
      <c r="F163" s="4"/>
      <c r="G163" s="4"/>
      <c r="H163" s="4"/>
      <c r="I163" s="4"/>
      <c r="J163" s="4"/>
      <c r="K163" s="4"/>
    </row>
    <row r="164" spans="2:11" x14ac:dyDescent="0.3">
      <c r="B164" s="4" t="s">
        <v>204</v>
      </c>
      <c r="C164" s="4"/>
      <c r="D164" s="4"/>
      <c r="E164" s="4"/>
      <c r="F164" s="4"/>
      <c r="G164" s="4"/>
      <c r="H164" s="4"/>
      <c r="I164" s="4"/>
      <c r="J164" s="4"/>
      <c r="K164" s="4"/>
    </row>
    <row r="165" spans="2:11" x14ac:dyDescent="0.3">
      <c r="B165" s="4"/>
      <c r="C165" s="4"/>
      <c r="D165" s="4"/>
      <c r="E165" s="4"/>
      <c r="F165" s="4"/>
      <c r="G165" s="4"/>
      <c r="H165" s="4"/>
      <c r="I165" s="4"/>
    </row>
    <row r="166" spans="2:11" x14ac:dyDescent="0.3">
      <c r="B166" s="4"/>
      <c r="C166" s="4"/>
      <c r="D166" s="4"/>
      <c r="E166" s="4"/>
      <c r="F166" s="4"/>
      <c r="G166" s="4"/>
      <c r="H166" s="4"/>
      <c r="I166" s="4"/>
    </row>
    <row r="168" spans="2:11" x14ac:dyDescent="0.3">
      <c r="C168" t="s">
        <v>10</v>
      </c>
      <c r="E168" s="51">
        <v>2024</v>
      </c>
      <c r="F168" s="51">
        <v>2025</v>
      </c>
      <c r="G168" s="52">
        <f>F168+1</f>
        <v>2026</v>
      </c>
      <c r="H168" s="52">
        <f t="shared" ref="H168:K168" si="88">G168+1</f>
        <v>2027</v>
      </c>
      <c r="I168" s="52">
        <f t="shared" si="88"/>
        <v>2028</v>
      </c>
      <c r="J168" s="52">
        <f t="shared" si="88"/>
        <v>2029</v>
      </c>
      <c r="K168" s="52">
        <f t="shared" si="88"/>
        <v>2030</v>
      </c>
    </row>
    <row r="169" spans="2:11" x14ac:dyDescent="0.3">
      <c r="E169" s="67"/>
      <c r="F169" s="67"/>
      <c r="G169" s="68"/>
      <c r="H169" s="68"/>
      <c r="I169" s="68"/>
      <c r="J169" s="68"/>
      <c r="K169" s="68"/>
    </row>
    <row r="170" spans="2:11" x14ac:dyDescent="0.3">
      <c r="B170" s="5" t="s">
        <v>185</v>
      </c>
    </row>
    <row r="172" spans="2:11" x14ac:dyDescent="0.3">
      <c r="B172" t="s">
        <v>27</v>
      </c>
      <c r="C172" t="s">
        <v>46</v>
      </c>
      <c r="E172" s="18"/>
      <c r="F172" s="45">
        <f>E175</f>
        <v>6367.5</v>
      </c>
      <c r="G172" s="17">
        <f t="shared" ref="G172:K172" si="89">F175</f>
        <v>6023.4</v>
      </c>
      <c r="H172" s="17">
        <f t="shared" si="89"/>
        <v>5738.2279999999992</v>
      </c>
      <c r="I172" s="17">
        <f t="shared" si="89"/>
        <v>5475.8697599999987</v>
      </c>
      <c r="J172" s="17">
        <f t="shared" si="89"/>
        <v>5234.5001791999985</v>
      </c>
      <c r="K172" s="17">
        <f t="shared" si="89"/>
        <v>5012.4401648639987</v>
      </c>
    </row>
    <row r="173" spans="2:11" x14ac:dyDescent="0.3">
      <c r="B173" s="11" t="s">
        <v>28</v>
      </c>
      <c r="C173" s="11" t="s">
        <v>46</v>
      </c>
      <c r="D173" s="11"/>
      <c r="E173" s="19">
        <v>516.70000000000005</v>
      </c>
      <c r="F173" s="19">
        <v>196.7</v>
      </c>
      <c r="G173" s="20">
        <f>F173*(1+Assumptions!D27)</f>
        <v>196.7</v>
      </c>
      <c r="H173" s="20">
        <f>G173*(1+Assumptions!E27)</f>
        <v>196.7</v>
      </c>
      <c r="I173" s="20">
        <f>H173*(1+Assumptions!F27)</f>
        <v>196.7</v>
      </c>
      <c r="J173" s="20">
        <f>I173*(1+Assumptions!G27)</f>
        <v>196.7</v>
      </c>
      <c r="K173" s="20">
        <f>J173*(1+Assumptions!H27)</f>
        <v>196.7</v>
      </c>
    </row>
    <row r="174" spans="2:11" x14ac:dyDescent="0.3">
      <c r="B174" s="9" t="s">
        <v>29</v>
      </c>
      <c r="C174" s="9" t="s">
        <v>46</v>
      </c>
      <c r="D174" s="9"/>
      <c r="E174" s="21"/>
      <c r="F174" s="21">
        <v>-540.80000000000018</v>
      </c>
      <c r="G174" s="22">
        <f>-G172*Assumptions!D28</f>
        <v>-481.87199999999996</v>
      </c>
      <c r="H174" s="22">
        <f>-H172*Assumptions!E28</f>
        <v>-459.05823999999996</v>
      </c>
      <c r="I174" s="22">
        <f>-I172*Assumptions!F28</f>
        <v>-438.06958079999993</v>
      </c>
      <c r="J174" s="22">
        <f>-J172*Assumptions!G28</f>
        <v>-418.76001433599987</v>
      </c>
      <c r="K174" s="22">
        <f>-K172*Assumptions!H28</f>
        <v>-400.99521318911991</v>
      </c>
    </row>
    <row r="175" spans="2:11" x14ac:dyDescent="0.3">
      <c r="B175" s="23" t="s">
        <v>30</v>
      </c>
      <c r="C175" s="23" t="s">
        <v>46</v>
      </c>
      <c r="D175" s="23"/>
      <c r="E175" s="24">
        <v>6367.5</v>
      </c>
      <c r="F175" s="25">
        <f>SUM(F172:F174)</f>
        <v>6023.4</v>
      </c>
      <c r="G175" s="25">
        <f t="shared" ref="G175:K175" si="90">SUM(G172:G174)</f>
        <v>5738.2279999999992</v>
      </c>
      <c r="H175" s="25">
        <f t="shared" si="90"/>
        <v>5475.8697599999987</v>
      </c>
      <c r="I175" s="25">
        <f t="shared" si="90"/>
        <v>5234.5001791999985</v>
      </c>
      <c r="J175" s="25">
        <f t="shared" si="90"/>
        <v>5012.4401648639987</v>
      </c>
      <c r="K175" s="25">
        <f t="shared" si="90"/>
        <v>4808.1449516748789</v>
      </c>
    </row>
    <row r="176" spans="2:11" x14ac:dyDescent="0.3">
      <c r="E176" s="18"/>
      <c r="F176" s="18"/>
      <c r="G176" s="17"/>
      <c r="H176" s="17"/>
      <c r="I176" s="17"/>
      <c r="J176" s="17"/>
      <c r="K176" s="17"/>
    </row>
    <row r="177" spans="2:11" x14ac:dyDescent="0.3">
      <c r="B177" t="s">
        <v>144</v>
      </c>
      <c r="C177" t="s">
        <v>47</v>
      </c>
      <c r="E177" s="18"/>
      <c r="F177" s="13">
        <f>(F175-E175)/E175</f>
        <v>-5.4040047114252115E-2</v>
      </c>
      <c r="G177" s="13">
        <f t="shared" ref="G177:K177" si="91">(G175-F175)/F175</f>
        <v>-4.7344024969286531E-2</v>
      </c>
      <c r="H177" s="13">
        <f t="shared" si="91"/>
        <v>-4.572112505811908E-2</v>
      </c>
      <c r="I177" s="13">
        <f t="shared" si="91"/>
        <v>-4.4078765817834258E-2</v>
      </c>
      <c r="J177" s="13">
        <f t="shared" si="91"/>
        <v>-4.2422391199523797E-2</v>
      </c>
      <c r="K177" s="13">
        <f t="shared" si="91"/>
        <v>-4.0757636294829036E-2</v>
      </c>
    </row>
    <row r="178" spans="2:11" x14ac:dyDescent="0.3">
      <c r="B178" t="s">
        <v>33</v>
      </c>
      <c r="E178" s="18"/>
      <c r="F178" s="17">
        <f>AVERAGE(F172,F175)</f>
        <v>6195.45</v>
      </c>
      <c r="G178" s="17">
        <f t="shared" ref="G178:K178" si="92">AVERAGE(G172,G175)</f>
        <v>5880.8139999999994</v>
      </c>
      <c r="H178" s="17">
        <f t="shared" si="92"/>
        <v>5607.0488799999985</v>
      </c>
      <c r="I178" s="17">
        <f t="shared" si="92"/>
        <v>5355.184969599999</v>
      </c>
      <c r="J178" s="17">
        <f t="shared" si="92"/>
        <v>5123.470172031999</v>
      </c>
      <c r="K178" s="17">
        <f t="shared" si="92"/>
        <v>4910.2925582694388</v>
      </c>
    </row>
    <row r="179" spans="2:11" x14ac:dyDescent="0.3">
      <c r="E179" s="17"/>
      <c r="F179" s="17"/>
      <c r="G179" s="17"/>
      <c r="H179" s="17"/>
      <c r="I179" s="17"/>
      <c r="J179" s="17"/>
      <c r="K179" s="17"/>
    </row>
    <row r="180" spans="2:11" x14ac:dyDescent="0.3">
      <c r="B180" s="5" t="s">
        <v>199</v>
      </c>
    </row>
    <row r="182" spans="2:11" x14ac:dyDescent="0.3">
      <c r="B182" t="s">
        <v>27</v>
      </c>
      <c r="C182" t="s">
        <v>46</v>
      </c>
      <c r="E182" s="18"/>
      <c r="F182" s="45">
        <f>E185</f>
        <v>3005.7</v>
      </c>
      <c r="G182" s="17">
        <f t="shared" ref="G182:K182" si="93">F185</f>
        <v>3130.9</v>
      </c>
      <c r="H182" s="17">
        <f t="shared" si="93"/>
        <v>3239.0924999999997</v>
      </c>
      <c r="I182" s="17">
        <f t="shared" si="93"/>
        <v>3328.3513124999999</v>
      </c>
      <c r="J182" s="17">
        <f t="shared" si="93"/>
        <v>3401.9898328125</v>
      </c>
      <c r="K182" s="17">
        <f t="shared" si="93"/>
        <v>3462.7416120703124</v>
      </c>
    </row>
    <row r="183" spans="2:11" x14ac:dyDescent="0.3">
      <c r="B183" s="11" t="s">
        <v>28</v>
      </c>
      <c r="C183" s="11" t="s">
        <v>46</v>
      </c>
      <c r="D183" s="11"/>
      <c r="E183" s="19">
        <v>514.6</v>
      </c>
      <c r="F183" s="19">
        <v>656.1</v>
      </c>
      <c r="G183" s="20">
        <f>F183*(1+Assumptions!D27)</f>
        <v>656.1</v>
      </c>
      <c r="H183" s="20">
        <f>G183*(1+Assumptions!E27)</f>
        <v>656.1</v>
      </c>
      <c r="I183" s="20">
        <f>H183*(1+Assumptions!F27)</f>
        <v>656.1</v>
      </c>
      <c r="J183" s="20">
        <f>I183*(1+Assumptions!G27)</f>
        <v>656.1</v>
      </c>
      <c r="K183" s="20">
        <f>J183*(1+Assumptions!H27)</f>
        <v>656.1</v>
      </c>
    </row>
    <row r="184" spans="2:11" x14ac:dyDescent="0.3">
      <c r="B184" s="9" t="s">
        <v>29</v>
      </c>
      <c r="C184" s="9" t="s">
        <v>46</v>
      </c>
      <c r="D184" s="9"/>
      <c r="E184" s="21"/>
      <c r="F184" s="21">
        <v>-530.9</v>
      </c>
      <c r="G184" s="22">
        <f>-G182*Assumptions!D30</f>
        <v>-547.90750000000003</v>
      </c>
      <c r="H184" s="22">
        <f>-H182*Assumptions!E30</f>
        <v>-566.84118749999993</v>
      </c>
      <c r="I184" s="22">
        <f>-I182*Assumptions!F30</f>
        <v>-582.46147968749995</v>
      </c>
      <c r="J184" s="22">
        <f>-J182*Assumptions!G30</f>
        <v>-595.34822074218744</v>
      </c>
      <c r="K184" s="22">
        <f>-K182*Assumptions!H30</f>
        <v>-605.97978211230463</v>
      </c>
    </row>
    <row r="185" spans="2:11" x14ac:dyDescent="0.3">
      <c r="B185" s="23" t="s">
        <v>30</v>
      </c>
      <c r="C185" s="23" t="s">
        <v>46</v>
      </c>
      <c r="D185" s="23"/>
      <c r="E185" s="24">
        <v>3005.7</v>
      </c>
      <c r="F185" s="71">
        <v>3130.9</v>
      </c>
      <c r="G185" s="25">
        <f>SUM(G182:G184)</f>
        <v>3239.0924999999997</v>
      </c>
      <c r="H185" s="25">
        <f t="shared" ref="H185" si="94">SUM(H182:H184)</f>
        <v>3328.3513124999999</v>
      </c>
      <c r="I185" s="25">
        <f t="shared" ref="I185" si="95">SUM(I182:I184)</f>
        <v>3401.9898328125</v>
      </c>
      <c r="J185" s="25">
        <f t="shared" ref="J185" si="96">SUM(J182:J184)</f>
        <v>3462.7416120703124</v>
      </c>
      <c r="K185" s="25">
        <f t="shared" ref="K185" si="97">SUM(K182:K184)</f>
        <v>3512.8618299580075</v>
      </c>
    </row>
    <row r="186" spans="2:11" x14ac:dyDescent="0.3">
      <c r="E186" s="18"/>
      <c r="F186" s="18"/>
      <c r="G186" s="17"/>
      <c r="H186" s="17"/>
      <c r="I186" s="17"/>
      <c r="J186" s="17"/>
      <c r="K186" s="17"/>
    </row>
    <row r="187" spans="2:11" x14ac:dyDescent="0.3">
      <c r="B187" t="s">
        <v>144</v>
      </c>
      <c r="C187" t="s">
        <v>47</v>
      </c>
      <c r="E187" s="18"/>
      <c r="F187" s="13">
        <f>(F185-E185)/E185</f>
        <v>4.1654190371627334E-2</v>
      </c>
      <c r="G187" s="13">
        <f t="shared" ref="G187:K187" si="98">(G185-F185)/F185</f>
        <v>3.4556357596857025E-2</v>
      </c>
      <c r="H187" s="13">
        <f t="shared" si="98"/>
        <v>2.7556734640952738E-2</v>
      </c>
      <c r="I187" s="13">
        <f t="shared" si="98"/>
        <v>2.2124623694602875E-2</v>
      </c>
      <c r="J187" s="13">
        <f t="shared" si="98"/>
        <v>1.7857719230038829E-2</v>
      </c>
      <c r="K187" s="13">
        <f t="shared" si="98"/>
        <v>1.4474143179782094E-2</v>
      </c>
    </row>
    <row r="188" spans="2:11" x14ac:dyDescent="0.3">
      <c r="B188" t="s">
        <v>33</v>
      </c>
      <c r="E188" s="18"/>
      <c r="F188" s="17">
        <f>AVERAGE(F182,F185)</f>
        <v>3068.3</v>
      </c>
      <c r="G188" s="17">
        <f t="shared" ref="G188:K188" si="99">AVERAGE(G182,G185)</f>
        <v>3184.9962500000001</v>
      </c>
      <c r="H188" s="17">
        <f t="shared" si="99"/>
        <v>3283.7219062499998</v>
      </c>
      <c r="I188" s="17">
        <f t="shared" si="99"/>
        <v>3365.17057265625</v>
      </c>
      <c r="J188" s="17">
        <f t="shared" si="99"/>
        <v>3432.3657224414064</v>
      </c>
      <c r="K188" s="17">
        <f t="shared" si="99"/>
        <v>3487.8017210141597</v>
      </c>
    </row>
    <row r="189" spans="2:11" x14ac:dyDescent="0.3">
      <c r="E189" s="67"/>
      <c r="F189" s="67"/>
      <c r="G189" s="68"/>
      <c r="H189" s="68"/>
      <c r="I189" s="68"/>
      <c r="J189" s="68"/>
      <c r="K189" s="68"/>
    </row>
    <row r="190" spans="2:11" x14ac:dyDescent="0.3">
      <c r="E190" s="67"/>
      <c r="F190" s="67"/>
      <c r="G190" s="68"/>
      <c r="H190" s="68"/>
      <c r="I190" s="68"/>
      <c r="J190" s="68"/>
      <c r="K190" s="68"/>
    </row>
    <row r="191" spans="2:11" x14ac:dyDescent="0.3">
      <c r="B191" s="72" t="s">
        <v>205</v>
      </c>
      <c r="C191" s="4"/>
      <c r="D191" s="4"/>
      <c r="E191" s="73"/>
      <c r="F191" s="73"/>
      <c r="G191" s="74"/>
      <c r="H191" s="74"/>
      <c r="I191" s="74"/>
      <c r="J191" s="74"/>
      <c r="K191" s="74"/>
    </row>
    <row r="192" spans="2:11" x14ac:dyDescent="0.3">
      <c r="E192" s="67"/>
      <c r="F192" s="67"/>
      <c r="G192" s="68"/>
      <c r="H192" s="68"/>
      <c r="I192" s="68"/>
      <c r="J192" s="68"/>
      <c r="K192" s="68"/>
    </row>
    <row r="193" spans="2:11" x14ac:dyDescent="0.3">
      <c r="B193" t="s">
        <v>206</v>
      </c>
      <c r="C193" t="s">
        <v>46</v>
      </c>
      <c r="E193" s="67"/>
      <c r="F193" s="17">
        <f>F185+F175+F152+F159+F142+F132+F122+F112</f>
        <v>25831.7</v>
      </c>
      <c r="G193" s="17">
        <f>G185+G175+G152+G159+G142+G132+G122+G112</f>
        <v>26875.019999999997</v>
      </c>
      <c r="H193" s="17">
        <f t="shared" ref="H193:K193" si="100">H185+H175+H152+H159+H142+H132+H122+H112</f>
        <v>27824.606289999996</v>
      </c>
      <c r="I193" s="17">
        <f t="shared" si="100"/>
        <v>28627.27272515</v>
      </c>
      <c r="J193" s="17">
        <f t="shared" si="100"/>
        <v>29290.540211608746</v>
      </c>
      <c r="K193" s="17">
        <f t="shared" si="100"/>
        <v>29893.119420461328</v>
      </c>
    </row>
    <row r="194" spans="2:11" x14ac:dyDescent="0.3">
      <c r="B194" t="s">
        <v>44</v>
      </c>
      <c r="C194" t="s">
        <v>46</v>
      </c>
      <c r="E194" s="67"/>
      <c r="F194" s="67"/>
      <c r="G194" s="17">
        <f>AVERAGE(F193,G193)</f>
        <v>26353.360000000001</v>
      </c>
      <c r="H194" s="17">
        <f t="shared" ref="H194:K194" si="101">AVERAGE(G193,H193)</f>
        <v>27349.813144999996</v>
      </c>
      <c r="I194" s="17">
        <f t="shared" si="101"/>
        <v>28225.939507575</v>
      </c>
      <c r="J194" s="17">
        <f t="shared" si="101"/>
        <v>28958.906468379373</v>
      </c>
      <c r="K194" s="17">
        <f t="shared" si="101"/>
        <v>29591.829816035039</v>
      </c>
    </row>
    <row r="195" spans="2:11" x14ac:dyDescent="0.3">
      <c r="E195" s="67"/>
      <c r="F195" s="67"/>
      <c r="G195" s="68"/>
      <c r="H195" s="68"/>
      <c r="I195" s="68"/>
      <c r="J195" s="68"/>
      <c r="K195" s="68"/>
    </row>
    <row r="196" spans="2:11" x14ac:dyDescent="0.3">
      <c r="B196" t="s">
        <v>207</v>
      </c>
      <c r="C196" t="s">
        <v>47</v>
      </c>
      <c r="E196" s="67"/>
      <c r="F196" s="67"/>
      <c r="G196" s="75">
        <f>(G193-F193)/F193</f>
        <v>4.0389134280747918E-2</v>
      </c>
      <c r="H196" s="75">
        <f t="shared" ref="H196:K196" si="102">(H193-G193)/G193</f>
        <v>3.533341705420124E-2</v>
      </c>
      <c r="I196" s="75">
        <f t="shared" si="102"/>
        <v>2.8847360023148923E-2</v>
      </c>
      <c r="J196" s="75">
        <f t="shared" si="102"/>
        <v>2.3169077013614498E-2</v>
      </c>
      <c r="K196" s="75">
        <f t="shared" si="102"/>
        <v>2.057248533141634E-2</v>
      </c>
    </row>
    <row r="197" spans="2:11" x14ac:dyDescent="0.3">
      <c r="E197" s="67"/>
      <c r="F197" s="67"/>
      <c r="G197" s="68"/>
      <c r="H197" s="68"/>
      <c r="I197" s="68"/>
      <c r="J197" s="68"/>
      <c r="K197" s="68"/>
    </row>
    <row r="199" spans="2:11" ht="25.8" x14ac:dyDescent="0.5">
      <c r="B199" s="3" t="str">
        <f>Cover!$B$2</f>
        <v>OSB</v>
      </c>
      <c r="C199" s="3"/>
      <c r="D199" s="4"/>
      <c r="E199" s="4"/>
      <c r="F199" s="4"/>
      <c r="G199" s="4"/>
      <c r="H199" s="4"/>
      <c r="I199" s="4"/>
      <c r="J199" s="4"/>
      <c r="K199" s="4"/>
    </row>
    <row r="200" spans="2:11" x14ac:dyDescent="0.3">
      <c r="B200" s="4" t="s">
        <v>34</v>
      </c>
      <c r="C200" s="4"/>
      <c r="D200" s="4"/>
      <c r="E200" s="4"/>
      <c r="F200" s="4"/>
      <c r="G200" s="4"/>
      <c r="H200" s="4"/>
      <c r="I200" s="4"/>
      <c r="J200" s="4"/>
      <c r="K200" s="4"/>
    </row>
    <row r="201" spans="2:11" x14ac:dyDescent="0.3">
      <c r="B201" s="4"/>
      <c r="C201" s="4"/>
      <c r="D201" s="4"/>
      <c r="E201" s="4"/>
      <c r="F201" s="4"/>
      <c r="G201" s="4"/>
      <c r="H201" s="4"/>
      <c r="I201" s="4"/>
    </row>
    <row r="202" spans="2:11" x14ac:dyDescent="0.3">
      <c r="B202" s="4"/>
      <c r="C202" s="4"/>
      <c r="D202" s="4"/>
      <c r="E202" s="4"/>
      <c r="F202" s="4"/>
      <c r="G202" s="4"/>
      <c r="H202" s="4"/>
      <c r="I202" s="4"/>
    </row>
    <row r="204" spans="2:11" x14ac:dyDescent="0.3">
      <c r="C204" t="s">
        <v>10</v>
      </c>
      <c r="E204" s="51">
        <v>2024</v>
      </c>
      <c r="F204" s="51">
        <v>2025</v>
      </c>
      <c r="G204" s="52">
        <f>F204+1</f>
        <v>2026</v>
      </c>
      <c r="H204" s="52">
        <f t="shared" ref="H204:K204" si="103">G204+1</f>
        <v>2027</v>
      </c>
      <c r="I204" s="52">
        <f t="shared" si="103"/>
        <v>2028</v>
      </c>
      <c r="J204" s="52">
        <f t="shared" si="103"/>
        <v>2029</v>
      </c>
      <c r="K204" s="52">
        <f t="shared" si="103"/>
        <v>2030</v>
      </c>
    </row>
    <row r="206" spans="2:11" x14ac:dyDescent="0.3">
      <c r="B206" s="5" t="s">
        <v>56</v>
      </c>
    </row>
    <row r="207" spans="2:11" x14ac:dyDescent="0.3">
      <c r="B207" s="5"/>
    </row>
    <row r="208" spans="2:11" x14ac:dyDescent="0.3">
      <c r="B208" t="s">
        <v>57</v>
      </c>
      <c r="E208" s="50">
        <v>22126.6</v>
      </c>
      <c r="F208" s="26">
        <f>E210</f>
        <v>23820.3</v>
      </c>
      <c r="G208" s="26">
        <f t="shared" ref="G208:K208" si="104">F210</f>
        <v>24251.1</v>
      </c>
      <c r="H208" s="26">
        <f t="shared" si="104"/>
        <v>24736.121999999999</v>
      </c>
      <c r="I208" s="26">
        <f t="shared" si="104"/>
        <v>25230.844440000001</v>
      </c>
      <c r="J208" s="26">
        <f t="shared" si="104"/>
        <v>25735.4613288</v>
      </c>
      <c r="K208" s="26">
        <f t="shared" si="104"/>
        <v>26250.170555376</v>
      </c>
    </row>
    <row r="209" spans="2:11" x14ac:dyDescent="0.3">
      <c r="B209" t="s">
        <v>58</v>
      </c>
      <c r="E209" s="26">
        <f>E210-E208</f>
        <v>1693.7000000000007</v>
      </c>
      <c r="F209" s="26">
        <f t="shared" ref="F209" si="105">F210-F208</f>
        <v>430.79999999999927</v>
      </c>
      <c r="G209" s="26">
        <f>G208*Assumptions!D49</f>
        <v>485.02199999999999</v>
      </c>
      <c r="H209" s="26">
        <f>H208*Assumptions!E49</f>
        <v>494.72244000000001</v>
      </c>
      <c r="I209" s="26">
        <f>I208*Assumptions!F49</f>
        <v>504.61688880000003</v>
      </c>
      <c r="J209" s="26">
        <f>J208*Assumptions!G49</f>
        <v>514.70922657599999</v>
      </c>
      <c r="K209" s="26">
        <f>K208*Assumptions!H49</f>
        <v>525.00341110752004</v>
      </c>
    </row>
    <row r="210" spans="2:11" x14ac:dyDescent="0.3">
      <c r="B210" s="10" t="s">
        <v>59</v>
      </c>
      <c r="C210" s="10"/>
      <c r="D210" s="10"/>
      <c r="E210" s="62">
        <f>E54</f>
        <v>23820.3</v>
      </c>
      <c r="F210" s="62">
        <f>F54</f>
        <v>24251.1</v>
      </c>
      <c r="G210" s="62">
        <f>SUM(G208:G209)</f>
        <v>24736.121999999999</v>
      </c>
      <c r="H210" s="62">
        <f t="shared" ref="H210:K210" si="106">SUM(H208:H209)</f>
        <v>25230.844440000001</v>
      </c>
      <c r="I210" s="62">
        <f t="shared" si="106"/>
        <v>25735.4613288</v>
      </c>
      <c r="J210" s="62">
        <f t="shared" si="106"/>
        <v>26250.170555376</v>
      </c>
      <c r="K210" s="62">
        <f t="shared" si="106"/>
        <v>26775.173966483519</v>
      </c>
    </row>
    <row r="211" spans="2:11" x14ac:dyDescent="0.3">
      <c r="B211" s="6" t="s">
        <v>60</v>
      </c>
      <c r="C211" s="6"/>
      <c r="D211" s="6"/>
      <c r="E211" s="83">
        <f>AVERAGE(E208,E210)</f>
        <v>22973.449999999997</v>
      </c>
      <c r="F211" s="83">
        <f t="shared" ref="F211:K211" si="107">AVERAGE(F208,F210)</f>
        <v>24035.699999999997</v>
      </c>
      <c r="G211" s="83">
        <f t="shared" si="107"/>
        <v>24493.610999999997</v>
      </c>
      <c r="H211" s="83">
        <f t="shared" si="107"/>
        <v>24983.483220000002</v>
      </c>
      <c r="I211" s="83">
        <f t="shared" si="107"/>
        <v>25483.152884399999</v>
      </c>
      <c r="J211" s="83">
        <f t="shared" si="107"/>
        <v>25992.815942088</v>
      </c>
      <c r="K211" s="83">
        <f t="shared" si="107"/>
        <v>26512.672260929758</v>
      </c>
    </row>
    <row r="212" spans="2:11" x14ac:dyDescent="0.3">
      <c r="E212" s="17"/>
      <c r="F212" s="17"/>
      <c r="G212" s="17"/>
      <c r="H212" s="17"/>
      <c r="I212" s="17"/>
      <c r="J212" s="17"/>
      <c r="K212" s="17"/>
    </row>
    <row r="213" spans="2:11" x14ac:dyDescent="0.3">
      <c r="B213" t="s">
        <v>340</v>
      </c>
      <c r="E213" s="17"/>
      <c r="F213" s="17">
        <f>E215</f>
        <v>104.9</v>
      </c>
      <c r="G213" s="17">
        <f t="shared" ref="G213:K213" si="108">F215</f>
        <v>478.4</v>
      </c>
      <c r="H213" s="17">
        <f t="shared" si="108"/>
        <v>478.4</v>
      </c>
      <c r="I213" s="17">
        <f t="shared" si="108"/>
        <v>478.4</v>
      </c>
      <c r="J213" s="17">
        <f t="shared" si="108"/>
        <v>478.4</v>
      </c>
      <c r="K213" s="17">
        <f t="shared" si="108"/>
        <v>478.4</v>
      </c>
    </row>
    <row r="214" spans="2:11" x14ac:dyDescent="0.3">
      <c r="B214" t="s">
        <v>343</v>
      </c>
      <c r="E214" s="17"/>
      <c r="F214" s="17">
        <f>F215-F213</f>
        <v>373.5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</row>
    <row r="215" spans="2:11" x14ac:dyDescent="0.3">
      <c r="B215" s="10" t="s">
        <v>342</v>
      </c>
      <c r="C215" s="10"/>
      <c r="D215" s="10"/>
      <c r="E215" s="32">
        <f>E56</f>
        <v>104.9</v>
      </c>
      <c r="F215" s="32">
        <f>F56</f>
        <v>478.4</v>
      </c>
      <c r="G215" s="32">
        <f>SUM(G213:G214)</f>
        <v>478.4</v>
      </c>
      <c r="H215" s="32">
        <f t="shared" ref="H215:K215" si="109">SUM(H213:H214)</f>
        <v>478.4</v>
      </c>
      <c r="I215" s="32">
        <f t="shared" si="109"/>
        <v>478.4</v>
      </c>
      <c r="J215" s="32">
        <f t="shared" si="109"/>
        <v>478.4</v>
      </c>
      <c r="K215" s="32">
        <f t="shared" si="109"/>
        <v>478.4</v>
      </c>
    </row>
    <row r="216" spans="2:11" x14ac:dyDescent="0.3">
      <c r="B216" s="6" t="s">
        <v>341</v>
      </c>
      <c r="C216" s="6"/>
      <c r="D216" s="6"/>
      <c r="E216" s="6"/>
      <c r="F216" s="83">
        <f>AVERAGE(E215,F215)</f>
        <v>291.64999999999998</v>
      </c>
      <c r="G216" s="83">
        <f t="shared" ref="G216:K216" si="110">AVERAGE(F215,G215)</f>
        <v>478.4</v>
      </c>
      <c r="H216" s="83">
        <f t="shared" si="110"/>
        <v>478.4</v>
      </c>
      <c r="I216" s="83">
        <f t="shared" si="110"/>
        <v>478.4</v>
      </c>
      <c r="J216" s="83">
        <f t="shared" si="110"/>
        <v>478.4</v>
      </c>
      <c r="K216" s="83">
        <f t="shared" si="110"/>
        <v>478.4</v>
      </c>
    </row>
    <row r="217" spans="2:11" x14ac:dyDescent="0.3">
      <c r="E217" s="17"/>
      <c r="F217" s="17"/>
      <c r="G217" s="17"/>
      <c r="H217" s="17"/>
      <c r="I217" s="17"/>
      <c r="J217" s="17"/>
      <c r="K217" s="17"/>
    </row>
    <row r="218" spans="2:11" x14ac:dyDescent="0.3">
      <c r="E218" s="17"/>
      <c r="F218" s="17"/>
      <c r="G218" s="17"/>
      <c r="H218" s="17"/>
      <c r="I218" s="17"/>
      <c r="J218" s="17"/>
      <c r="K218" s="17"/>
    </row>
    <row r="219" spans="2:11" x14ac:dyDescent="0.3">
      <c r="B219" t="s">
        <v>230</v>
      </c>
      <c r="E219" s="17"/>
      <c r="F219" s="17">
        <f>E222</f>
        <v>1018.3</v>
      </c>
      <c r="G219" s="17">
        <f t="shared" ref="G219:K219" si="111">F222</f>
        <v>1010</v>
      </c>
      <c r="H219" s="17">
        <f t="shared" si="111"/>
        <v>808</v>
      </c>
      <c r="I219" s="17">
        <f t="shared" si="111"/>
        <v>646.4</v>
      </c>
      <c r="J219" s="17">
        <f t="shared" si="111"/>
        <v>517.12</v>
      </c>
      <c r="K219" s="17">
        <f t="shared" si="111"/>
        <v>413.69600000000003</v>
      </c>
    </row>
    <row r="220" spans="2:11" x14ac:dyDescent="0.3">
      <c r="B220" s="11" t="s">
        <v>234</v>
      </c>
      <c r="C220" s="11"/>
      <c r="D220" s="11"/>
      <c r="E220" s="77"/>
      <c r="F220" s="77"/>
      <c r="G220" s="20">
        <f>Assumptions!D55</f>
        <v>0</v>
      </c>
      <c r="H220" s="20">
        <f>Assumptions!E55</f>
        <v>0</v>
      </c>
      <c r="I220" s="20">
        <f>Assumptions!F55</f>
        <v>0</v>
      </c>
      <c r="J220" s="20">
        <f>Assumptions!G55</f>
        <v>0</v>
      </c>
      <c r="K220" s="20">
        <f>Assumptions!H55</f>
        <v>0</v>
      </c>
    </row>
    <row r="221" spans="2:11" x14ac:dyDescent="0.3">
      <c r="B221" s="9" t="s">
        <v>233</v>
      </c>
      <c r="C221" s="9"/>
      <c r="D221" s="9"/>
      <c r="E221" s="78"/>
      <c r="F221" s="78"/>
      <c r="G221" s="22">
        <f>-G219*Assumptions!D53</f>
        <v>-202</v>
      </c>
      <c r="H221" s="22">
        <f>-H219*Assumptions!E53</f>
        <v>-161.60000000000002</v>
      </c>
      <c r="I221" s="22">
        <f>-I219*Assumptions!F53</f>
        <v>-129.28</v>
      </c>
      <c r="J221" s="22">
        <f>-J219*Assumptions!G53</f>
        <v>-103.42400000000001</v>
      </c>
      <c r="K221" s="22">
        <f>-K219*Assumptions!H53</f>
        <v>-82.739200000000011</v>
      </c>
    </row>
    <row r="222" spans="2:11" x14ac:dyDescent="0.3">
      <c r="B222" s="5" t="s">
        <v>231</v>
      </c>
      <c r="C222" s="5"/>
      <c r="D222" s="5"/>
      <c r="E222" s="30">
        <f>E57</f>
        <v>1018.3</v>
      </c>
      <c r="F222" s="30">
        <f>F57</f>
        <v>1010</v>
      </c>
      <c r="G222" s="30">
        <f>SUM(G219:G221)</f>
        <v>808</v>
      </c>
      <c r="H222" s="30">
        <f t="shared" ref="H222:K222" si="112">SUM(H219:H221)</f>
        <v>646.4</v>
      </c>
      <c r="I222" s="30">
        <f t="shared" si="112"/>
        <v>517.12</v>
      </c>
      <c r="J222" s="30">
        <f t="shared" si="112"/>
        <v>413.69600000000003</v>
      </c>
      <c r="K222" s="30">
        <f t="shared" si="112"/>
        <v>330.95680000000004</v>
      </c>
    </row>
    <row r="223" spans="2:11" x14ac:dyDescent="0.3">
      <c r="B223" s="5" t="s">
        <v>232</v>
      </c>
      <c r="C223" s="5"/>
      <c r="D223" s="5"/>
      <c r="E223" s="30">
        <f>+AVERAGE(E219,E222)</f>
        <v>1018.3</v>
      </c>
      <c r="F223" s="30">
        <f t="shared" ref="F223:K223" si="113">+AVERAGE(F219,F222)</f>
        <v>1014.15</v>
      </c>
      <c r="G223" s="30">
        <f t="shared" si="113"/>
        <v>909</v>
      </c>
      <c r="H223" s="30">
        <f t="shared" si="113"/>
        <v>727.2</v>
      </c>
      <c r="I223" s="30">
        <f t="shared" si="113"/>
        <v>581.76</v>
      </c>
      <c r="J223" s="30">
        <f t="shared" si="113"/>
        <v>465.40800000000002</v>
      </c>
      <c r="K223" s="30">
        <f t="shared" si="113"/>
        <v>372.32640000000004</v>
      </c>
    </row>
    <row r="224" spans="2:11" x14ac:dyDescent="0.3">
      <c r="E224" s="17"/>
      <c r="F224" s="17"/>
      <c r="G224" s="17"/>
      <c r="H224" s="17"/>
      <c r="I224" s="17"/>
      <c r="J224" s="17"/>
      <c r="K224" s="17"/>
    </row>
    <row r="225" spans="2:11" x14ac:dyDescent="0.3">
      <c r="B225" t="s">
        <v>216</v>
      </c>
      <c r="E225" s="17"/>
      <c r="F225" s="17">
        <f>E228</f>
        <v>722.7</v>
      </c>
      <c r="G225" s="17">
        <f>F228</f>
        <v>723.4</v>
      </c>
      <c r="H225" s="17">
        <f t="shared" ref="H225:K225" si="114">G228</f>
        <v>723.4</v>
      </c>
      <c r="I225" s="17">
        <f t="shared" si="114"/>
        <v>773.40000000000009</v>
      </c>
      <c r="J225" s="17">
        <f t="shared" si="114"/>
        <v>773.40000000000009</v>
      </c>
      <c r="K225" s="17">
        <f t="shared" si="114"/>
        <v>823.40000000000009</v>
      </c>
    </row>
    <row r="226" spans="2:11" x14ac:dyDescent="0.3">
      <c r="B226" s="11" t="s">
        <v>49</v>
      </c>
      <c r="C226" s="11"/>
      <c r="D226" s="11"/>
      <c r="E226" s="81"/>
      <c r="F226" s="81"/>
      <c r="G226" s="20">
        <f>Assumptions!D63</f>
        <v>0</v>
      </c>
      <c r="H226" s="20">
        <f>Assumptions!E63</f>
        <v>350</v>
      </c>
      <c r="I226" s="20">
        <f>Assumptions!F63</f>
        <v>0</v>
      </c>
      <c r="J226" s="20">
        <f>Assumptions!G63</f>
        <v>450</v>
      </c>
      <c r="K226" s="20">
        <f>Assumptions!H63</f>
        <v>0</v>
      </c>
    </row>
    <row r="227" spans="2:11" x14ac:dyDescent="0.3">
      <c r="B227" s="9" t="s">
        <v>51</v>
      </c>
      <c r="C227" s="9"/>
      <c r="D227" s="9"/>
      <c r="E227" s="82"/>
      <c r="F227" s="82"/>
      <c r="G227" s="22">
        <f>-Assumptions!D62</f>
        <v>0</v>
      </c>
      <c r="H227" s="22">
        <f>-Assumptions!E62</f>
        <v>-300</v>
      </c>
      <c r="I227" s="22">
        <f>-Assumptions!F62</f>
        <v>0</v>
      </c>
      <c r="J227" s="22">
        <f>-Assumptions!G62</f>
        <v>-400</v>
      </c>
      <c r="K227" s="22">
        <f>-Assumptions!H62</f>
        <v>0</v>
      </c>
    </row>
    <row r="228" spans="2:11" x14ac:dyDescent="0.3">
      <c r="B228" s="5" t="s">
        <v>217</v>
      </c>
      <c r="C228" s="5"/>
      <c r="D228" s="5"/>
      <c r="E228" s="44">
        <f>E63</f>
        <v>722.7</v>
      </c>
      <c r="F228" s="44">
        <f>F63</f>
        <v>723.4</v>
      </c>
      <c r="G228" s="30">
        <f>SUM(G225:G227)</f>
        <v>723.4</v>
      </c>
      <c r="H228" s="30">
        <f t="shared" ref="H228:K228" si="115">SUM(H225:H227)</f>
        <v>773.40000000000009</v>
      </c>
      <c r="I228" s="30">
        <f t="shared" si="115"/>
        <v>773.40000000000009</v>
      </c>
      <c r="J228" s="30">
        <f t="shared" si="115"/>
        <v>823.40000000000009</v>
      </c>
      <c r="K228" s="30">
        <f t="shared" si="115"/>
        <v>823.40000000000009</v>
      </c>
    </row>
    <row r="229" spans="2:11" x14ac:dyDescent="0.3">
      <c r="B229" s="5" t="s">
        <v>218</v>
      </c>
      <c r="C229" s="5"/>
      <c r="D229" s="5"/>
      <c r="E229" s="30"/>
      <c r="F229" s="30">
        <f>AVERAGE(F225,F228)</f>
        <v>723.05</v>
      </c>
      <c r="G229" s="30">
        <f t="shared" ref="G229:K229" si="116">AVERAGE(G225,G228)</f>
        <v>723.4</v>
      </c>
      <c r="H229" s="30">
        <f t="shared" si="116"/>
        <v>748.40000000000009</v>
      </c>
      <c r="I229" s="30">
        <f t="shared" si="116"/>
        <v>773.40000000000009</v>
      </c>
      <c r="J229" s="30">
        <f t="shared" si="116"/>
        <v>798.40000000000009</v>
      </c>
      <c r="K229" s="30">
        <f t="shared" si="116"/>
        <v>823.40000000000009</v>
      </c>
    </row>
    <row r="230" spans="2:11" x14ac:dyDescent="0.3">
      <c r="E230" s="17"/>
      <c r="F230" s="17"/>
      <c r="G230" s="17"/>
      <c r="H230" s="17"/>
      <c r="I230" s="17"/>
      <c r="J230" s="17"/>
      <c r="K230" s="17"/>
    </row>
    <row r="231" spans="2:11" x14ac:dyDescent="0.3">
      <c r="B231" t="s">
        <v>219</v>
      </c>
      <c r="E231" s="17"/>
      <c r="F231" s="17">
        <f>E234</f>
        <v>259.8</v>
      </c>
      <c r="G231" s="17">
        <f>F234</f>
        <v>260.10000000000002</v>
      </c>
      <c r="H231" s="17">
        <f t="shared" ref="H231:K231" si="117">G234</f>
        <v>260.10000000000002</v>
      </c>
      <c r="I231" s="17">
        <f t="shared" si="117"/>
        <v>260.10000000000002</v>
      </c>
      <c r="J231" s="17">
        <f t="shared" si="117"/>
        <v>260.10000000000002</v>
      </c>
      <c r="K231" s="17">
        <f t="shared" si="117"/>
        <v>260.10000000000002</v>
      </c>
    </row>
    <row r="232" spans="2:11" x14ac:dyDescent="0.3">
      <c r="B232" s="11" t="s">
        <v>49</v>
      </c>
      <c r="C232" s="11"/>
      <c r="D232" s="11"/>
      <c r="E232" s="20"/>
      <c r="F232" s="20"/>
      <c r="G232" s="20">
        <f>Assumptions!D69</f>
        <v>0</v>
      </c>
      <c r="H232" s="20">
        <f>Assumptions!E69</f>
        <v>0</v>
      </c>
      <c r="I232" s="20">
        <f>Assumptions!F69</f>
        <v>0</v>
      </c>
      <c r="J232" s="20">
        <f>Assumptions!G69</f>
        <v>0</v>
      </c>
      <c r="K232" s="20">
        <f>Assumptions!H69</f>
        <v>0</v>
      </c>
    </row>
    <row r="233" spans="2:11" x14ac:dyDescent="0.3">
      <c r="B233" s="9" t="s">
        <v>51</v>
      </c>
      <c r="C233" s="9"/>
      <c r="D233" s="9"/>
      <c r="E233" s="22"/>
      <c r="F233" s="22"/>
      <c r="G233" s="22">
        <f>Assumptions!D70</f>
        <v>0</v>
      </c>
      <c r="H233" s="22">
        <f>Assumptions!E70</f>
        <v>0</v>
      </c>
      <c r="I233" s="22">
        <f>Assumptions!F70</f>
        <v>0</v>
      </c>
      <c r="J233" s="22">
        <f>Assumptions!G70</f>
        <v>0</v>
      </c>
      <c r="K233" s="22">
        <f>Assumptions!H70</f>
        <v>0</v>
      </c>
    </row>
    <row r="234" spans="2:11" x14ac:dyDescent="0.3">
      <c r="B234" s="5" t="s">
        <v>220</v>
      </c>
      <c r="C234" s="5"/>
      <c r="D234" s="5"/>
      <c r="E234" s="44">
        <f>E64</f>
        <v>259.8</v>
      </c>
      <c r="F234" s="44">
        <f>F64</f>
        <v>260.10000000000002</v>
      </c>
      <c r="G234" s="30">
        <f>SUM(G231:G233)</f>
        <v>260.10000000000002</v>
      </c>
      <c r="H234" s="30">
        <f t="shared" ref="H234:K234" si="118">SUM(H231:H233)</f>
        <v>260.10000000000002</v>
      </c>
      <c r="I234" s="30">
        <f t="shared" si="118"/>
        <v>260.10000000000002</v>
      </c>
      <c r="J234" s="30">
        <f t="shared" si="118"/>
        <v>260.10000000000002</v>
      </c>
      <c r="K234" s="30">
        <f t="shared" si="118"/>
        <v>260.10000000000002</v>
      </c>
    </row>
    <row r="235" spans="2:11" x14ac:dyDescent="0.3">
      <c r="B235" s="5" t="s">
        <v>221</v>
      </c>
      <c r="C235" s="5"/>
      <c r="D235" s="5"/>
      <c r="E235" s="30"/>
      <c r="F235" s="30">
        <f>AVERAGE(F231,F234)</f>
        <v>259.95000000000005</v>
      </c>
      <c r="G235" s="30">
        <f t="shared" ref="G235:K235" si="119">AVERAGE(G231,G234)</f>
        <v>260.10000000000002</v>
      </c>
      <c r="H235" s="30">
        <f t="shared" si="119"/>
        <v>260.10000000000002</v>
      </c>
      <c r="I235" s="30">
        <f t="shared" si="119"/>
        <v>260.10000000000002</v>
      </c>
      <c r="J235" s="30">
        <f t="shared" si="119"/>
        <v>260.10000000000002</v>
      </c>
      <c r="K235" s="30">
        <f t="shared" si="119"/>
        <v>260.10000000000002</v>
      </c>
    </row>
    <row r="236" spans="2:11" x14ac:dyDescent="0.3">
      <c r="B236" s="5"/>
      <c r="C236" s="5"/>
      <c r="D236" s="5"/>
      <c r="E236" s="30"/>
      <c r="F236" s="30"/>
      <c r="G236" s="30"/>
      <c r="H236" s="30"/>
      <c r="I236" s="30"/>
      <c r="J236" s="30"/>
      <c r="K236" s="30"/>
    </row>
    <row r="237" spans="2:11" x14ac:dyDescent="0.3">
      <c r="B237" s="5" t="s">
        <v>212</v>
      </c>
      <c r="E237" s="17"/>
      <c r="F237" s="17"/>
      <c r="G237" s="17"/>
      <c r="H237" s="17"/>
      <c r="I237" s="17"/>
      <c r="J237" s="17"/>
      <c r="K237" s="17"/>
    </row>
    <row r="238" spans="2:11" x14ac:dyDescent="0.3">
      <c r="B238" s="5"/>
      <c r="E238" s="17"/>
      <c r="F238" s="17"/>
      <c r="G238" s="17"/>
      <c r="H238" s="17"/>
      <c r="I238" s="17"/>
      <c r="J238" s="17"/>
      <c r="K238" s="17"/>
    </row>
    <row r="239" spans="2:11" x14ac:dyDescent="0.3">
      <c r="B239" t="s">
        <v>50</v>
      </c>
      <c r="E239" s="18">
        <v>1394.9</v>
      </c>
      <c r="F239" s="18">
        <v>0</v>
      </c>
      <c r="G239" s="17">
        <v>0</v>
      </c>
      <c r="H239" s="17">
        <v>0</v>
      </c>
      <c r="I239" s="17">
        <v>0</v>
      </c>
      <c r="J239" s="17">
        <v>0</v>
      </c>
      <c r="K239" s="17">
        <v>0</v>
      </c>
    </row>
    <row r="240" spans="2:11" x14ac:dyDescent="0.3">
      <c r="B240" s="9" t="s">
        <v>53</v>
      </c>
      <c r="C240" s="9"/>
      <c r="D240" s="9"/>
      <c r="E240" s="21">
        <v>380.3</v>
      </c>
      <c r="F240" s="21">
        <v>1509.9</v>
      </c>
      <c r="G240" s="22">
        <f>F240+Assumptions!D59-Assumptions!D60</f>
        <v>1509.9</v>
      </c>
      <c r="H240" s="22">
        <f>G240+Assumptions!E59-Assumptions!E60</f>
        <v>1509.9</v>
      </c>
      <c r="I240" s="22">
        <f>H240+Assumptions!F59-Assumptions!F60</f>
        <v>1509.9</v>
      </c>
      <c r="J240" s="22">
        <f>I240+Assumptions!G59-Assumptions!G60</f>
        <v>1509.9</v>
      </c>
      <c r="K240" s="22">
        <f>J240+Assumptions!H59-Assumptions!H60</f>
        <v>1509.9</v>
      </c>
    </row>
    <row r="241" spans="2:11" x14ac:dyDescent="0.3">
      <c r="B241" s="5" t="s">
        <v>52</v>
      </c>
      <c r="C241" s="5"/>
      <c r="D241" s="5"/>
      <c r="E241" s="30">
        <f>SUM(E239:E240)</f>
        <v>1775.2</v>
      </c>
      <c r="F241" s="30">
        <f t="shared" ref="F241:K241" si="120">SUM(F239:F240)</f>
        <v>1509.9</v>
      </c>
      <c r="G241" s="30">
        <f t="shared" si="120"/>
        <v>1509.9</v>
      </c>
      <c r="H241" s="30">
        <f t="shared" si="120"/>
        <v>1509.9</v>
      </c>
      <c r="I241" s="30">
        <f t="shared" si="120"/>
        <v>1509.9</v>
      </c>
      <c r="J241" s="30">
        <f t="shared" si="120"/>
        <v>1509.9</v>
      </c>
      <c r="K241" s="30">
        <f t="shared" si="120"/>
        <v>1509.9</v>
      </c>
    </row>
    <row r="242" spans="2:11" x14ac:dyDescent="0.3">
      <c r="B242" s="5" t="s">
        <v>240</v>
      </c>
      <c r="C242" s="5"/>
      <c r="D242" s="5"/>
      <c r="E242" s="30"/>
      <c r="F242" s="30">
        <f>AVERAGE(E241,F241)</f>
        <v>1642.5500000000002</v>
      </c>
      <c r="G242" s="30">
        <f t="shared" ref="G242:K242" si="121">AVERAGE(F241,G241)</f>
        <v>1509.9</v>
      </c>
      <c r="H242" s="30">
        <f t="shared" si="121"/>
        <v>1509.9</v>
      </c>
      <c r="I242" s="30">
        <f t="shared" si="121"/>
        <v>1509.9</v>
      </c>
      <c r="J242" s="30">
        <f t="shared" si="121"/>
        <v>1509.9</v>
      </c>
      <c r="K242" s="30">
        <f t="shared" si="121"/>
        <v>1509.9</v>
      </c>
    </row>
    <row r="243" spans="2:11" x14ac:dyDescent="0.3">
      <c r="B243" s="5"/>
      <c r="C243" s="5"/>
      <c r="D243" s="5"/>
      <c r="E243" s="30"/>
      <c r="F243" s="30"/>
      <c r="G243" s="30"/>
      <c r="H243" s="30"/>
      <c r="I243" s="30"/>
      <c r="J243" s="30"/>
      <c r="K243" s="30"/>
    </row>
    <row r="244" spans="2:11" x14ac:dyDescent="0.3">
      <c r="B244" t="s">
        <v>241</v>
      </c>
      <c r="E244" s="18">
        <v>0</v>
      </c>
      <c r="F244" s="18">
        <v>328.2</v>
      </c>
      <c r="G244" s="17">
        <f>F244</f>
        <v>328.2</v>
      </c>
      <c r="H244" s="17">
        <f t="shared" ref="H244:K244" si="122">G244</f>
        <v>328.2</v>
      </c>
      <c r="I244" s="17">
        <f t="shared" si="122"/>
        <v>328.2</v>
      </c>
      <c r="J244" s="17">
        <f t="shared" si="122"/>
        <v>328.2</v>
      </c>
      <c r="K244" s="17">
        <f t="shared" si="122"/>
        <v>328.2</v>
      </c>
    </row>
    <row r="245" spans="2:11" x14ac:dyDescent="0.3">
      <c r="B245" s="5" t="s">
        <v>242</v>
      </c>
      <c r="E245" s="18"/>
      <c r="F245" s="45">
        <f>AVERAGE(E244,F244)</f>
        <v>164.1</v>
      </c>
      <c r="G245" s="45">
        <f t="shared" ref="G245:K245" si="123">AVERAGE(F244,G244)</f>
        <v>328.2</v>
      </c>
      <c r="H245" s="45">
        <f t="shared" si="123"/>
        <v>328.2</v>
      </c>
      <c r="I245" s="45">
        <f t="shared" si="123"/>
        <v>328.2</v>
      </c>
      <c r="J245" s="45">
        <f t="shared" si="123"/>
        <v>328.2</v>
      </c>
      <c r="K245" s="45">
        <f t="shared" si="123"/>
        <v>328.2</v>
      </c>
    </row>
    <row r="246" spans="2:11" x14ac:dyDescent="0.3">
      <c r="B246" s="5"/>
      <c r="E246" s="18"/>
      <c r="F246" s="45"/>
      <c r="G246" s="45"/>
      <c r="H246" s="45"/>
      <c r="I246" s="45"/>
      <c r="J246" s="45"/>
      <c r="K246" s="45"/>
    </row>
    <row r="247" spans="2:11" x14ac:dyDescent="0.3">
      <c r="B247" s="5" t="s">
        <v>339</v>
      </c>
      <c r="E247" s="18"/>
      <c r="F247" s="45">
        <f>F244+F241</f>
        <v>1838.1000000000001</v>
      </c>
      <c r="G247" s="45">
        <f t="shared" ref="G247:K247" si="124">G244+G241</f>
        <v>1838.1000000000001</v>
      </c>
      <c r="H247" s="45">
        <f t="shared" si="124"/>
        <v>1838.1000000000001</v>
      </c>
      <c r="I247" s="45">
        <f t="shared" si="124"/>
        <v>1838.1000000000001</v>
      </c>
      <c r="J247" s="45">
        <f t="shared" si="124"/>
        <v>1838.1000000000001</v>
      </c>
      <c r="K247" s="45">
        <f t="shared" si="124"/>
        <v>1838.1000000000001</v>
      </c>
    </row>
    <row r="248" spans="2:11" x14ac:dyDescent="0.3">
      <c r="E248" s="18"/>
      <c r="F248" s="18"/>
      <c r="G248" s="17"/>
      <c r="H248" s="17"/>
      <c r="I248" s="17"/>
      <c r="J248" s="17"/>
      <c r="K248" s="17"/>
    </row>
    <row r="249" spans="2:11" x14ac:dyDescent="0.3">
      <c r="B249" s="10" t="s">
        <v>243</v>
      </c>
      <c r="C249" s="10"/>
      <c r="D249" s="10"/>
      <c r="E249" s="32"/>
      <c r="F249" s="32"/>
      <c r="G249" s="32">
        <f>G244+G241+G228+G222+G210+G234</f>
        <v>28365.721999999998</v>
      </c>
      <c r="H249" s="32">
        <f t="shared" ref="H249:K249" si="125">H244+H241+H228+H222+H210+H234</f>
        <v>28748.844440000001</v>
      </c>
      <c r="I249" s="32">
        <f t="shared" si="125"/>
        <v>29124.181328799998</v>
      </c>
      <c r="J249" s="32">
        <f t="shared" si="125"/>
        <v>29585.466555375999</v>
      </c>
      <c r="K249" s="32">
        <f t="shared" si="125"/>
        <v>30027.730766483517</v>
      </c>
    </row>
    <row r="250" spans="2:11" x14ac:dyDescent="0.3">
      <c r="B250" s="5" t="s">
        <v>48</v>
      </c>
      <c r="C250" s="5"/>
      <c r="D250" s="5"/>
      <c r="E250" s="30"/>
      <c r="F250" s="30"/>
      <c r="G250" s="30">
        <f>G249-G193</f>
        <v>1490.7020000000011</v>
      </c>
      <c r="H250" s="30">
        <f t="shared" ref="H250:J250" si="126">H249-H193</f>
        <v>924.23815000000468</v>
      </c>
      <c r="I250" s="30">
        <f t="shared" si="126"/>
        <v>496.90860364999753</v>
      </c>
      <c r="J250" s="30">
        <f t="shared" si="126"/>
        <v>294.92634376725255</v>
      </c>
      <c r="K250" s="30">
        <f>K249-K193</f>
        <v>134.61134602218954</v>
      </c>
    </row>
    <row r="253" spans="2:11" ht="25.8" x14ac:dyDescent="0.5">
      <c r="B253" s="3" t="str">
        <f>Cover!$B$2</f>
        <v>OSB</v>
      </c>
      <c r="C253" s="3"/>
      <c r="D253" s="4"/>
      <c r="E253" s="4"/>
      <c r="F253" s="4"/>
      <c r="G253" s="4"/>
      <c r="H253" s="4"/>
      <c r="I253" s="4"/>
      <c r="J253" s="4"/>
      <c r="K253" s="4"/>
    </row>
    <row r="254" spans="2:11" x14ac:dyDescent="0.3">
      <c r="B254" s="4" t="s">
        <v>266</v>
      </c>
      <c r="C254" s="4"/>
      <c r="D254" s="4"/>
      <c r="E254" s="4"/>
      <c r="F254" s="4"/>
      <c r="G254" s="4"/>
      <c r="H254" s="4"/>
      <c r="I254" s="4"/>
      <c r="J254" s="4"/>
      <c r="K254" s="4"/>
    </row>
    <row r="255" spans="2:11" x14ac:dyDescent="0.3">
      <c r="B255" s="4"/>
      <c r="C255" s="4"/>
      <c r="D255" s="4"/>
      <c r="E255" s="4"/>
      <c r="F255" s="4"/>
      <c r="G255" s="4"/>
      <c r="H255" s="4"/>
      <c r="I255" s="4"/>
    </row>
    <row r="256" spans="2:11" x14ac:dyDescent="0.3">
      <c r="B256" s="4"/>
      <c r="C256" s="4"/>
      <c r="D256" s="4"/>
      <c r="E256" s="4"/>
      <c r="F256" s="4"/>
      <c r="G256" s="4"/>
      <c r="H256" s="4"/>
      <c r="I256" s="4"/>
    </row>
    <row r="258" spans="2:11" x14ac:dyDescent="0.3">
      <c r="C258" t="s">
        <v>2</v>
      </c>
      <c r="E258" s="51">
        <v>2024</v>
      </c>
      <c r="F258" s="51">
        <v>2025</v>
      </c>
      <c r="G258" s="52">
        <f>F258+1</f>
        <v>2026</v>
      </c>
      <c r="H258" s="52">
        <f t="shared" ref="H258:K258" si="127">G258+1</f>
        <v>2027</v>
      </c>
      <c r="I258" s="52">
        <f t="shared" si="127"/>
        <v>2028</v>
      </c>
      <c r="J258" s="52">
        <f t="shared" si="127"/>
        <v>2029</v>
      </c>
      <c r="K258" s="52">
        <f t="shared" si="127"/>
        <v>2030</v>
      </c>
    </row>
    <row r="260" spans="2:11" x14ac:dyDescent="0.3">
      <c r="B260" s="5" t="s">
        <v>244</v>
      </c>
    </row>
    <row r="262" spans="2:11" x14ac:dyDescent="0.3">
      <c r="B262" t="s">
        <v>247</v>
      </c>
      <c r="C262" t="s">
        <v>46</v>
      </c>
      <c r="G262" s="17">
        <f>G115</f>
        <v>12435.806499999999</v>
      </c>
      <c r="H262" s="17">
        <f>H115</f>
        <v>13131.634075</v>
      </c>
      <c r="I262" s="17">
        <f>I115</f>
        <v>13728.53616505</v>
      </c>
      <c r="J262" s="17">
        <f>J115</f>
        <v>14236.1420838595</v>
      </c>
      <c r="K262" s="17">
        <f>K115</f>
        <v>14680.455650040145</v>
      </c>
    </row>
    <row r="263" spans="2:11" x14ac:dyDescent="0.3">
      <c r="B263" s="9" t="s">
        <v>248</v>
      </c>
      <c r="C263" s="9" t="s">
        <v>47</v>
      </c>
      <c r="D263" s="9"/>
      <c r="E263" s="9"/>
      <c r="F263" s="9"/>
      <c r="G263" s="36">
        <f>Assumptions!D36+Assumptions!D9</f>
        <v>6.1499999999999999E-2</v>
      </c>
      <c r="H263" s="36">
        <f>Assumptions!E36+Assumptions!E9</f>
        <v>6.9000000000000006E-2</v>
      </c>
      <c r="I263" s="36">
        <f>Assumptions!F36+Assumptions!F9</f>
        <v>5.8999999999999997E-2</v>
      </c>
      <c r="J263" s="36">
        <f>Assumptions!G36+Assumptions!G9</f>
        <v>5.3999999999999999E-2</v>
      </c>
      <c r="K263" s="36">
        <f>Assumptions!H36+Assumptions!H9</f>
        <v>4.9000000000000002E-2</v>
      </c>
    </row>
    <row r="264" spans="2:11" x14ac:dyDescent="0.3">
      <c r="B264" s="5" t="s">
        <v>263</v>
      </c>
      <c r="C264" s="5" t="s">
        <v>46</v>
      </c>
      <c r="G264" s="38">
        <f>G263*G262</f>
        <v>764.80209974999991</v>
      </c>
      <c r="H264" s="38">
        <f t="shared" ref="H264:K264" si="128">H263*H262</f>
        <v>906.08275117500011</v>
      </c>
      <c r="I264" s="38">
        <f t="shared" si="128"/>
        <v>809.98363373794996</v>
      </c>
      <c r="J264" s="38">
        <f t="shared" si="128"/>
        <v>768.751672528413</v>
      </c>
      <c r="K264" s="38">
        <f t="shared" si="128"/>
        <v>719.34232685196719</v>
      </c>
    </row>
    <row r="266" spans="2:11" x14ac:dyDescent="0.3">
      <c r="B266" s="11" t="s">
        <v>245</v>
      </c>
      <c r="C266" s="11" t="s">
        <v>46</v>
      </c>
      <c r="D266" s="11"/>
      <c r="E266" s="11"/>
      <c r="F266" s="11"/>
      <c r="G266" s="20">
        <f>G125</f>
        <v>1824.5787499999999</v>
      </c>
      <c r="H266" s="20">
        <f t="shared" ref="H266:K266" si="129">H125</f>
        <v>1549.6774687499999</v>
      </c>
      <c r="I266" s="20">
        <f t="shared" si="129"/>
        <v>1293.28391171875</v>
      </c>
      <c r="J266" s="20">
        <f t="shared" si="129"/>
        <v>1066.9592271679687</v>
      </c>
      <c r="K266" s="20">
        <f t="shared" si="129"/>
        <v>880.24136241357417</v>
      </c>
    </row>
    <row r="267" spans="2:11" x14ac:dyDescent="0.3">
      <c r="B267" s="9" t="s">
        <v>246</v>
      </c>
      <c r="C267" s="9" t="s">
        <v>47</v>
      </c>
      <c r="D267" s="9"/>
      <c r="E267" s="9"/>
      <c r="F267" s="9"/>
      <c r="G267" s="36">
        <f>Assumptions!D9+Assumptions!D37</f>
        <v>5.8999999999999997E-2</v>
      </c>
      <c r="H267" s="36">
        <f>Assumptions!E9+Assumptions!E37</f>
        <v>6.6500000000000004E-2</v>
      </c>
      <c r="I267" s="36">
        <f>Assumptions!F9+Assumptions!F37</f>
        <v>5.6499999999999995E-2</v>
      </c>
      <c r="J267" s="36">
        <f>Assumptions!G9+Assumptions!G37</f>
        <v>5.1500000000000004E-2</v>
      </c>
      <c r="K267" s="36">
        <f>Assumptions!H9+Assumptions!H37</f>
        <v>4.65E-2</v>
      </c>
    </row>
    <row r="268" spans="2:11" x14ac:dyDescent="0.3">
      <c r="B268" s="5" t="s">
        <v>249</v>
      </c>
      <c r="C268" s="5" t="s">
        <v>46</v>
      </c>
      <c r="G268" s="38">
        <f>G267*G266</f>
        <v>107.65014624999999</v>
      </c>
      <c r="H268" s="38">
        <f t="shared" ref="H268:K268" si="130">H267*H266</f>
        <v>103.053551671875</v>
      </c>
      <c r="I268" s="38">
        <f t="shared" si="130"/>
        <v>73.070541012109373</v>
      </c>
      <c r="J268" s="38">
        <f t="shared" si="130"/>
        <v>54.948400199150392</v>
      </c>
      <c r="K268" s="38">
        <f t="shared" si="130"/>
        <v>40.9312233522312</v>
      </c>
    </row>
    <row r="270" spans="2:11" x14ac:dyDescent="0.3">
      <c r="B270" s="11" t="s">
        <v>250</v>
      </c>
      <c r="C270" s="11" t="s">
        <v>46</v>
      </c>
      <c r="D270" s="11"/>
      <c r="E270" s="11"/>
      <c r="F270" s="11"/>
      <c r="G270" s="20">
        <f>Model!G135</f>
        <v>395.57749999999999</v>
      </c>
      <c r="H270" s="20">
        <f>Model!H135</f>
        <v>488.34537499999993</v>
      </c>
      <c r="I270" s="20">
        <f>Model!I135</f>
        <v>563.70566374999999</v>
      </c>
      <c r="J270" s="20">
        <f>Model!J135</f>
        <v>626.20772153749999</v>
      </c>
      <c r="K270" s="20">
        <f>Model!K135</f>
        <v>675.61628072037502</v>
      </c>
    </row>
    <row r="271" spans="2:11" x14ac:dyDescent="0.3">
      <c r="B271" s="9" t="s">
        <v>251</v>
      </c>
      <c r="C271" s="9" t="s">
        <v>47</v>
      </c>
      <c r="D271" s="9"/>
      <c r="E271" s="9"/>
      <c r="F271" s="9"/>
      <c r="G271" s="36">
        <f>Assumptions!D9+Assumptions!D38</f>
        <v>9.9000000000000005E-2</v>
      </c>
      <c r="H271" s="36">
        <f>Assumptions!E9+Assumptions!E38</f>
        <v>0.1065</v>
      </c>
      <c r="I271" s="36">
        <f>Assumptions!F9+Assumptions!F38</f>
        <v>9.6500000000000002E-2</v>
      </c>
      <c r="J271" s="36">
        <f>Assumptions!G9+Assumptions!G38</f>
        <v>9.1499999999999998E-2</v>
      </c>
      <c r="K271" s="36">
        <f>Assumptions!H9+Assumptions!H38</f>
        <v>8.6499999999999994E-2</v>
      </c>
    </row>
    <row r="272" spans="2:11" x14ac:dyDescent="0.3">
      <c r="B272" s="5" t="s">
        <v>252</v>
      </c>
      <c r="C272" s="5" t="s">
        <v>46</v>
      </c>
      <c r="G272" s="38">
        <f>G271*G270</f>
        <v>39.162172499999997</v>
      </c>
      <c r="H272" s="38">
        <f t="shared" ref="H272" si="131">H271*H270</f>
        <v>52.008782437499988</v>
      </c>
      <c r="I272" s="38">
        <f t="shared" ref="I272" si="132">I271*I270</f>
        <v>54.397596551874997</v>
      </c>
      <c r="J272" s="38">
        <f t="shared" ref="J272" si="133">J271*J270</f>
        <v>57.298006520681248</v>
      </c>
      <c r="K272" s="38">
        <f t="shared" ref="K272" si="134">K271*K270</f>
        <v>58.440808282312432</v>
      </c>
    </row>
    <row r="273" spans="2:11" x14ac:dyDescent="0.3">
      <c r="B273" s="5"/>
      <c r="C273" s="5"/>
      <c r="G273" s="38"/>
      <c r="H273" s="38"/>
      <c r="I273" s="38"/>
      <c r="J273" s="38"/>
      <c r="K273" s="38"/>
    </row>
    <row r="274" spans="2:11" x14ac:dyDescent="0.3">
      <c r="B274" s="11" t="s">
        <v>253</v>
      </c>
      <c r="C274" s="11" t="s">
        <v>46</v>
      </c>
      <c r="D274" s="11"/>
      <c r="E274" s="11"/>
      <c r="F274" s="11"/>
      <c r="G274" s="20">
        <f>G145</f>
        <v>2111.6925000000001</v>
      </c>
      <c r="H274" s="20">
        <f>H145</f>
        <v>2604.593625</v>
      </c>
      <c r="I274" s="20">
        <f>I145</f>
        <v>3067.52395875</v>
      </c>
      <c r="J274" s="20">
        <f>J145</f>
        <v>3456.7622330875001</v>
      </c>
      <c r="K274" s="20">
        <f>K145</f>
        <v>3781.9872470475002</v>
      </c>
    </row>
    <row r="275" spans="2:11" x14ac:dyDescent="0.3">
      <c r="B275" s="9" t="s">
        <v>36</v>
      </c>
      <c r="C275" s="9" t="s">
        <v>47</v>
      </c>
      <c r="D275" s="9"/>
      <c r="E275" s="9"/>
      <c r="F275" s="9"/>
      <c r="G275" s="36">
        <f>Assumptions!D9+Assumptions!D39</f>
        <v>7.9000000000000001E-2</v>
      </c>
      <c r="H275" s="36">
        <f>Assumptions!E9+Assumptions!E39</f>
        <v>8.6499999999999994E-2</v>
      </c>
      <c r="I275" s="36">
        <f>Assumptions!F9+Assumptions!F39</f>
        <v>7.6499999999999999E-2</v>
      </c>
      <c r="J275" s="36">
        <f>Assumptions!G9+Assumptions!G39</f>
        <v>7.1500000000000008E-2</v>
      </c>
      <c r="K275" s="36">
        <f>Assumptions!H9+Assumptions!H39</f>
        <v>6.6500000000000004E-2</v>
      </c>
    </row>
    <row r="276" spans="2:11" x14ac:dyDescent="0.3">
      <c r="B276" s="5" t="s">
        <v>37</v>
      </c>
      <c r="C276" s="5" t="s">
        <v>46</v>
      </c>
      <c r="G276" s="38">
        <f>G275*G274</f>
        <v>166.82370750000001</v>
      </c>
      <c r="H276" s="38">
        <f t="shared" ref="H276" si="135">H275*H274</f>
        <v>225.29734856249999</v>
      </c>
      <c r="I276" s="38">
        <f t="shared" ref="I276" si="136">I275*I274</f>
        <v>234.665582844375</v>
      </c>
      <c r="J276" s="38">
        <f t="shared" ref="J276" si="137">J275*J274</f>
        <v>247.1584996657563</v>
      </c>
      <c r="K276" s="38">
        <f t="shared" ref="K276" si="138">K275*K274</f>
        <v>251.50215192865878</v>
      </c>
    </row>
    <row r="277" spans="2:11" x14ac:dyDescent="0.3">
      <c r="B277" s="5"/>
      <c r="C277" s="5"/>
      <c r="G277" s="38"/>
      <c r="H277" s="38"/>
      <c r="I277" s="38"/>
      <c r="J277" s="38"/>
      <c r="K277" s="38"/>
    </row>
    <row r="278" spans="2:11" x14ac:dyDescent="0.3">
      <c r="B278" s="11" t="s">
        <v>254</v>
      </c>
      <c r="C278" s="11" t="s">
        <v>46</v>
      </c>
      <c r="D278" s="11"/>
      <c r="E278" s="11"/>
      <c r="F278" s="11"/>
      <c r="G278" s="20">
        <f>G155</f>
        <v>504.89450000000005</v>
      </c>
      <c r="H278" s="20">
        <f>H155</f>
        <v>669.79181500000004</v>
      </c>
      <c r="I278" s="20">
        <f>I155</f>
        <v>837.53426605000004</v>
      </c>
      <c r="J278" s="20">
        <f>J155</f>
        <v>1001.9993082535</v>
      </c>
      <c r="K278" s="20">
        <f>K155</f>
        <v>1160.434996529845</v>
      </c>
    </row>
    <row r="279" spans="2:11" x14ac:dyDescent="0.3">
      <c r="B279" s="9" t="s">
        <v>255</v>
      </c>
      <c r="C279" s="9" t="s">
        <v>47</v>
      </c>
      <c r="D279" s="9"/>
      <c r="E279" s="9"/>
      <c r="F279" s="9"/>
      <c r="G279" s="36">
        <f>Assumptions!D9+Assumptions!D40</f>
        <v>8.3999999999999991E-2</v>
      </c>
      <c r="H279" s="36">
        <f>Assumptions!E9+Assumptions!E40</f>
        <v>9.1499999999999998E-2</v>
      </c>
      <c r="I279" s="36">
        <f>Assumptions!F9+Assumptions!F40</f>
        <v>8.1499999999999989E-2</v>
      </c>
      <c r="J279" s="36">
        <f>Assumptions!G9+Assumptions!G40</f>
        <v>7.6499999999999999E-2</v>
      </c>
      <c r="K279" s="36">
        <f>Assumptions!H9+Assumptions!H40</f>
        <v>7.1499999999999994E-2</v>
      </c>
    </row>
    <row r="280" spans="2:11" x14ac:dyDescent="0.3">
      <c r="B280" s="5" t="s">
        <v>256</v>
      </c>
      <c r="C280" s="5" t="s">
        <v>46</v>
      </c>
      <c r="G280" s="38">
        <f>G279*G278</f>
        <v>42.411138000000001</v>
      </c>
      <c r="H280" s="38">
        <f t="shared" ref="H280" si="139">H279*H278</f>
        <v>61.285951072500005</v>
      </c>
      <c r="I280" s="38">
        <f t="shared" ref="I280" si="140">I279*I278</f>
        <v>68.259042683074995</v>
      </c>
      <c r="J280" s="38">
        <f t="shared" ref="J280" si="141">J279*J278</f>
        <v>76.652947081392753</v>
      </c>
      <c r="K280" s="38">
        <f t="shared" ref="K280" si="142">K279*K278</f>
        <v>82.971102251883906</v>
      </c>
    </row>
    <row r="281" spans="2:11" x14ac:dyDescent="0.3">
      <c r="B281" s="5"/>
      <c r="C281" s="5"/>
      <c r="G281" s="38"/>
      <c r="H281" s="38"/>
      <c r="I281" s="38"/>
      <c r="J281" s="38"/>
      <c r="K281" s="38"/>
    </row>
    <row r="282" spans="2:11" x14ac:dyDescent="0.3">
      <c r="B282" s="5" t="s">
        <v>258</v>
      </c>
      <c r="C282" s="5" t="s">
        <v>46</v>
      </c>
      <c r="G282" s="38">
        <f>(Assumptions!D40+Assumptions!D9)*F160</f>
        <v>1.4574</v>
      </c>
      <c r="H282" s="38">
        <f>(Assumptions!E40+Assumptions!E9)*G160</f>
        <v>1.3725000000000001</v>
      </c>
      <c r="I282" s="38">
        <f>(Assumptions!F40+Assumptions!F9)*H160</f>
        <v>1.2224999999999999</v>
      </c>
      <c r="J282" s="38">
        <f>(Assumptions!G40+Assumptions!G9)*I160</f>
        <v>1.1475</v>
      </c>
      <c r="K282" s="38">
        <f>(Assumptions!H40+Assumptions!H9)*J160</f>
        <v>1.0725</v>
      </c>
    </row>
    <row r="283" spans="2:11" x14ac:dyDescent="0.3">
      <c r="B283" s="5"/>
      <c r="C283" s="5"/>
      <c r="G283" s="38"/>
      <c r="H283" s="38"/>
      <c r="I283" s="38"/>
      <c r="J283" s="38"/>
      <c r="K283" s="38"/>
    </row>
    <row r="284" spans="2:11" x14ac:dyDescent="0.3">
      <c r="B284" s="5" t="s">
        <v>259</v>
      </c>
      <c r="C284" s="5"/>
      <c r="G284" s="38"/>
      <c r="H284" s="38"/>
      <c r="I284" s="38"/>
      <c r="J284" s="38"/>
      <c r="K284" s="38"/>
    </row>
    <row r="285" spans="2:11" x14ac:dyDescent="0.3">
      <c r="B285" s="5"/>
      <c r="C285" s="5"/>
      <c r="G285" s="38"/>
      <c r="H285" s="38"/>
      <c r="I285" s="38"/>
      <c r="J285" s="38"/>
      <c r="K285" s="38"/>
    </row>
    <row r="286" spans="2:11" x14ac:dyDescent="0.3">
      <c r="B286" t="s">
        <v>247</v>
      </c>
      <c r="C286" t="s">
        <v>46</v>
      </c>
      <c r="G286" s="17">
        <f>G178</f>
        <v>5880.8139999999994</v>
      </c>
      <c r="H286" s="17">
        <f>H178</f>
        <v>5607.0488799999985</v>
      </c>
      <c r="I286" s="17">
        <f>I178</f>
        <v>5355.184969599999</v>
      </c>
      <c r="J286" s="17">
        <f>J178</f>
        <v>5123.470172031999</v>
      </c>
      <c r="K286" s="17">
        <f>K178</f>
        <v>4910.2925582694388</v>
      </c>
    </row>
    <row r="287" spans="2:11" x14ac:dyDescent="0.3">
      <c r="B287" s="9" t="s">
        <v>248</v>
      </c>
      <c r="C287" s="9" t="s">
        <v>47</v>
      </c>
      <c r="D287" s="9"/>
      <c r="E287" s="9"/>
      <c r="F287" s="9"/>
      <c r="G287" s="36">
        <f>Assumptions!D9+Assumptions!D44</f>
        <v>6.1499999999999999E-2</v>
      </c>
      <c r="H287" s="36">
        <f>Assumptions!E9+Assumptions!E44</f>
        <v>6.9000000000000006E-2</v>
      </c>
      <c r="I287" s="36">
        <f>Assumptions!F9+Assumptions!F44</f>
        <v>5.8999999999999997E-2</v>
      </c>
      <c r="J287" s="36">
        <f>Assumptions!G9+Assumptions!G44</f>
        <v>5.3999999999999999E-2</v>
      </c>
      <c r="K287" s="36">
        <f>Assumptions!H9+Assumptions!H44</f>
        <v>4.9000000000000002E-2</v>
      </c>
    </row>
    <row r="288" spans="2:11" x14ac:dyDescent="0.3">
      <c r="B288" s="5" t="s">
        <v>263</v>
      </c>
      <c r="C288" s="5" t="s">
        <v>46</v>
      </c>
      <c r="G288" s="38">
        <f>G287*G286</f>
        <v>361.67006099999998</v>
      </c>
      <c r="H288" s="38">
        <f t="shared" ref="H288" si="143">H287*H286</f>
        <v>386.88637271999994</v>
      </c>
      <c r="I288" s="38">
        <f t="shared" ref="I288" si="144">I287*I286</f>
        <v>315.95591320639994</v>
      </c>
      <c r="J288" s="38">
        <f t="shared" ref="J288" si="145">J287*J286</f>
        <v>276.66738928972796</v>
      </c>
      <c r="K288" s="38">
        <f t="shared" ref="K288" si="146">K287*K286</f>
        <v>240.60433535520252</v>
      </c>
    </row>
    <row r="290" spans="2:11" x14ac:dyDescent="0.3">
      <c r="B290" s="11" t="s">
        <v>245</v>
      </c>
      <c r="C290" s="11" t="s">
        <v>46</v>
      </c>
      <c r="D290" s="11"/>
      <c r="E290" s="11"/>
      <c r="F290" s="11"/>
      <c r="G290" s="20">
        <f>G188</f>
        <v>3184.9962500000001</v>
      </c>
      <c r="H290" s="20">
        <f>H188</f>
        <v>3283.7219062499998</v>
      </c>
      <c r="I290" s="20">
        <f>I188</f>
        <v>3365.17057265625</v>
      </c>
      <c r="J290" s="20">
        <f>J188</f>
        <v>3432.3657224414064</v>
      </c>
      <c r="K290" s="20">
        <f>K188</f>
        <v>3487.8017210141597</v>
      </c>
    </row>
    <row r="291" spans="2:11" x14ac:dyDescent="0.3">
      <c r="B291" s="9" t="s">
        <v>246</v>
      </c>
      <c r="C291" s="9" t="s">
        <v>47</v>
      </c>
      <c r="D291" s="9"/>
      <c r="E291" s="9"/>
      <c r="F291" s="9"/>
      <c r="G291" s="36">
        <f>Assumptions!D9+Assumptions!D45</f>
        <v>6.4000000000000001E-2</v>
      </c>
      <c r="H291" s="36">
        <f>Assumptions!E9+Assumptions!E45</f>
        <v>7.1500000000000008E-2</v>
      </c>
      <c r="I291" s="36">
        <f>Assumptions!F9+Assumptions!F45</f>
        <v>6.1499999999999999E-2</v>
      </c>
      <c r="J291" s="36">
        <f>Assumptions!G9+Assumptions!G45</f>
        <v>5.6500000000000002E-2</v>
      </c>
      <c r="K291" s="36">
        <f>Assumptions!H9+Assumptions!H45</f>
        <v>5.1500000000000004E-2</v>
      </c>
    </row>
    <row r="292" spans="2:11" x14ac:dyDescent="0.3">
      <c r="B292" s="5" t="s">
        <v>249</v>
      </c>
      <c r="C292" s="5" t="s">
        <v>46</v>
      </c>
      <c r="G292" s="38">
        <f>G291*G290</f>
        <v>203.83976000000001</v>
      </c>
      <c r="H292" s="38">
        <f t="shared" ref="H292" si="147">H291*H290</f>
        <v>234.78611629687501</v>
      </c>
      <c r="I292" s="38">
        <f t="shared" ref="I292" si="148">I291*I290</f>
        <v>206.95799021835938</v>
      </c>
      <c r="J292" s="38">
        <f t="shared" ref="J292" si="149">J291*J290</f>
        <v>193.92866331793948</v>
      </c>
      <c r="K292" s="38">
        <f t="shared" ref="K292" si="150">K291*K290</f>
        <v>179.62178863222925</v>
      </c>
    </row>
    <row r="293" spans="2:11" x14ac:dyDescent="0.3">
      <c r="B293" s="5"/>
      <c r="C293" s="5"/>
      <c r="G293" s="38"/>
      <c r="H293" s="38"/>
      <c r="I293" s="38"/>
      <c r="J293" s="38"/>
      <c r="K293" s="38"/>
    </row>
    <row r="294" spans="2:11" x14ac:dyDescent="0.3">
      <c r="B294" s="5" t="s">
        <v>35</v>
      </c>
      <c r="C294" s="5"/>
      <c r="G294" s="38"/>
      <c r="H294" s="38"/>
      <c r="I294" s="38"/>
      <c r="J294" s="38"/>
      <c r="K294" s="38"/>
    </row>
    <row r="295" spans="2:11" x14ac:dyDescent="0.3">
      <c r="C295" s="5"/>
      <c r="G295" s="38"/>
      <c r="H295" s="38"/>
      <c r="I295" s="38"/>
      <c r="J295" s="38"/>
      <c r="K295" s="38"/>
    </row>
    <row r="296" spans="2:11" x14ac:dyDescent="0.3">
      <c r="B296" t="s">
        <v>265</v>
      </c>
      <c r="C296" t="s">
        <v>46</v>
      </c>
      <c r="G296" s="26">
        <f>G282+G280+G276+G272+G268+G264</f>
        <v>1122.306664</v>
      </c>
      <c r="H296" s="26">
        <f t="shared" ref="H296:K296" si="151">H282+H280+H276+H272+H268+H264</f>
        <v>1349.1008849193749</v>
      </c>
      <c r="I296" s="26">
        <f t="shared" si="151"/>
        <v>1241.5988968293843</v>
      </c>
      <c r="J296" s="26">
        <f t="shared" si="151"/>
        <v>1205.9570259953937</v>
      </c>
      <c r="K296" s="26">
        <f t="shared" si="151"/>
        <v>1154.2601126670536</v>
      </c>
    </row>
    <row r="297" spans="2:11" x14ac:dyDescent="0.3">
      <c r="B297" t="s">
        <v>264</v>
      </c>
      <c r="C297" t="s">
        <v>46</v>
      </c>
      <c r="G297" s="26">
        <f>G292+G288</f>
        <v>565.50982099999999</v>
      </c>
      <c r="H297" s="26">
        <f t="shared" ref="H297:K297" si="152">H292+H288</f>
        <v>621.67248901687492</v>
      </c>
      <c r="I297" s="26">
        <f t="shared" si="152"/>
        <v>522.91390342475938</v>
      </c>
      <c r="J297" s="26">
        <f t="shared" si="152"/>
        <v>470.59605260766745</v>
      </c>
      <c r="K297" s="26">
        <f t="shared" si="152"/>
        <v>420.22612398743178</v>
      </c>
    </row>
    <row r="298" spans="2:11" x14ac:dyDescent="0.3">
      <c r="B298" s="9" t="s">
        <v>132</v>
      </c>
      <c r="C298" s="9" t="s">
        <v>46</v>
      </c>
      <c r="D298" s="9"/>
      <c r="E298" s="9"/>
      <c r="F298" s="9"/>
      <c r="G298" s="46">
        <f>G361</f>
        <v>203.41300000000001</v>
      </c>
      <c r="H298" s="46">
        <f t="shared" ref="H298:K298" si="153">H361</f>
        <v>207.68368938007592</v>
      </c>
      <c r="I298" s="46">
        <f t="shared" si="153"/>
        <v>145.80644376356298</v>
      </c>
      <c r="J298" s="46">
        <f t="shared" si="153"/>
        <v>114.62796525235362</v>
      </c>
      <c r="K298" s="46">
        <f t="shared" si="153"/>
        <v>93.723443926802375</v>
      </c>
    </row>
    <row r="299" spans="2:11" x14ac:dyDescent="0.3">
      <c r="B299" s="5" t="s">
        <v>38</v>
      </c>
      <c r="C299" t="s">
        <v>46</v>
      </c>
      <c r="G299" s="38">
        <f>SUM(G296:G298)</f>
        <v>1891.2294849999998</v>
      </c>
      <c r="H299" s="38">
        <f t="shared" ref="H299:K299" si="154">SUM(H296:H298)</f>
        <v>2178.4570633163257</v>
      </c>
      <c r="I299" s="38">
        <f t="shared" si="154"/>
        <v>1910.3192440177068</v>
      </c>
      <c r="J299" s="38">
        <f t="shared" si="154"/>
        <v>1791.1810438554146</v>
      </c>
      <c r="K299" s="38">
        <f t="shared" si="154"/>
        <v>1668.2096805812878</v>
      </c>
    </row>
    <row r="300" spans="2:11" x14ac:dyDescent="0.3">
      <c r="B300" s="5"/>
      <c r="G300" s="38"/>
      <c r="H300" s="38"/>
      <c r="I300" s="38"/>
      <c r="J300" s="38"/>
      <c r="K300" s="38"/>
    </row>
    <row r="302" spans="2:11" ht="25.8" x14ac:dyDescent="0.5">
      <c r="B302" s="3" t="str">
        <f>Cover!$B$2</f>
        <v>OSB</v>
      </c>
      <c r="C302" s="3"/>
      <c r="D302" s="4"/>
      <c r="E302" s="4"/>
      <c r="F302" s="4"/>
      <c r="G302" s="4"/>
      <c r="H302" s="4"/>
      <c r="I302" s="4"/>
      <c r="J302" s="4"/>
      <c r="K302" s="4"/>
    </row>
    <row r="303" spans="2:11" x14ac:dyDescent="0.3">
      <c r="B303" s="4" t="s">
        <v>281</v>
      </c>
      <c r="C303" s="4"/>
      <c r="D303" s="4"/>
      <c r="E303" s="4"/>
      <c r="F303" s="4"/>
      <c r="G303" s="4"/>
      <c r="H303" s="4"/>
      <c r="I303" s="4"/>
      <c r="J303" s="4"/>
      <c r="K303" s="4"/>
    </row>
    <row r="304" spans="2:11" x14ac:dyDescent="0.3">
      <c r="B304" s="4"/>
      <c r="C304" s="4"/>
      <c r="D304" s="4"/>
      <c r="E304" s="4"/>
      <c r="F304" s="4"/>
      <c r="G304" s="4"/>
      <c r="H304" s="4"/>
      <c r="I304" s="4"/>
    </row>
    <row r="305" spans="2:11" x14ac:dyDescent="0.3">
      <c r="B305" s="4"/>
      <c r="C305" s="4"/>
      <c r="D305" s="4"/>
      <c r="E305" s="4"/>
      <c r="F305" s="4"/>
      <c r="G305" s="4"/>
      <c r="H305" s="4"/>
      <c r="I305" s="4"/>
    </row>
    <row r="307" spans="2:11" x14ac:dyDescent="0.3">
      <c r="C307" t="s">
        <v>2</v>
      </c>
      <c r="E307" s="51">
        <v>2024</v>
      </c>
      <c r="F307" s="51">
        <v>2025</v>
      </c>
      <c r="G307" s="52">
        <f>F307+1</f>
        <v>2026</v>
      </c>
      <c r="H307" s="52">
        <f t="shared" ref="H307" si="155">G307+1</f>
        <v>2027</v>
      </c>
      <c r="I307" s="52">
        <f t="shared" ref="I307" si="156">H307+1</f>
        <v>2028</v>
      </c>
      <c r="J307" s="52">
        <f t="shared" ref="J307" si="157">I307+1</f>
        <v>2029</v>
      </c>
      <c r="K307" s="52">
        <f t="shared" ref="K307" si="158">J307+1</f>
        <v>2030</v>
      </c>
    </row>
    <row r="308" spans="2:11" x14ac:dyDescent="0.3">
      <c r="E308" s="67"/>
      <c r="F308" s="67"/>
      <c r="G308" s="68"/>
      <c r="H308" s="68"/>
      <c r="I308" s="68"/>
      <c r="J308" s="68"/>
      <c r="K308" s="68"/>
    </row>
    <row r="309" spans="2:11" x14ac:dyDescent="0.3">
      <c r="B309" s="5" t="s">
        <v>39</v>
      </c>
    </row>
    <row r="310" spans="2:11" x14ac:dyDescent="0.3">
      <c r="B310" s="5"/>
    </row>
    <row r="311" spans="2:11" x14ac:dyDescent="0.3">
      <c r="B311" t="s">
        <v>344</v>
      </c>
      <c r="C311" t="s">
        <v>46</v>
      </c>
      <c r="G311" s="17">
        <f>G211+G216</f>
        <v>24972.010999999999</v>
      </c>
      <c r="H311" s="17">
        <f t="shared" ref="H311:K311" si="159">H211+H216</f>
        <v>25461.883220000003</v>
      </c>
      <c r="I311" s="17">
        <f t="shared" si="159"/>
        <v>25961.5528844</v>
      </c>
      <c r="J311" s="17">
        <f t="shared" si="159"/>
        <v>26471.215942088002</v>
      </c>
      <c r="K311" s="17">
        <f t="shared" si="159"/>
        <v>26991.072260929759</v>
      </c>
    </row>
    <row r="312" spans="2:11" x14ac:dyDescent="0.3">
      <c r="B312" s="9" t="s">
        <v>40</v>
      </c>
      <c r="C312" s="9" t="s">
        <v>47</v>
      </c>
      <c r="D312" s="9"/>
      <c r="E312" s="9"/>
      <c r="F312" s="9"/>
      <c r="G312" s="37">
        <f>Assumptions!D51</f>
        <v>3.9E-2</v>
      </c>
      <c r="H312" s="37">
        <f>Assumptions!E51</f>
        <v>4.65E-2</v>
      </c>
      <c r="I312" s="37">
        <f>Assumptions!F51</f>
        <v>3.6499999999999998E-2</v>
      </c>
      <c r="J312" s="37">
        <f>Assumptions!G51</f>
        <v>3.15E-2</v>
      </c>
      <c r="K312" s="37">
        <f>Assumptions!H51</f>
        <v>2.6499999999999999E-2</v>
      </c>
    </row>
    <row r="313" spans="2:11" x14ac:dyDescent="0.3">
      <c r="B313" s="5" t="s">
        <v>41</v>
      </c>
      <c r="C313" s="5" t="s">
        <v>46</v>
      </c>
      <c r="D313" s="5"/>
      <c r="E313" s="5"/>
      <c r="F313" s="5"/>
      <c r="G313" s="38">
        <f>G311*G312</f>
        <v>973.90842899999996</v>
      </c>
      <c r="H313" s="38">
        <f t="shared" ref="H313:K313" si="160">H311*H312</f>
        <v>1183.9775697300001</v>
      </c>
      <c r="I313" s="38">
        <f t="shared" si="160"/>
        <v>947.59668028059991</v>
      </c>
      <c r="J313" s="38">
        <f t="shared" si="160"/>
        <v>833.84330217577201</v>
      </c>
      <c r="K313" s="38">
        <f t="shared" si="160"/>
        <v>715.26341491463859</v>
      </c>
    </row>
    <row r="315" spans="2:11" x14ac:dyDescent="0.3">
      <c r="B315" t="s">
        <v>267</v>
      </c>
      <c r="C315" t="s">
        <v>46</v>
      </c>
      <c r="G315" s="17">
        <f>G223</f>
        <v>909</v>
      </c>
      <c r="H315" s="17">
        <f>H223</f>
        <v>727.2</v>
      </c>
      <c r="I315" s="17">
        <f>I223</f>
        <v>581.76</v>
      </c>
      <c r="J315" s="17">
        <f>J223</f>
        <v>465.40800000000002</v>
      </c>
      <c r="K315" s="17">
        <f>K223</f>
        <v>372.32640000000004</v>
      </c>
    </row>
    <row r="316" spans="2:11" x14ac:dyDescent="0.3">
      <c r="B316" s="9" t="s">
        <v>268</v>
      </c>
      <c r="C316" s="9" t="s">
        <v>47</v>
      </c>
      <c r="D316" s="9"/>
      <c r="E316" s="9"/>
      <c r="F316" s="9"/>
      <c r="G316" s="37">
        <f>Assumptions!D54+Assumptions!D9</f>
        <v>4.9000000000000002E-2</v>
      </c>
      <c r="H316" s="37">
        <f>Assumptions!E54+Assumptions!E9</f>
        <v>5.6500000000000002E-2</v>
      </c>
      <c r="I316" s="37">
        <f>Assumptions!F54+Assumptions!F9</f>
        <v>4.65E-2</v>
      </c>
      <c r="J316" s="37">
        <f>Assumptions!G54+Assumptions!G9</f>
        <v>4.1500000000000002E-2</v>
      </c>
      <c r="K316" s="37">
        <f>Assumptions!H54+Assumptions!H9</f>
        <v>3.6499999999999998E-2</v>
      </c>
    </row>
    <row r="317" spans="2:11" x14ac:dyDescent="0.3">
      <c r="B317" s="5" t="s">
        <v>269</v>
      </c>
      <c r="C317" s="5" t="s">
        <v>46</v>
      </c>
      <c r="D317" s="5"/>
      <c r="E317" s="5"/>
      <c r="F317" s="5"/>
      <c r="G317" s="38">
        <f>G315*G316</f>
        <v>44.541000000000004</v>
      </c>
      <c r="H317" s="38">
        <f t="shared" ref="H317:K317" si="161">H315*H316</f>
        <v>41.086800000000004</v>
      </c>
      <c r="I317" s="38">
        <f t="shared" si="161"/>
        <v>27.051839999999999</v>
      </c>
      <c r="J317" s="38">
        <f t="shared" si="161"/>
        <v>19.314432</v>
      </c>
      <c r="K317" s="38">
        <f t="shared" si="161"/>
        <v>13.589913600000001</v>
      </c>
    </row>
    <row r="318" spans="2:11" x14ac:dyDescent="0.3">
      <c r="G318" s="27"/>
      <c r="H318" s="27"/>
      <c r="I318" s="27"/>
      <c r="J318" s="27"/>
      <c r="K318" s="27"/>
    </row>
    <row r="319" spans="2:11" x14ac:dyDescent="0.3">
      <c r="B319" t="s">
        <v>272</v>
      </c>
      <c r="C319" t="s">
        <v>46</v>
      </c>
      <c r="G319" s="27">
        <f>G229</f>
        <v>723.4</v>
      </c>
      <c r="H319" s="27">
        <f>H229</f>
        <v>748.40000000000009</v>
      </c>
      <c r="I319" s="27">
        <f>I229</f>
        <v>773.40000000000009</v>
      </c>
      <c r="J319" s="27">
        <f>J229</f>
        <v>798.40000000000009</v>
      </c>
      <c r="K319" s="27">
        <f>K229</f>
        <v>823.40000000000009</v>
      </c>
    </row>
    <row r="320" spans="2:11" x14ac:dyDescent="0.3">
      <c r="B320" s="9" t="s">
        <v>270</v>
      </c>
      <c r="C320" s="9" t="s">
        <v>47</v>
      </c>
      <c r="D320" s="9"/>
      <c r="E320" s="9"/>
      <c r="F320" s="9"/>
      <c r="G320" s="37">
        <f>Assumptions!D66</f>
        <v>9.0999999999999998E-2</v>
      </c>
      <c r="H320" s="37">
        <f>Assumptions!E66</f>
        <v>9.0999999999999998E-2</v>
      </c>
      <c r="I320" s="37">
        <f>Assumptions!F66</f>
        <v>8.6999999999999994E-2</v>
      </c>
      <c r="J320" s="37">
        <f>Assumptions!G66</f>
        <v>8.5000000000000006E-2</v>
      </c>
      <c r="K320" s="37">
        <f>Assumptions!H66</f>
        <v>8.5000000000000006E-2</v>
      </c>
    </row>
    <row r="321" spans="2:11" x14ac:dyDescent="0.3">
      <c r="B321" s="5" t="s">
        <v>271</v>
      </c>
      <c r="C321" s="5" t="s">
        <v>46</v>
      </c>
      <c r="D321" s="5"/>
      <c r="E321" s="5"/>
      <c r="F321" s="5"/>
      <c r="G321" s="38">
        <f>G319*G320</f>
        <v>65.829399999999993</v>
      </c>
      <c r="H321" s="38">
        <f t="shared" ref="H321:K321" si="162">H319*H320</f>
        <v>68.104400000000012</v>
      </c>
      <c r="I321" s="38">
        <f t="shared" si="162"/>
        <v>67.285800000000009</v>
      </c>
      <c r="J321" s="38">
        <f t="shared" si="162"/>
        <v>67.864000000000019</v>
      </c>
      <c r="K321" s="38">
        <f t="shared" si="162"/>
        <v>69.989000000000019</v>
      </c>
    </row>
    <row r="322" spans="2:11" x14ac:dyDescent="0.3">
      <c r="B322" s="5"/>
      <c r="C322" s="5"/>
      <c r="D322" s="5"/>
      <c r="E322" s="5"/>
      <c r="F322" s="5"/>
      <c r="G322" s="38"/>
      <c r="H322" s="38"/>
      <c r="I322" s="38"/>
      <c r="J322" s="38"/>
      <c r="K322" s="38"/>
    </row>
    <row r="323" spans="2:11" x14ac:dyDescent="0.3">
      <c r="B323" t="s">
        <v>273</v>
      </c>
      <c r="C323" t="s">
        <v>46</v>
      </c>
      <c r="D323" s="5"/>
      <c r="E323" s="5"/>
      <c r="F323" s="5"/>
      <c r="G323" s="26">
        <f>G235</f>
        <v>260.10000000000002</v>
      </c>
      <c r="H323" s="26">
        <f>H235</f>
        <v>260.10000000000002</v>
      </c>
      <c r="I323" s="26">
        <f>I235</f>
        <v>260.10000000000002</v>
      </c>
      <c r="J323" s="26">
        <f>J235</f>
        <v>260.10000000000002</v>
      </c>
      <c r="K323" s="26">
        <f>K235</f>
        <v>260.10000000000002</v>
      </c>
    </row>
    <row r="324" spans="2:11" x14ac:dyDescent="0.3">
      <c r="B324" s="9" t="s">
        <v>274</v>
      </c>
      <c r="C324" s="9" t="s">
        <v>47</v>
      </c>
      <c r="D324" s="6"/>
      <c r="E324" s="6"/>
      <c r="F324" s="6"/>
      <c r="G324" s="41">
        <f>Assumptions!D68</f>
        <v>9.9299999999999999E-2</v>
      </c>
      <c r="H324" s="41">
        <f>Assumptions!E68</f>
        <v>9.9299999999999999E-2</v>
      </c>
      <c r="I324" s="41">
        <f>Assumptions!F68</f>
        <v>9.9299999999999999E-2</v>
      </c>
      <c r="J324" s="41">
        <f>Assumptions!G68</f>
        <v>9.9299999999999999E-2</v>
      </c>
      <c r="K324" s="41">
        <f>Assumptions!H68</f>
        <v>9.9299999999999999E-2</v>
      </c>
    </row>
    <row r="325" spans="2:11" x14ac:dyDescent="0.3">
      <c r="B325" s="5" t="s">
        <v>275</v>
      </c>
      <c r="C325" s="5" t="s">
        <v>46</v>
      </c>
      <c r="D325" s="5"/>
      <c r="E325" s="5"/>
      <c r="F325" s="5"/>
      <c r="G325" s="38">
        <f>G323*G324</f>
        <v>25.827930000000002</v>
      </c>
      <c r="H325" s="38">
        <f t="shared" ref="H325:K325" si="163">H323*H324</f>
        <v>25.827930000000002</v>
      </c>
      <c r="I325" s="38">
        <f t="shared" si="163"/>
        <v>25.827930000000002</v>
      </c>
      <c r="J325" s="38">
        <f t="shared" si="163"/>
        <v>25.827930000000002</v>
      </c>
      <c r="K325" s="38">
        <f t="shared" si="163"/>
        <v>25.827930000000002</v>
      </c>
    </row>
    <row r="326" spans="2:11" x14ac:dyDescent="0.3">
      <c r="B326" s="5"/>
      <c r="C326" s="5"/>
      <c r="D326" s="5"/>
      <c r="E326" s="5"/>
      <c r="F326" s="5"/>
      <c r="G326" s="38"/>
      <c r="H326" s="38"/>
      <c r="I326" s="38"/>
      <c r="J326" s="38"/>
      <c r="K326" s="38"/>
    </row>
    <row r="327" spans="2:11" x14ac:dyDescent="0.3">
      <c r="B327" t="s">
        <v>140</v>
      </c>
      <c r="C327" t="s">
        <v>46</v>
      </c>
      <c r="D327" s="5"/>
      <c r="E327" s="5"/>
      <c r="F327" s="5"/>
      <c r="G327" s="26">
        <f>G245</f>
        <v>328.2</v>
      </c>
      <c r="H327" s="26">
        <f>H245</f>
        <v>328.2</v>
      </c>
      <c r="I327" s="26">
        <f>I245</f>
        <v>328.2</v>
      </c>
      <c r="J327" s="26">
        <f>J245</f>
        <v>328.2</v>
      </c>
      <c r="K327" s="26">
        <f>K245</f>
        <v>328.2</v>
      </c>
    </row>
    <row r="328" spans="2:11" x14ac:dyDescent="0.3">
      <c r="B328" t="s">
        <v>141</v>
      </c>
      <c r="C328" s="9" t="s">
        <v>47</v>
      </c>
      <c r="D328" s="5"/>
      <c r="E328" s="5"/>
      <c r="F328" s="5"/>
      <c r="G328" s="63">
        <f>Assumptions!D73</f>
        <v>5.8999999999999997E-2</v>
      </c>
      <c r="H328" s="63">
        <f>Assumptions!E73</f>
        <v>6.6500000000000004E-2</v>
      </c>
      <c r="I328" s="63">
        <f>Assumptions!F73</f>
        <v>5.6499999999999995E-2</v>
      </c>
      <c r="J328" s="63">
        <f>Assumptions!G73</f>
        <v>5.1500000000000004E-2</v>
      </c>
      <c r="K328" s="63">
        <f>Assumptions!H73</f>
        <v>4.65E-2</v>
      </c>
    </row>
    <row r="329" spans="2:11" x14ac:dyDescent="0.3">
      <c r="B329" s="10" t="s">
        <v>142</v>
      </c>
      <c r="C329" s="5" t="s">
        <v>46</v>
      </c>
      <c r="D329" s="10"/>
      <c r="E329" s="10"/>
      <c r="F329" s="10"/>
      <c r="G329" s="62">
        <f>G327*G328</f>
        <v>19.363799999999998</v>
      </c>
      <c r="H329" s="62">
        <f t="shared" ref="H329:K329" si="164">H327*H328</f>
        <v>21.825300000000002</v>
      </c>
      <c r="I329" s="62">
        <f t="shared" si="164"/>
        <v>18.543299999999999</v>
      </c>
      <c r="J329" s="62">
        <f t="shared" si="164"/>
        <v>16.9023</v>
      </c>
      <c r="K329" s="62">
        <f t="shared" si="164"/>
        <v>15.261299999999999</v>
      </c>
    </row>
    <row r="330" spans="2:11" x14ac:dyDescent="0.3">
      <c r="G330" s="27"/>
      <c r="H330" s="27"/>
      <c r="I330" s="27"/>
    </row>
    <row r="331" spans="2:11" x14ac:dyDescent="0.3">
      <c r="B331" s="5" t="s">
        <v>45</v>
      </c>
      <c r="G331" s="27"/>
      <c r="H331" s="27"/>
      <c r="I331" s="27"/>
    </row>
    <row r="332" spans="2:11" x14ac:dyDescent="0.3">
      <c r="G332" s="27"/>
      <c r="H332" s="27"/>
      <c r="I332" s="27"/>
    </row>
    <row r="333" spans="2:11" x14ac:dyDescent="0.3">
      <c r="B333" t="s">
        <v>61</v>
      </c>
      <c r="C333" t="s">
        <v>46</v>
      </c>
      <c r="G333" s="27">
        <f>G242</f>
        <v>1509.9</v>
      </c>
      <c r="H333" s="27">
        <f>H242</f>
        <v>1509.9</v>
      </c>
      <c r="I333" s="27">
        <f>I242</f>
        <v>1509.9</v>
      </c>
      <c r="J333" s="27">
        <f>J242</f>
        <v>1509.9</v>
      </c>
      <c r="K333" s="27">
        <f>K242</f>
        <v>1509.9</v>
      </c>
    </row>
    <row r="334" spans="2:11" x14ac:dyDescent="0.3">
      <c r="B334" t="s">
        <v>62</v>
      </c>
      <c r="C334" s="9" t="s">
        <v>47</v>
      </c>
      <c r="G334" s="34">
        <f>Assumptions!D58</f>
        <v>3.9E-2</v>
      </c>
      <c r="H334" s="34">
        <f>Assumptions!E58</f>
        <v>4.65E-2</v>
      </c>
      <c r="I334" s="34">
        <f>Assumptions!F58</f>
        <v>3.6500000000000005E-2</v>
      </c>
      <c r="J334" s="34">
        <f>Assumptions!G58</f>
        <v>3.15E-2</v>
      </c>
      <c r="K334" s="34">
        <f>Assumptions!H58</f>
        <v>2.6500000000000003E-2</v>
      </c>
    </row>
    <row r="335" spans="2:11" x14ac:dyDescent="0.3">
      <c r="B335" s="10" t="s">
        <v>63</v>
      </c>
      <c r="C335" s="5" t="s">
        <v>46</v>
      </c>
      <c r="D335" s="11"/>
      <c r="E335" s="11"/>
      <c r="F335" s="11"/>
      <c r="G335" s="62">
        <f>G333*G334</f>
        <v>58.886100000000006</v>
      </c>
      <c r="H335" s="62">
        <f t="shared" ref="H335:K335" si="165">H333*H334</f>
        <v>70.210350000000005</v>
      </c>
      <c r="I335" s="62">
        <f t="shared" si="165"/>
        <v>55.111350000000009</v>
      </c>
      <c r="J335" s="62">
        <f t="shared" si="165"/>
        <v>47.56185</v>
      </c>
      <c r="K335" s="62">
        <f t="shared" si="165"/>
        <v>40.012350000000005</v>
      </c>
    </row>
    <row r="337" spans="2:11" x14ac:dyDescent="0.3">
      <c r="B337" s="5" t="s">
        <v>42</v>
      </c>
      <c r="C337" s="5" t="s">
        <v>46</v>
      </c>
      <c r="G337" s="38">
        <f>G335+G329+G325+G321+G317+G313</f>
        <v>1188.356659</v>
      </c>
      <c r="H337" s="38">
        <f t="shared" ref="H337:K337" si="166">H335+H329+H325+H321+H317+H313</f>
        <v>1411.0323497300001</v>
      </c>
      <c r="I337" s="38">
        <f t="shared" si="166"/>
        <v>1141.4169002806</v>
      </c>
      <c r="J337" s="38">
        <f t="shared" si="166"/>
        <v>1011.313814175772</v>
      </c>
      <c r="K337" s="38">
        <f t="shared" si="166"/>
        <v>879.94390851463868</v>
      </c>
    </row>
    <row r="339" spans="2:11" x14ac:dyDescent="0.3">
      <c r="B339" s="5" t="s">
        <v>5</v>
      </c>
      <c r="C339" s="5" t="s">
        <v>46</v>
      </c>
      <c r="G339" s="38">
        <f>G299-G337</f>
        <v>702.8728259999998</v>
      </c>
      <c r="H339" s="38">
        <f t="shared" ref="H339:K339" si="167">H299-H337</f>
        <v>767.42471358632565</v>
      </c>
      <c r="I339" s="38">
        <f t="shared" si="167"/>
        <v>768.90234373710678</v>
      </c>
      <c r="J339" s="38">
        <f t="shared" si="167"/>
        <v>779.86722967964261</v>
      </c>
      <c r="K339" s="38">
        <f t="shared" si="167"/>
        <v>788.26577206664911</v>
      </c>
    </row>
    <row r="340" spans="2:11" x14ac:dyDescent="0.3">
      <c r="B340" s="5" t="s">
        <v>64</v>
      </c>
      <c r="C340" s="5" t="s">
        <v>46</v>
      </c>
      <c r="G340" s="38">
        <f>G194+G357</f>
        <v>30863.053770889732</v>
      </c>
      <c r="H340" s="38">
        <f t="shared" ref="H340:K340" si="168">H194+H357</f>
        <v>31210.409683940627</v>
      </c>
      <c r="I340" s="38">
        <f t="shared" si="168"/>
        <v>31573.479196498462</v>
      </c>
      <c r="J340" s="38">
        <f t="shared" si="168"/>
        <v>31978.727267787981</v>
      </c>
      <c r="K340" s="38">
        <f t="shared" si="168"/>
        <v>32459.526670881729</v>
      </c>
    </row>
    <row r="341" spans="2:11" x14ac:dyDescent="0.3">
      <c r="B341" s="5" t="s">
        <v>43</v>
      </c>
      <c r="C341" s="5" t="s">
        <v>47</v>
      </c>
      <c r="G341" s="39">
        <f>G339/G340</f>
        <v>2.2773923514430541E-2</v>
      </c>
      <c r="H341" s="39">
        <f t="shared" ref="H341:J341" si="169">H339/H340</f>
        <v>2.4588742069002877E-2</v>
      </c>
      <c r="I341" s="39">
        <f t="shared" si="169"/>
        <v>2.4352791117881585E-2</v>
      </c>
      <c r="J341" s="39">
        <f t="shared" si="169"/>
        <v>2.4387062785491128E-2</v>
      </c>
      <c r="K341" s="39">
        <f>K339/K340</f>
        <v>2.4284573834336715E-2</v>
      </c>
    </row>
    <row r="344" spans="2:11" ht="25.8" x14ac:dyDescent="0.5">
      <c r="B344" s="3" t="str">
        <f>Cover!$B$2</f>
        <v>OSB</v>
      </c>
      <c r="C344" s="3"/>
      <c r="D344" s="4"/>
      <c r="E344" s="4"/>
      <c r="F344" s="4"/>
      <c r="G344" s="4"/>
      <c r="H344" s="4"/>
      <c r="I344" s="4"/>
      <c r="J344" s="4"/>
      <c r="K344" s="4"/>
    </row>
    <row r="345" spans="2:11" x14ac:dyDescent="0.3">
      <c r="B345" s="4" t="s">
        <v>280</v>
      </c>
      <c r="C345" s="4"/>
      <c r="D345" s="4"/>
      <c r="E345" s="4"/>
      <c r="F345" s="4"/>
      <c r="G345" s="4"/>
      <c r="H345" s="4"/>
      <c r="I345" s="4"/>
      <c r="J345" s="4"/>
      <c r="K345" s="4"/>
    </row>
    <row r="346" spans="2:11" x14ac:dyDescent="0.3">
      <c r="B346" s="4"/>
      <c r="C346" s="4"/>
      <c r="D346" s="4"/>
      <c r="E346" s="4"/>
      <c r="F346" s="4"/>
      <c r="G346" s="4"/>
      <c r="H346" s="4"/>
      <c r="I346" s="4"/>
    </row>
    <row r="347" spans="2:11" x14ac:dyDescent="0.3">
      <c r="B347" s="4"/>
      <c r="C347" s="4"/>
      <c r="D347" s="4"/>
      <c r="E347" s="4"/>
      <c r="F347" s="4"/>
      <c r="G347" s="4"/>
      <c r="H347" s="4"/>
      <c r="I347" s="4"/>
    </row>
    <row r="349" spans="2:11" x14ac:dyDescent="0.3">
      <c r="C349" t="s">
        <v>2</v>
      </c>
      <c r="E349" s="51">
        <v>2024</v>
      </c>
      <c r="F349" s="51">
        <v>2025</v>
      </c>
      <c r="G349" s="52">
        <f>F349+1</f>
        <v>2026</v>
      </c>
      <c r="H349" s="52">
        <f t="shared" ref="H349" si="170">G349+1</f>
        <v>2027</v>
      </c>
      <c r="I349" s="52">
        <f t="shared" ref="I349" si="171">H349+1</f>
        <v>2028</v>
      </c>
      <c r="J349" s="52">
        <f t="shared" ref="J349" si="172">I349+1</f>
        <v>2029</v>
      </c>
      <c r="K349" s="52">
        <f t="shared" ref="K349" si="173">J349+1</f>
        <v>2030</v>
      </c>
    </row>
    <row r="350" spans="2:11" x14ac:dyDescent="0.3">
      <c r="E350" s="5"/>
      <c r="F350" s="5"/>
      <c r="G350" s="5"/>
      <c r="H350" s="5"/>
      <c r="I350" s="5"/>
    </row>
    <row r="351" spans="2:11" x14ac:dyDescent="0.3">
      <c r="E351" s="5"/>
      <c r="F351" s="5"/>
      <c r="G351" s="5"/>
      <c r="H351" s="5"/>
      <c r="I351" s="5"/>
    </row>
    <row r="352" spans="2:11" x14ac:dyDescent="0.3">
      <c r="B352" s="5" t="s">
        <v>66</v>
      </c>
    </row>
    <row r="353" spans="2:11" x14ac:dyDescent="0.3">
      <c r="B353" s="5"/>
    </row>
    <row r="354" spans="2:11" x14ac:dyDescent="0.3">
      <c r="B354" t="s">
        <v>65</v>
      </c>
      <c r="C354" t="s">
        <v>46</v>
      </c>
      <c r="E354" s="26">
        <f>E38</f>
        <v>3406.2</v>
      </c>
      <c r="F354" s="26">
        <f>F38</f>
        <v>3053.4</v>
      </c>
      <c r="G354" s="26">
        <f>G38</f>
        <v>2336.9875417794647</v>
      </c>
      <c r="H354" s="26">
        <f>H38</f>
        <v>1755.2055361017992</v>
      </c>
      <c r="I354" s="26">
        <f>I38</f>
        <v>1310.8738417451204</v>
      </c>
      <c r="J354" s="26">
        <f>J38</f>
        <v>1099.7677570720953</v>
      </c>
      <c r="K354" s="26">
        <f>K38</f>
        <v>1006.6259526212889</v>
      </c>
    </row>
    <row r="355" spans="2:11" x14ac:dyDescent="0.3">
      <c r="B355" t="s">
        <v>16</v>
      </c>
      <c r="C355" t="s">
        <v>46</v>
      </c>
      <c r="E355" s="26">
        <f>E39</f>
        <v>1434.4</v>
      </c>
      <c r="F355" s="26">
        <f>F39</f>
        <v>1814.5</v>
      </c>
      <c r="G355" s="26">
        <f>G39</f>
        <v>1814.5</v>
      </c>
      <c r="H355" s="26">
        <f>H39</f>
        <v>1814.5</v>
      </c>
      <c r="I355" s="26">
        <f>I39</f>
        <v>1814.5</v>
      </c>
      <c r="J355" s="26">
        <f>J39</f>
        <v>1814.5</v>
      </c>
      <c r="K355" s="26">
        <f>K39</f>
        <v>1814.5</v>
      </c>
    </row>
    <row r="356" spans="2:11" x14ac:dyDescent="0.3">
      <c r="B356" s="10" t="s">
        <v>67</v>
      </c>
      <c r="C356" s="11" t="s">
        <v>46</v>
      </c>
      <c r="D356" s="11"/>
      <c r="E356" s="35">
        <f>SUM(E354:E355)</f>
        <v>4840.6000000000004</v>
      </c>
      <c r="F356" s="35">
        <f t="shared" ref="F356:K356" si="174">SUM(F354:F355)</f>
        <v>4867.8999999999996</v>
      </c>
      <c r="G356" s="35">
        <f t="shared" si="174"/>
        <v>4151.4875417794647</v>
      </c>
      <c r="H356" s="35">
        <f t="shared" si="174"/>
        <v>3569.7055361017992</v>
      </c>
      <c r="I356" s="35">
        <f t="shared" si="174"/>
        <v>3125.3738417451204</v>
      </c>
      <c r="J356" s="35">
        <f t="shared" si="174"/>
        <v>2914.2677570720953</v>
      </c>
      <c r="K356" s="35">
        <f t="shared" si="174"/>
        <v>2821.1259526212889</v>
      </c>
    </row>
    <row r="357" spans="2:11" x14ac:dyDescent="0.3">
      <c r="B357" t="s">
        <v>68</v>
      </c>
      <c r="C357" t="s">
        <v>46</v>
      </c>
      <c r="F357" s="26">
        <f>AVERAGE(E356,F356)</f>
        <v>4854.25</v>
      </c>
      <c r="G357" s="26">
        <f t="shared" ref="G357:K357" si="175">AVERAGE(F356,G356)</f>
        <v>4509.6937708897321</v>
      </c>
      <c r="H357" s="26">
        <f t="shared" si="175"/>
        <v>3860.5965389406319</v>
      </c>
      <c r="I357" s="26">
        <f t="shared" si="175"/>
        <v>3347.5396889234598</v>
      </c>
      <c r="J357">
        <f t="shared" si="175"/>
        <v>3019.8207994086079</v>
      </c>
      <c r="K357">
        <f t="shared" si="175"/>
        <v>2867.6968548466921</v>
      </c>
    </row>
    <row r="359" spans="2:11" x14ac:dyDescent="0.3">
      <c r="B359" t="s">
        <v>69</v>
      </c>
      <c r="C359" t="s">
        <v>46</v>
      </c>
      <c r="G359" s="26">
        <f>F354*Assumptions!D75</f>
        <v>114.5025</v>
      </c>
      <c r="H359" s="26">
        <f>G354*Assumptions!E75</f>
        <v>105.1644393800759</v>
      </c>
      <c r="I359" s="26">
        <f>H354*Assumptions!F75</f>
        <v>61.432193763562978</v>
      </c>
      <c r="J359" s="26">
        <f>I354*Assumptions!G75</f>
        <v>39.326215252353613</v>
      </c>
      <c r="K359" s="26">
        <f>J354*Assumptions!H75</f>
        <v>27.494193926802382</v>
      </c>
    </row>
    <row r="360" spans="2:11" x14ac:dyDescent="0.3">
      <c r="B360" s="9" t="s">
        <v>70</v>
      </c>
      <c r="C360" s="9" t="s">
        <v>46</v>
      </c>
      <c r="D360" s="9"/>
      <c r="E360" s="9"/>
      <c r="F360" s="9"/>
      <c r="G360" s="46">
        <f>F355*Assumptions!D77</f>
        <v>88.910499999999999</v>
      </c>
      <c r="H360" s="46">
        <f>G355*Assumptions!E77</f>
        <v>102.51925</v>
      </c>
      <c r="I360" s="46">
        <f>H355*Assumptions!F77</f>
        <v>84.374250000000004</v>
      </c>
      <c r="J360" s="46">
        <f>I355*Assumptions!G77</f>
        <v>75.301749999999998</v>
      </c>
      <c r="K360" s="46">
        <f>J355*Assumptions!H77</f>
        <v>66.229249999999993</v>
      </c>
    </row>
    <row r="361" spans="2:11" x14ac:dyDescent="0.3">
      <c r="B361" s="5" t="s">
        <v>71</v>
      </c>
      <c r="C361" t="s">
        <v>46</v>
      </c>
      <c r="G361" s="26">
        <f>SUM(G359:G360)</f>
        <v>203.41300000000001</v>
      </c>
      <c r="H361" s="26">
        <f t="shared" ref="H361:I361" si="176">SUM(H359:H360)</f>
        <v>207.68368938007592</v>
      </c>
      <c r="I361" s="26">
        <f t="shared" si="176"/>
        <v>145.80644376356298</v>
      </c>
      <c r="J361" s="26">
        <f t="shared" ref="J361:K361" si="177">SUM(J359:J360)</f>
        <v>114.62796525235362</v>
      </c>
      <c r="K361" s="26">
        <f t="shared" si="177"/>
        <v>93.723443926802375</v>
      </c>
    </row>
    <row r="364" spans="2:11" ht="25.8" x14ac:dyDescent="0.5">
      <c r="B364" s="3" t="str">
        <f>Cover!$B$2</f>
        <v>OSB</v>
      </c>
      <c r="C364" s="3"/>
      <c r="D364" s="4"/>
      <c r="E364" s="4"/>
      <c r="F364" s="4"/>
      <c r="G364" s="4"/>
      <c r="H364" s="4"/>
      <c r="I364" s="4"/>
      <c r="J364" s="4"/>
      <c r="K364" s="4"/>
    </row>
    <row r="365" spans="2:11" x14ac:dyDescent="0.3">
      <c r="B365" s="4" t="s">
        <v>282</v>
      </c>
      <c r="C365" s="4"/>
      <c r="D365" s="4"/>
      <c r="E365" s="4"/>
      <c r="F365" s="4"/>
      <c r="G365" s="4"/>
      <c r="H365" s="4"/>
      <c r="I365" s="4"/>
      <c r="J365" s="4"/>
      <c r="K365" s="4"/>
    </row>
    <row r="366" spans="2:11" x14ac:dyDescent="0.3">
      <c r="B366" s="4"/>
      <c r="C366" s="4"/>
      <c r="D366" s="4"/>
      <c r="E366" s="4"/>
      <c r="F366" s="4"/>
      <c r="G366" s="4"/>
      <c r="H366" s="4"/>
      <c r="I366" s="4"/>
    </row>
    <row r="367" spans="2:11" x14ac:dyDescent="0.3">
      <c r="B367" s="4"/>
      <c r="C367" s="4"/>
      <c r="D367" s="4"/>
      <c r="E367" s="4"/>
      <c r="F367" s="4"/>
      <c r="G367" s="4"/>
      <c r="H367" s="4"/>
      <c r="I367" s="4"/>
    </row>
    <row r="369" spans="2:11" x14ac:dyDescent="0.3">
      <c r="C369" t="s">
        <v>2</v>
      </c>
      <c r="E369" s="51">
        <v>2024</v>
      </c>
      <c r="F369" s="51">
        <v>2025</v>
      </c>
      <c r="G369" s="52">
        <f>F369+1</f>
        <v>2026</v>
      </c>
      <c r="H369" s="52">
        <f t="shared" ref="H369" si="178">G369+1</f>
        <v>2027</v>
      </c>
      <c r="I369" s="52">
        <f t="shared" ref="I369" si="179">H369+1</f>
        <v>2028</v>
      </c>
      <c r="J369" s="52">
        <f t="shared" ref="J369" si="180">I369+1</f>
        <v>2029</v>
      </c>
      <c r="K369" s="52">
        <f t="shared" ref="K369" si="181">J369+1</f>
        <v>2030</v>
      </c>
    </row>
    <row r="371" spans="2:11" x14ac:dyDescent="0.3">
      <c r="B371" s="5" t="s">
        <v>145</v>
      </c>
    </row>
    <row r="373" spans="2:11" x14ac:dyDescent="0.3">
      <c r="B373" s="5" t="s">
        <v>283</v>
      </c>
    </row>
    <row r="375" spans="2:11" x14ac:dyDescent="0.3">
      <c r="B375" t="s">
        <v>247</v>
      </c>
      <c r="C375" t="s">
        <v>46</v>
      </c>
      <c r="G375" s="17">
        <f>G115</f>
        <v>12435.806499999999</v>
      </c>
      <c r="H375" s="17">
        <f>H115</f>
        <v>13131.634075</v>
      </c>
      <c r="I375" s="17">
        <f>I115</f>
        <v>13728.53616505</v>
      </c>
      <c r="J375" s="17">
        <f>J115</f>
        <v>14236.1420838595</v>
      </c>
      <c r="K375" s="17">
        <f>K115</f>
        <v>14680.455650040145</v>
      </c>
    </row>
    <row r="376" spans="2:11" x14ac:dyDescent="0.3">
      <c r="B376" s="9" t="s">
        <v>284</v>
      </c>
      <c r="C376" s="9" t="s">
        <v>76</v>
      </c>
      <c r="D376" s="9"/>
      <c r="E376" s="9"/>
      <c r="F376" s="9"/>
      <c r="G376" s="49">
        <f>Assumptions!D83</f>
        <v>10</v>
      </c>
      <c r="H376" s="49">
        <f>Assumptions!E83</f>
        <v>10</v>
      </c>
      <c r="I376" s="49">
        <f>Assumptions!F83</f>
        <v>10</v>
      </c>
      <c r="J376" s="49">
        <f>Assumptions!G83</f>
        <v>10</v>
      </c>
      <c r="K376" s="49">
        <f>Assumptions!H83</f>
        <v>10</v>
      </c>
    </row>
    <row r="377" spans="2:11" x14ac:dyDescent="0.3">
      <c r="B377" s="5" t="s">
        <v>285</v>
      </c>
      <c r="C377" s="5" t="s">
        <v>46</v>
      </c>
      <c r="D377" s="5"/>
      <c r="E377" s="5"/>
      <c r="F377" s="5"/>
      <c r="G377" s="38">
        <f>G376*G375/10000</f>
        <v>12.435806499999998</v>
      </c>
      <c r="H377" s="38">
        <f t="shared" ref="H377:K377" si="182">H376*H375/10000</f>
        <v>13.131634075000001</v>
      </c>
      <c r="I377" s="38">
        <f t="shared" si="182"/>
        <v>13.72853616505</v>
      </c>
      <c r="J377" s="38">
        <f t="shared" si="182"/>
        <v>14.236142083859502</v>
      </c>
      <c r="K377" s="38">
        <f t="shared" si="182"/>
        <v>14.680455650040146</v>
      </c>
    </row>
    <row r="379" spans="2:11" x14ac:dyDescent="0.3">
      <c r="B379" s="5" t="s">
        <v>199</v>
      </c>
    </row>
    <row r="381" spans="2:11" x14ac:dyDescent="0.3">
      <c r="B381" t="s">
        <v>286</v>
      </c>
      <c r="C381" t="s">
        <v>46</v>
      </c>
      <c r="G381" s="17">
        <f>G125</f>
        <v>1824.5787499999999</v>
      </c>
      <c r="H381" s="17">
        <f>H125</f>
        <v>1549.6774687499999</v>
      </c>
      <c r="I381" s="17">
        <f>I125</f>
        <v>1293.28391171875</v>
      </c>
      <c r="J381" s="17">
        <f>J125</f>
        <v>1066.9592271679687</v>
      </c>
      <c r="K381" s="17">
        <f>K125</f>
        <v>880.24136241357417</v>
      </c>
    </row>
    <row r="382" spans="2:11" x14ac:dyDescent="0.3">
      <c r="B382" s="9" t="s">
        <v>287</v>
      </c>
      <c r="C382" s="9" t="s">
        <v>76</v>
      </c>
      <c r="D382" s="9"/>
      <c r="E382" s="9"/>
      <c r="F382" s="9"/>
      <c r="G382" s="49">
        <f>Assumptions!D84</f>
        <v>5</v>
      </c>
      <c r="H382" s="49">
        <f>Assumptions!E84</f>
        <v>5</v>
      </c>
      <c r="I382" s="49">
        <f>Assumptions!F84</f>
        <v>5</v>
      </c>
      <c r="J382" s="49">
        <f>Assumptions!G84</f>
        <v>5</v>
      </c>
      <c r="K382" s="49">
        <f>Assumptions!H84</f>
        <v>5</v>
      </c>
    </row>
    <row r="383" spans="2:11" x14ac:dyDescent="0.3">
      <c r="B383" s="5" t="s">
        <v>288</v>
      </c>
      <c r="C383" s="5" t="s">
        <v>46</v>
      </c>
      <c r="D383" s="5"/>
      <c r="E383" s="5"/>
      <c r="F383" s="5"/>
      <c r="G383" s="38">
        <f>G382*G381/10000</f>
        <v>0.91228937499999996</v>
      </c>
      <c r="H383" s="38">
        <f t="shared" ref="H383:K383" si="183">H382*H381/10000</f>
        <v>0.77483873437499995</v>
      </c>
      <c r="I383" s="38">
        <f t="shared" si="183"/>
        <v>0.64664195585937501</v>
      </c>
      <c r="J383" s="38">
        <f t="shared" si="183"/>
        <v>0.53347961358398432</v>
      </c>
      <c r="K383" s="38">
        <f t="shared" si="183"/>
        <v>0.44012068120678705</v>
      </c>
    </row>
    <row r="385" spans="2:11" x14ac:dyDescent="0.3">
      <c r="B385" s="5" t="s">
        <v>292</v>
      </c>
    </row>
    <row r="387" spans="2:11" x14ac:dyDescent="0.3">
      <c r="B387" t="s">
        <v>293</v>
      </c>
      <c r="C387" t="s">
        <v>46</v>
      </c>
      <c r="G387" s="17">
        <f>G135</f>
        <v>395.57749999999999</v>
      </c>
      <c r="H387" s="17">
        <f>H135</f>
        <v>488.34537499999993</v>
      </c>
      <c r="I387" s="17">
        <f>I135</f>
        <v>563.70566374999999</v>
      </c>
      <c r="J387" s="17">
        <f>J135</f>
        <v>626.20772153749999</v>
      </c>
      <c r="K387" s="17">
        <f>K135</f>
        <v>675.61628072037502</v>
      </c>
    </row>
    <row r="388" spans="2:11" x14ac:dyDescent="0.3">
      <c r="B388" s="9" t="s">
        <v>290</v>
      </c>
      <c r="C388" s="9" t="s">
        <v>76</v>
      </c>
      <c r="D388" s="9"/>
      <c r="E388" s="9"/>
      <c r="F388" s="9"/>
      <c r="G388" s="49">
        <f>Assumptions!D85</f>
        <v>30</v>
      </c>
      <c r="H388" s="49">
        <f>Assumptions!E85</f>
        <v>30</v>
      </c>
      <c r="I388" s="49">
        <f>Assumptions!F85</f>
        <v>30</v>
      </c>
      <c r="J388" s="49">
        <f>Assumptions!G85</f>
        <v>30</v>
      </c>
      <c r="K388" s="49">
        <f>Assumptions!H85</f>
        <v>30</v>
      </c>
    </row>
    <row r="389" spans="2:11" x14ac:dyDescent="0.3">
      <c r="B389" s="5" t="s">
        <v>294</v>
      </c>
      <c r="C389" s="5" t="s">
        <v>46</v>
      </c>
      <c r="D389" s="5"/>
      <c r="E389" s="5"/>
      <c r="F389" s="5"/>
      <c r="G389" s="38">
        <f t="shared" ref="G389:K389" si="184">G388*G387/10000</f>
        <v>1.1867325</v>
      </c>
      <c r="H389" s="38">
        <f t="shared" si="184"/>
        <v>1.4650361249999999</v>
      </c>
      <c r="I389" s="38">
        <f t="shared" si="184"/>
        <v>1.6911169912500001</v>
      </c>
      <c r="J389" s="38">
        <f t="shared" si="184"/>
        <v>1.8786231646125</v>
      </c>
      <c r="K389" s="38">
        <f t="shared" si="184"/>
        <v>2.026848842161125</v>
      </c>
    </row>
    <row r="390" spans="2:11" x14ac:dyDescent="0.3">
      <c r="B390" s="5"/>
      <c r="C390" s="5"/>
      <c r="D390" s="5"/>
      <c r="E390" s="5"/>
      <c r="F390" s="5"/>
      <c r="G390" s="38"/>
      <c r="H390" s="38"/>
      <c r="I390" s="38"/>
      <c r="J390" s="38"/>
      <c r="K390" s="38"/>
    </row>
    <row r="391" spans="2:11" x14ac:dyDescent="0.3">
      <c r="B391" s="5" t="s">
        <v>295</v>
      </c>
    </row>
    <row r="393" spans="2:11" x14ac:dyDescent="0.3">
      <c r="B393" t="s">
        <v>296</v>
      </c>
      <c r="C393" t="s">
        <v>46</v>
      </c>
      <c r="G393" s="17">
        <f>G145</f>
        <v>2111.6925000000001</v>
      </c>
      <c r="H393" s="17">
        <f>H145</f>
        <v>2604.593625</v>
      </c>
      <c r="I393" s="17">
        <f>I145</f>
        <v>3067.52395875</v>
      </c>
      <c r="J393" s="17">
        <f>J145</f>
        <v>3456.7622330875001</v>
      </c>
      <c r="K393" s="17">
        <f>K145</f>
        <v>3781.9872470475002</v>
      </c>
    </row>
    <row r="394" spans="2:11" x14ac:dyDescent="0.3">
      <c r="B394" s="9" t="s">
        <v>74</v>
      </c>
      <c r="C394" s="9" t="s">
        <v>76</v>
      </c>
      <c r="D394" s="9"/>
      <c r="E394" s="9"/>
      <c r="F394" s="9"/>
      <c r="G394" s="49">
        <f>Assumptions!D86</f>
        <v>20</v>
      </c>
      <c r="H394" s="49">
        <f>Assumptions!E86</f>
        <v>20</v>
      </c>
      <c r="I394" s="49">
        <f>Assumptions!F86</f>
        <v>20</v>
      </c>
      <c r="J394" s="49">
        <f>Assumptions!G86</f>
        <v>20</v>
      </c>
      <c r="K394" s="49">
        <f>Assumptions!H86</f>
        <v>20</v>
      </c>
    </row>
    <row r="395" spans="2:11" x14ac:dyDescent="0.3">
      <c r="B395" s="5" t="s">
        <v>75</v>
      </c>
      <c r="C395" s="5" t="s">
        <v>46</v>
      </c>
      <c r="D395" s="5"/>
      <c r="E395" s="5"/>
      <c r="F395" s="5"/>
      <c r="G395" s="38">
        <f t="shared" ref="G395" si="185">G394*G393/10000</f>
        <v>4.2233850000000004</v>
      </c>
      <c r="H395" s="38">
        <f t="shared" ref="H395" si="186">H394*H393/10000</f>
        <v>5.2091872499999994</v>
      </c>
      <c r="I395" s="38">
        <f t="shared" ref="I395" si="187">I394*I393/10000</f>
        <v>6.1350479174999997</v>
      </c>
      <c r="J395" s="38">
        <f t="shared" ref="J395" si="188">J394*J393/10000</f>
        <v>6.9135244661750006</v>
      </c>
      <c r="K395" s="38">
        <f t="shared" ref="K395" si="189">K394*K393/10000</f>
        <v>7.5639744940950013</v>
      </c>
    </row>
    <row r="396" spans="2:11" x14ac:dyDescent="0.3">
      <c r="B396" s="5"/>
      <c r="G396" s="27"/>
    </row>
    <row r="397" spans="2:11" x14ac:dyDescent="0.3">
      <c r="B397" s="5" t="s">
        <v>298</v>
      </c>
    </row>
    <row r="399" spans="2:11" x14ac:dyDescent="0.3">
      <c r="B399" t="s">
        <v>254</v>
      </c>
      <c r="C399" t="s">
        <v>46</v>
      </c>
      <c r="G399" s="17">
        <f>G155+G160</f>
        <v>519.89450000000011</v>
      </c>
      <c r="H399" s="17">
        <f>H155+H160</f>
        <v>684.79181500000004</v>
      </c>
      <c r="I399" s="17">
        <f>I155+I160</f>
        <v>852.53426605000004</v>
      </c>
      <c r="J399" s="17">
        <f>J155+J160</f>
        <v>1016.9993082535</v>
      </c>
      <c r="K399" s="17">
        <f>K155+K160</f>
        <v>1175.434996529845</v>
      </c>
    </row>
    <row r="400" spans="2:11" x14ac:dyDescent="0.3">
      <c r="B400" s="9" t="s">
        <v>297</v>
      </c>
      <c r="C400" s="9" t="s">
        <v>76</v>
      </c>
      <c r="D400" s="9"/>
      <c r="E400" s="9"/>
      <c r="F400" s="9"/>
      <c r="G400" s="49">
        <f>Assumptions!D87</f>
        <v>30</v>
      </c>
      <c r="H400" s="49">
        <f>Assumptions!E87</f>
        <v>30</v>
      </c>
      <c r="I400" s="49">
        <f>Assumptions!F87</f>
        <v>30</v>
      </c>
      <c r="J400" s="49">
        <f>Assumptions!G87</f>
        <v>30</v>
      </c>
      <c r="K400" s="49">
        <f>Assumptions!H87</f>
        <v>30</v>
      </c>
    </row>
    <row r="401" spans="2:11" x14ac:dyDescent="0.3">
      <c r="B401" s="5" t="s">
        <v>297</v>
      </c>
      <c r="C401" s="5" t="s">
        <v>46</v>
      </c>
      <c r="D401" s="5"/>
      <c r="E401" s="5"/>
      <c r="F401" s="5"/>
      <c r="G401" s="38">
        <f t="shared" ref="G401" si="190">G400*G399/10000</f>
        <v>1.5596835000000002</v>
      </c>
      <c r="H401" s="38">
        <f t="shared" ref="H401" si="191">H400*H399/10000</f>
        <v>2.0543754450000002</v>
      </c>
      <c r="I401" s="38">
        <f t="shared" ref="I401" si="192">I400*I399/10000</f>
        <v>2.5576027981500005</v>
      </c>
      <c r="J401" s="38">
        <f t="shared" ref="J401" si="193">J400*J399/10000</f>
        <v>3.0509979247604999</v>
      </c>
      <c r="K401" s="38">
        <f t="shared" ref="K401" si="194">K400*K399/10000</f>
        <v>3.5263049895895349</v>
      </c>
    </row>
    <row r="402" spans="2:11" x14ac:dyDescent="0.3">
      <c r="B402" s="5"/>
      <c r="C402" s="5"/>
      <c r="D402" s="5"/>
      <c r="E402" s="5"/>
      <c r="F402" s="5"/>
      <c r="G402" s="38"/>
      <c r="H402" s="38"/>
      <c r="I402" s="38"/>
      <c r="J402" s="38"/>
      <c r="K402" s="38"/>
    </row>
    <row r="403" spans="2:11" x14ac:dyDescent="0.3">
      <c r="B403" s="5" t="s">
        <v>261</v>
      </c>
      <c r="C403" s="5"/>
      <c r="D403" s="5"/>
      <c r="E403" s="5"/>
      <c r="F403" s="5"/>
      <c r="G403" s="38"/>
      <c r="H403" s="38"/>
      <c r="I403" s="38"/>
      <c r="J403" s="38"/>
      <c r="K403" s="38"/>
    </row>
    <row r="404" spans="2:11" x14ac:dyDescent="0.3">
      <c r="B404" s="5"/>
      <c r="C404" s="5"/>
      <c r="D404" s="5"/>
      <c r="E404" s="5"/>
      <c r="F404" s="5"/>
      <c r="G404" s="38"/>
      <c r="H404" s="38"/>
      <c r="I404" s="38"/>
      <c r="J404" s="38"/>
      <c r="K404" s="38"/>
    </row>
    <row r="405" spans="2:11" x14ac:dyDescent="0.3">
      <c r="B405" s="5" t="s">
        <v>283</v>
      </c>
    </row>
    <row r="407" spans="2:11" x14ac:dyDescent="0.3">
      <c r="B407" t="s">
        <v>247</v>
      </c>
      <c r="C407" t="s">
        <v>46</v>
      </c>
      <c r="G407" s="17">
        <f>G178</f>
        <v>5880.8139999999994</v>
      </c>
      <c r="H407" s="17">
        <f>H178</f>
        <v>5607.0488799999985</v>
      </c>
      <c r="I407" s="17">
        <f>I178</f>
        <v>5355.184969599999</v>
      </c>
      <c r="J407" s="17">
        <f>J178</f>
        <v>5123.470172031999</v>
      </c>
      <c r="K407" s="17">
        <f>K178</f>
        <v>4910.2925582694388</v>
      </c>
    </row>
    <row r="408" spans="2:11" x14ac:dyDescent="0.3">
      <c r="B408" s="9" t="s">
        <v>299</v>
      </c>
      <c r="C408" s="9" t="s">
        <v>76</v>
      </c>
      <c r="D408" s="9"/>
      <c r="E408" s="9"/>
      <c r="F408" s="9"/>
      <c r="G408" s="49">
        <f>Assumptions!D91</f>
        <v>10</v>
      </c>
      <c r="H408" s="49">
        <f>Assumptions!E91</f>
        <v>10</v>
      </c>
      <c r="I408" s="49">
        <f>Assumptions!F91</f>
        <v>10</v>
      </c>
      <c r="J408" s="49">
        <f>Assumptions!G91</f>
        <v>10</v>
      </c>
      <c r="K408" s="49">
        <f>Assumptions!H91</f>
        <v>10</v>
      </c>
    </row>
    <row r="409" spans="2:11" x14ac:dyDescent="0.3">
      <c r="B409" s="5" t="s">
        <v>299</v>
      </c>
      <c r="C409" s="5" t="s">
        <v>46</v>
      </c>
      <c r="D409" s="5"/>
      <c r="E409" s="5"/>
      <c r="F409" s="5"/>
      <c r="G409" s="38">
        <f t="shared" ref="G409" si="195">G408*G407/10000</f>
        <v>5.8808139999999991</v>
      </c>
      <c r="H409" s="38">
        <f t="shared" ref="H409" si="196">H408*H407/10000</f>
        <v>5.6070488799999989</v>
      </c>
      <c r="I409" s="38">
        <f t="shared" ref="I409" si="197">I408*I407/10000</f>
        <v>5.3551849695999989</v>
      </c>
      <c r="J409" s="38">
        <f t="shared" ref="J409" si="198">J408*J407/10000</f>
        <v>5.1234701720319995</v>
      </c>
      <c r="K409" s="38">
        <f t="shared" ref="K409" si="199">K408*K407/10000</f>
        <v>4.9102925582694388</v>
      </c>
    </row>
    <row r="410" spans="2:11" x14ac:dyDescent="0.3">
      <c r="B410" s="5"/>
      <c r="G410" s="27"/>
    </row>
    <row r="411" spans="2:11" x14ac:dyDescent="0.3">
      <c r="B411" s="5" t="s">
        <v>199</v>
      </c>
    </row>
    <row r="413" spans="2:11" x14ac:dyDescent="0.3">
      <c r="B413" t="s">
        <v>286</v>
      </c>
      <c r="C413" t="s">
        <v>46</v>
      </c>
      <c r="G413" s="17">
        <f>G188</f>
        <v>3184.9962500000001</v>
      </c>
      <c r="H413" s="17">
        <f>H188</f>
        <v>3283.7219062499998</v>
      </c>
      <c r="I413" s="17">
        <f>I188</f>
        <v>3365.17057265625</v>
      </c>
      <c r="J413" s="17">
        <f>J188</f>
        <v>3432.3657224414064</v>
      </c>
      <c r="K413" s="17">
        <f>K188</f>
        <v>3487.8017210141597</v>
      </c>
    </row>
    <row r="414" spans="2:11" x14ac:dyDescent="0.3">
      <c r="B414" s="9" t="s">
        <v>300</v>
      </c>
      <c r="C414" s="9" t="s">
        <v>76</v>
      </c>
      <c r="D414" s="9"/>
      <c r="E414" s="9"/>
      <c r="F414" s="9"/>
      <c r="G414" s="49">
        <f>Assumptions!D92</f>
        <v>10</v>
      </c>
      <c r="H414" s="49">
        <f>Assumptions!E92</f>
        <v>10</v>
      </c>
      <c r="I414" s="49">
        <f>Assumptions!F92</f>
        <v>10</v>
      </c>
      <c r="J414" s="49">
        <f>Assumptions!G92</f>
        <v>10</v>
      </c>
      <c r="K414" s="49">
        <f>Assumptions!H92</f>
        <v>10</v>
      </c>
    </row>
    <row r="415" spans="2:11" x14ac:dyDescent="0.3">
      <c r="B415" s="5" t="s">
        <v>300</v>
      </c>
      <c r="C415" s="5" t="s">
        <v>46</v>
      </c>
      <c r="D415" s="5"/>
      <c r="E415" s="5"/>
      <c r="F415" s="5"/>
      <c r="G415" s="38">
        <f t="shared" ref="G415" si="200">G414*G413/10000</f>
        <v>3.1849962500000002</v>
      </c>
      <c r="H415" s="38">
        <f t="shared" ref="H415" si="201">H414*H413/10000</f>
        <v>3.2837219062499998</v>
      </c>
      <c r="I415" s="38">
        <f t="shared" ref="I415" si="202">I414*I413/10000</f>
        <v>3.3651705726562495</v>
      </c>
      <c r="J415" s="38">
        <f t="shared" ref="J415" si="203">J414*J413/10000</f>
        <v>3.4323657224414061</v>
      </c>
      <c r="K415" s="38">
        <f t="shared" ref="K415" si="204">K414*K413/10000</f>
        <v>3.4878017210141596</v>
      </c>
    </row>
    <row r="416" spans="2:11" x14ac:dyDescent="0.3">
      <c r="B416" s="5"/>
      <c r="C416" s="5"/>
      <c r="D416" s="5"/>
      <c r="E416" s="5"/>
      <c r="F416" s="5"/>
      <c r="G416" s="38"/>
      <c r="H416" s="38"/>
      <c r="I416" s="38"/>
      <c r="J416" s="38"/>
      <c r="K416" s="38"/>
    </row>
    <row r="417" spans="2:11" x14ac:dyDescent="0.3">
      <c r="B417" t="s">
        <v>301</v>
      </c>
      <c r="C417" t="s">
        <v>46</v>
      </c>
      <c r="D417" s="5"/>
      <c r="E417" s="5"/>
      <c r="F417" s="5"/>
      <c r="G417" s="38">
        <f>G377+G383+G389+G395+G401</f>
        <v>20.317896874999995</v>
      </c>
      <c r="H417" s="38">
        <f t="shared" ref="H417:K417" si="205">H377+H383+H389+H395+H401</f>
        <v>22.635071629375002</v>
      </c>
      <c r="I417" s="38">
        <f t="shared" si="205"/>
        <v>24.758945827809374</v>
      </c>
      <c r="J417" s="38">
        <f t="shared" si="205"/>
        <v>26.612767252991489</v>
      </c>
      <c r="K417" s="38">
        <f t="shared" si="205"/>
        <v>28.237704657092593</v>
      </c>
    </row>
    <row r="418" spans="2:11" x14ac:dyDescent="0.3">
      <c r="B418" s="9" t="s">
        <v>302</v>
      </c>
      <c r="C418" s="9" t="s">
        <v>46</v>
      </c>
      <c r="D418" s="6"/>
      <c r="E418" s="6"/>
      <c r="F418" s="6"/>
      <c r="G418" s="84">
        <f>G409+G415</f>
        <v>9.0658102499999984</v>
      </c>
      <c r="H418" s="84">
        <f t="shared" ref="H418:K418" si="206">H409+H415</f>
        <v>8.8907707862499983</v>
      </c>
      <c r="I418" s="84">
        <f t="shared" si="206"/>
        <v>8.7203555422562484</v>
      </c>
      <c r="J418" s="84">
        <f t="shared" si="206"/>
        <v>8.5558358944734056</v>
      </c>
      <c r="K418" s="84">
        <f t="shared" si="206"/>
        <v>8.3980942792835975</v>
      </c>
    </row>
    <row r="419" spans="2:11" x14ac:dyDescent="0.3">
      <c r="B419" s="5" t="s">
        <v>77</v>
      </c>
      <c r="C419" s="5" t="s">
        <v>46</v>
      </c>
      <c r="G419" s="38">
        <f>SUM(G417:G418)</f>
        <v>29.383707124999994</v>
      </c>
      <c r="H419" s="38">
        <f t="shared" ref="H419:K419" si="207">SUM(H417:H418)</f>
        <v>31.525842415625</v>
      </c>
      <c r="I419" s="38">
        <f t="shared" si="207"/>
        <v>33.47930137006562</v>
      </c>
      <c r="J419" s="38">
        <f t="shared" si="207"/>
        <v>35.168603147464893</v>
      </c>
      <c r="K419" s="38">
        <f t="shared" si="207"/>
        <v>36.63579893637619</v>
      </c>
    </row>
    <row r="420" spans="2:11" x14ac:dyDescent="0.3">
      <c r="B420" s="5" t="s">
        <v>78</v>
      </c>
      <c r="C420" s="5" t="s">
        <v>46</v>
      </c>
      <c r="G420" s="38">
        <f>G194</f>
        <v>26353.360000000001</v>
      </c>
      <c r="H420" s="38">
        <f>H194</f>
        <v>27349.813144999996</v>
      </c>
      <c r="I420" s="38">
        <f>I194</f>
        <v>28225.939507575</v>
      </c>
      <c r="J420" s="38">
        <f>J194</f>
        <v>28958.906468379373</v>
      </c>
      <c r="K420" s="38">
        <f>K194</f>
        <v>29591.829816035039</v>
      </c>
    </row>
    <row r="421" spans="2:11" x14ac:dyDescent="0.3">
      <c r="B421" s="5"/>
      <c r="G421" s="38"/>
      <c r="H421" s="38"/>
      <c r="I421" s="38"/>
      <c r="J421" s="38"/>
      <c r="K421" s="38"/>
    </row>
    <row r="422" spans="2:11" x14ac:dyDescent="0.3">
      <c r="B422" s="5" t="s">
        <v>79</v>
      </c>
      <c r="C422" s="5" t="s">
        <v>76</v>
      </c>
      <c r="G422" s="42">
        <f>10000*(G419/G420)</f>
        <v>11.14989023221327</v>
      </c>
      <c r="H422" s="42">
        <f t="shared" ref="H422:K422" si="208">10000*(H419/H420)</f>
        <v>11.526894991378926</v>
      </c>
      <c r="I422" s="42">
        <f t="shared" si="208"/>
        <v>11.8611822862728</v>
      </c>
      <c r="J422" s="42">
        <f t="shared" si="208"/>
        <v>12.144313248107617</v>
      </c>
      <c r="K422" s="42">
        <f t="shared" si="208"/>
        <v>12.38037632824051</v>
      </c>
    </row>
    <row r="425" spans="2:11" ht="25.8" x14ac:dyDescent="0.5">
      <c r="B425" s="3" t="str">
        <f>Cover!$B$2</f>
        <v>OSB</v>
      </c>
      <c r="C425" s="3"/>
      <c r="D425" s="4"/>
      <c r="E425" s="4"/>
      <c r="F425" s="4"/>
      <c r="G425" s="4"/>
      <c r="H425" s="4"/>
      <c r="I425" s="4"/>
      <c r="J425" s="4"/>
      <c r="K425" s="4"/>
    </row>
    <row r="426" spans="2:11" x14ac:dyDescent="0.3">
      <c r="B426" s="4" t="s">
        <v>303</v>
      </c>
      <c r="C426" s="4"/>
      <c r="D426" s="4"/>
      <c r="E426" s="4"/>
      <c r="F426" s="4"/>
      <c r="G426" s="4"/>
      <c r="H426" s="4"/>
      <c r="I426" s="4"/>
      <c r="J426" s="4"/>
      <c r="K426" s="4"/>
    </row>
    <row r="427" spans="2:11" x14ac:dyDescent="0.3">
      <c r="B427" s="4"/>
      <c r="C427" s="4"/>
      <c r="D427" s="4"/>
      <c r="E427" s="4"/>
      <c r="F427" s="4"/>
      <c r="G427" s="4"/>
      <c r="H427" s="4"/>
      <c r="I427" s="4"/>
    </row>
    <row r="428" spans="2:11" x14ac:dyDescent="0.3">
      <c r="B428" s="4"/>
      <c r="C428" s="4"/>
      <c r="D428" s="4"/>
      <c r="E428" s="4"/>
      <c r="F428" s="4"/>
      <c r="G428" s="4"/>
      <c r="H428" s="4"/>
      <c r="I428" s="4"/>
    </row>
    <row r="430" spans="2:11" x14ac:dyDescent="0.3">
      <c r="C430" t="s">
        <v>10</v>
      </c>
      <c r="E430" s="51">
        <v>2024</v>
      </c>
      <c r="F430" s="51">
        <v>2025</v>
      </c>
      <c r="G430" s="52">
        <f>F430+1</f>
        <v>2026</v>
      </c>
      <c r="H430" s="52">
        <f t="shared" ref="H430" si="209">G430+1</f>
        <v>2027</v>
      </c>
      <c r="I430" s="52">
        <f t="shared" ref="I430" si="210">H430+1</f>
        <v>2028</v>
      </c>
      <c r="J430" s="52">
        <f t="shared" ref="J430" si="211">I430+1</f>
        <v>2029</v>
      </c>
      <c r="K430" s="52">
        <f t="shared" ref="K430" si="212">J430+1</f>
        <v>2030</v>
      </c>
    </row>
    <row r="432" spans="2:11" x14ac:dyDescent="0.3">
      <c r="B432" s="5" t="s">
        <v>95</v>
      </c>
    </row>
    <row r="433" spans="2:11" x14ac:dyDescent="0.3">
      <c r="B433" s="5"/>
    </row>
    <row r="434" spans="2:11" x14ac:dyDescent="0.3">
      <c r="B434" t="s">
        <v>100</v>
      </c>
      <c r="G434" s="26">
        <f>$G$454/Assumptions!$D$110</f>
        <v>6.8285714285714283</v>
      </c>
      <c r="H434" s="26">
        <f>$G$454/Assumptions!$D$110</f>
        <v>6.8285714285714283</v>
      </c>
      <c r="I434" s="26">
        <f>$G$454/Assumptions!$D$110</f>
        <v>6.8285714285714283</v>
      </c>
      <c r="J434" s="26">
        <f>$G$454/Assumptions!$D$110</f>
        <v>6.8285714285714283</v>
      </c>
      <c r="K434" s="26">
        <f>$G$454/Assumptions!$D$110</f>
        <v>6.8285714285714283</v>
      </c>
    </row>
    <row r="435" spans="2:11" x14ac:dyDescent="0.3">
      <c r="B435" t="s">
        <v>96</v>
      </c>
      <c r="E435" s="15"/>
      <c r="G435" s="17">
        <f>(G$455/Assumptions!$D$110)*0.5</f>
        <v>0.88285714285714278</v>
      </c>
      <c r="H435" s="17">
        <f>($G$455/Assumptions!$D$110)</f>
        <v>1.7657142857142856</v>
      </c>
      <c r="I435" s="17">
        <f>($G$455/Assumptions!$D$110)</f>
        <v>1.7657142857142856</v>
      </c>
      <c r="J435" s="17">
        <f>($G$455/Assumptions!$D$110)</f>
        <v>1.7657142857142856</v>
      </c>
      <c r="K435" s="17">
        <f>($G$455/Assumptions!$D$110)</f>
        <v>1.7657142857142856</v>
      </c>
    </row>
    <row r="436" spans="2:11" x14ac:dyDescent="0.3">
      <c r="B436" t="s">
        <v>98</v>
      </c>
      <c r="G436" s="17"/>
      <c r="H436" s="17">
        <f>(H$455/Assumptions!$D$110)*0.5</f>
        <v>0.90934285714285712</v>
      </c>
      <c r="I436" s="17">
        <f>($H$455/Assumptions!$D$110)</f>
        <v>1.8186857142857142</v>
      </c>
      <c r="J436" s="17">
        <f>($H$455/Assumptions!$D$110)</f>
        <v>1.8186857142857142</v>
      </c>
      <c r="K436" s="17">
        <f>($H$455/Assumptions!$D$110)</f>
        <v>1.8186857142857142</v>
      </c>
    </row>
    <row r="437" spans="2:11" x14ac:dyDescent="0.3">
      <c r="B437" t="s">
        <v>97</v>
      </c>
      <c r="G437" s="17"/>
      <c r="H437" s="17"/>
      <c r="I437" s="17">
        <f>(I$455/Assumptions!$D$110)*0.5</f>
        <v>0.93662314285714288</v>
      </c>
      <c r="J437" s="17">
        <f>($I$455/Assumptions!$D$110)</f>
        <v>1.8732462857142858</v>
      </c>
      <c r="K437" s="17">
        <f>($I$455/Assumptions!$D$110)</f>
        <v>1.8732462857142858</v>
      </c>
    </row>
    <row r="438" spans="2:11" x14ac:dyDescent="0.3">
      <c r="B438" t="s">
        <v>332</v>
      </c>
      <c r="G438" s="17"/>
      <c r="H438" s="17"/>
      <c r="I438" s="17"/>
      <c r="J438" s="17">
        <f>(J$455/Assumptions!$D$110)*0.5</f>
        <v>0.9647218371428572</v>
      </c>
      <c r="K438" s="17">
        <f>(J$455/Assumptions!$D$110)</f>
        <v>1.9294436742857144</v>
      </c>
    </row>
    <row r="439" spans="2:11" x14ac:dyDescent="0.3">
      <c r="B439" t="s">
        <v>333</v>
      </c>
      <c r="G439" s="17"/>
      <c r="H439" s="17"/>
      <c r="I439" s="17"/>
      <c r="J439" s="17"/>
      <c r="K439" s="17">
        <f>(K$455/Assumptions!$D$110)*0.5</f>
        <v>0.99366349225714301</v>
      </c>
    </row>
    <row r="440" spans="2:11" x14ac:dyDescent="0.3">
      <c r="B440" s="10" t="s">
        <v>99</v>
      </c>
      <c r="C440" s="10"/>
      <c r="D440" s="10"/>
      <c r="E440" s="10"/>
      <c r="F440" s="10"/>
      <c r="G440" s="32">
        <f>SUM(G434:G439)</f>
        <v>7.7114285714285709</v>
      </c>
      <c r="H440" s="32">
        <f t="shared" ref="H440:K440" si="213">SUM(H434:H439)</f>
        <v>9.5036285714285711</v>
      </c>
      <c r="I440" s="32">
        <f t="shared" si="213"/>
        <v>11.34959457142857</v>
      </c>
      <c r="J440" s="32">
        <f t="shared" si="213"/>
        <v>13.250939551428571</v>
      </c>
      <c r="K440" s="32">
        <f t="shared" si="213"/>
        <v>15.209324880828571</v>
      </c>
    </row>
    <row r="441" spans="2:11" x14ac:dyDescent="0.3">
      <c r="B441" s="5"/>
      <c r="C441" s="5"/>
      <c r="D441" s="5"/>
      <c r="E441" s="5"/>
      <c r="F441" s="5"/>
      <c r="G441" s="16"/>
      <c r="H441" s="16"/>
      <c r="I441" s="16"/>
      <c r="J441" s="16"/>
      <c r="K441" s="16"/>
    </row>
    <row r="442" spans="2:11" x14ac:dyDescent="0.3">
      <c r="B442" s="5" t="s">
        <v>101</v>
      </c>
      <c r="C442" s="5"/>
      <c r="D442" s="5"/>
      <c r="E442" s="5"/>
      <c r="F442" s="5"/>
      <c r="G442" s="16"/>
      <c r="H442" s="16"/>
      <c r="I442" s="16"/>
      <c r="J442" s="16"/>
      <c r="K442" s="16"/>
    </row>
    <row r="443" spans="2:11" x14ac:dyDescent="0.3">
      <c r="B443" s="5"/>
      <c r="C443" s="5"/>
      <c r="D443" s="5"/>
      <c r="E443" s="5"/>
      <c r="F443" s="5"/>
      <c r="G443" s="16"/>
      <c r="H443" s="16"/>
      <c r="I443" s="16"/>
      <c r="J443" s="16"/>
      <c r="K443" s="16"/>
    </row>
    <row r="444" spans="2:11" x14ac:dyDescent="0.3">
      <c r="B444" t="s">
        <v>105</v>
      </c>
      <c r="C444" s="5"/>
      <c r="D444" s="5"/>
      <c r="E444" s="5"/>
      <c r="F444" s="5"/>
      <c r="G444" s="17">
        <f>$G$461/Assumptions!D110</f>
        <v>9.5571428571428587</v>
      </c>
      <c r="H444" s="17">
        <f>$G$461/Assumptions!E110</f>
        <v>9.5571428571428587</v>
      </c>
      <c r="I444" s="17">
        <f>$G$461/Assumptions!F110</f>
        <v>9.5571428571428587</v>
      </c>
      <c r="J444" s="17">
        <f>$G$461/Assumptions!G110</f>
        <v>9.5571428571428587</v>
      </c>
      <c r="K444" s="17">
        <f>$G$461/Assumptions!H110</f>
        <v>9.5571428571428587</v>
      </c>
    </row>
    <row r="445" spans="2:11" x14ac:dyDescent="0.3">
      <c r="B445" t="s">
        <v>102</v>
      </c>
      <c r="C445" s="5"/>
      <c r="D445" s="5"/>
      <c r="E445" s="5"/>
      <c r="F445" s="5"/>
      <c r="G445" s="17">
        <f>$G$462/Assumptions!$D$110 * 0.5</f>
        <v>2.0085000000000002</v>
      </c>
      <c r="H445" s="17">
        <f>$G$462/Assumptions!$D$110</f>
        <v>4.0170000000000003</v>
      </c>
      <c r="I445" s="17">
        <f>$G$462/Assumptions!$D$110</f>
        <v>4.0170000000000003</v>
      </c>
      <c r="J445" s="17">
        <f>$G$462/Assumptions!$D$110</f>
        <v>4.0170000000000003</v>
      </c>
      <c r="K445" s="17">
        <f>$G$462/Assumptions!$D$110</f>
        <v>4.0170000000000003</v>
      </c>
    </row>
    <row r="446" spans="2:11" x14ac:dyDescent="0.3">
      <c r="B446" t="s">
        <v>104</v>
      </c>
      <c r="C446" s="5"/>
      <c r="D446" s="5"/>
      <c r="E446" s="5"/>
      <c r="F446" s="5"/>
      <c r="G446" s="17"/>
      <c r="H446" s="26">
        <f>$H$462/Assumptions!$E$110 * 0.5</f>
        <v>2.0687549999999999</v>
      </c>
      <c r="I446" s="26">
        <f>$H$462/Assumptions!$E$110</f>
        <v>4.1375099999999998</v>
      </c>
      <c r="J446" s="26">
        <f>$H$462/Assumptions!$E$110</f>
        <v>4.1375099999999998</v>
      </c>
      <c r="K446" s="26">
        <f>$H$462/Assumptions!$E$110</f>
        <v>4.1375099999999998</v>
      </c>
    </row>
    <row r="447" spans="2:11" x14ac:dyDescent="0.3">
      <c r="B447" t="s">
        <v>103</v>
      </c>
      <c r="C447" s="5"/>
      <c r="D447" s="5"/>
      <c r="E447" s="5"/>
      <c r="F447" s="5"/>
      <c r="G447" s="17"/>
      <c r="H447" s="17"/>
      <c r="I447" s="26">
        <f>$I$462/Assumptions!$F$110 * 0.5</f>
        <v>2.13081765</v>
      </c>
      <c r="J447" s="17">
        <f>$I$462/Assumptions!$F$110</f>
        <v>4.2616353</v>
      </c>
      <c r="K447" s="17">
        <f>$I$462/Assumptions!$F$110</f>
        <v>4.2616353</v>
      </c>
    </row>
    <row r="448" spans="2:11" x14ac:dyDescent="0.3">
      <c r="B448" t="s">
        <v>334</v>
      </c>
      <c r="C448" s="5"/>
      <c r="D448" s="5"/>
      <c r="E448" s="5"/>
      <c r="F448" s="5"/>
      <c r="G448" s="17"/>
      <c r="H448" s="17"/>
      <c r="I448" s="17"/>
      <c r="J448" s="26">
        <f>$J$462/Assumptions!$G$110 * 0.5</f>
        <v>2.1947421794999999</v>
      </c>
      <c r="K448" s="26">
        <f>$J$462/Assumptions!$G$110</f>
        <v>4.3894843589999999</v>
      </c>
    </row>
    <row r="449" spans="2:11" x14ac:dyDescent="0.3">
      <c r="B449" t="s">
        <v>335</v>
      </c>
      <c r="C449" s="5"/>
      <c r="D449" s="5"/>
      <c r="E449" s="5"/>
      <c r="F449" s="5"/>
      <c r="G449" s="17"/>
      <c r="H449" s="17"/>
      <c r="I449" s="17"/>
      <c r="J449" s="17"/>
      <c r="K449" s="26">
        <f>$K$462/Assumptions!$H$110 * 0.5</f>
        <v>2.2605844448850001</v>
      </c>
    </row>
    <row r="450" spans="2:11" x14ac:dyDescent="0.3">
      <c r="B450" s="10" t="s">
        <v>106</v>
      </c>
      <c r="C450" s="10"/>
      <c r="D450" s="10"/>
      <c r="E450" s="10"/>
      <c r="F450" s="10"/>
      <c r="G450" s="32">
        <f t="shared" ref="G450:J450" si="214">SUM(G444:G449)</f>
        <v>11.565642857142858</v>
      </c>
      <c r="H450" s="32">
        <f t="shared" si="214"/>
        <v>15.642897857142859</v>
      </c>
      <c r="I450" s="32">
        <f t="shared" si="214"/>
        <v>19.84247050714286</v>
      </c>
      <c r="J450" s="32">
        <f t="shared" si="214"/>
        <v>24.168030336642861</v>
      </c>
      <c r="K450" s="32">
        <f>SUM(K444:K449)</f>
        <v>28.623356961027863</v>
      </c>
    </row>
    <row r="452" spans="2:11" x14ac:dyDescent="0.3">
      <c r="B452" s="5" t="s">
        <v>89</v>
      </c>
      <c r="E452" s="5"/>
      <c r="F452" s="5"/>
      <c r="G452" s="5"/>
      <c r="H452" s="5"/>
      <c r="I452" s="5"/>
      <c r="J452" s="5"/>
      <c r="K452" s="5"/>
    </row>
    <row r="454" spans="2:11" x14ac:dyDescent="0.3">
      <c r="B454" t="s">
        <v>86</v>
      </c>
      <c r="E454" s="22"/>
      <c r="F454" s="22"/>
      <c r="G454" s="22">
        <f>F47</f>
        <v>47.8</v>
      </c>
      <c r="H454" s="22">
        <f>G457</f>
        <v>52.448571428571427</v>
      </c>
      <c r="I454" s="22">
        <f t="shared" ref="I454:K454" si="215">H457</f>
        <v>55.675742857142858</v>
      </c>
      <c r="J454" s="22">
        <f t="shared" si="215"/>
        <v>57.438872285714282</v>
      </c>
      <c r="K454" s="22">
        <f t="shared" si="215"/>
        <v>57.694038454285717</v>
      </c>
    </row>
    <row r="455" spans="2:11" x14ac:dyDescent="0.3">
      <c r="B455" s="11" t="s">
        <v>91</v>
      </c>
      <c r="C455" s="11"/>
      <c r="D455" s="11"/>
      <c r="E455" s="17"/>
      <c r="F455" s="45">
        <f>Assumptions!D111</f>
        <v>12</v>
      </c>
      <c r="G455" s="45">
        <f>F455*(1+Assumptions!D109)</f>
        <v>12.36</v>
      </c>
      <c r="H455" s="17">
        <f>G455*(1+Assumptions!E109)</f>
        <v>12.7308</v>
      </c>
      <c r="I455" s="17">
        <f>H455*(1+Assumptions!F109)</f>
        <v>13.112724</v>
      </c>
      <c r="J455" s="17">
        <f>I455*(1+Assumptions!G109)</f>
        <v>13.506105720000001</v>
      </c>
      <c r="K455" s="17">
        <f>J455*(1+Assumptions!H109)</f>
        <v>13.911288891600002</v>
      </c>
    </row>
    <row r="456" spans="2:11" x14ac:dyDescent="0.3">
      <c r="B456" s="9" t="s">
        <v>87</v>
      </c>
      <c r="C456" s="9"/>
      <c r="D456" s="9"/>
      <c r="E456" s="22"/>
      <c r="F456" s="22"/>
      <c r="G456" s="22">
        <f>-G440</f>
        <v>-7.7114285714285709</v>
      </c>
      <c r="H456" s="22">
        <f t="shared" ref="H456:K456" si="216">-H440</f>
        <v>-9.5036285714285711</v>
      </c>
      <c r="I456" s="22">
        <f t="shared" si="216"/>
        <v>-11.34959457142857</v>
      </c>
      <c r="J456" s="22">
        <f t="shared" si="216"/>
        <v>-13.250939551428571</v>
      </c>
      <c r="K456" s="22">
        <f t="shared" si="216"/>
        <v>-15.209324880828571</v>
      </c>
    </row>
    <row r="457" spans="2:11" x14ac:dyDescent="0.3">
      <c r="B457" s="5" t="s">
        <v>88</v>
      </c>
      <c r="C457" s="5"/>
      <c r="D457" s="5"/>
      <c r="E457" s="30"/>
      <c r="F457" s="30"/>
      <c r="G457" s="30">
        <f>+SUM(G454:G456)</f>
        <v>52.448571428571427</v>
      </c>
      <c r="H457" s="30">
        <f t="shared" ref="H457:K457" si="217">+SUM(H454:H456)</f>
        <v>55.675742857142858</v>
      </c>
      <c r="I457" s="30">
        <f t="shared" si="217"/>
        <v>57.438872285714282</v>
      </c>
      <c r="J457" s="30">
        <f t="shared" si="217"/>
        <v>57.694038454285717</v>
      </c>
      <c r="K457" s="30">
        <f t="shared" si="217"/>
        <v>56.396002465057137</v>
      </c>
    </row>
    <row r="459" spans="2:11" x14ac:dyDescent="0.3">
      <c r="B459" s="5" t="s">
        <v>17</v>
      </c>
    </row>
    <row r="461" spans="2:11" x14ac:dyDescent="0.3">
      <c r="B461" t="s">
        <v>90</v>
      </c>
      <c r="E461" s="8"/>
      <c r="F461" s="17"/>
      <c r="G461" s="17">
        <f>F48</f>
        <v>66.900000000000006</v>
      </c>
      <c r="H461" s="17">
        <f>G464</f>
        <v>83.453357142857143</v>
      </c>
      <c r="I461" s="17">
        <f t="shared" ref="I461:K461" si="218">H464</f>
        <v>96.773029285714287</v>
      </c>
      <c r="J461" s="17">
        <f t="shared" si="218"/>
        <v>106.76200587857143</v>
      </c>
      <c r="K461" s="17">
        <f t="shared" si="218"/>
        <v>113.32036605492857</v>
      </c>
    </row>
    <row r="462" spans="2:11" x14ac:dyDescent="0.3">
      <c r="B462" s="11" t="s">
        <v>92</v>
      </c>
      <c r="C462" s="11"/>
      <c r="D462" s="11"/>
      <c r="E462" s="19">
        <v>27.7</v>
      </c>
      <c r="F462" s="19">
        <v>27.3</v>
      </c>
      <c r="G462" s="89">
        <f>F462*(1+Assumptions!D109)</f>
        <v>28.119</v>
      </c>
      <c r="H462" s="89">
        <f>G462*(1+Assumptions!E109)</f>
        <v>28.962569999999999</v>
      </c>
      <c r="I462" s="89">
        <f>H462*(1+Assumptions!F109)</f>
        <v>29.831447100000002</v>
      </c>
      <c r="J462" s="89">
        <f>I462*(1+Assumptions!G109)</f>
        <v>30.726390513000002</v>
      </c>
      <c r="K462" s="89">
        <f>J462*(1+Assumptions!H109)</f>
        <v>31.648182228390002</v>
      </c>
    </row>
    <row r="463" spans="2:11" x14ac:dyDescent="0.3">
      <c r="B463" s="9" t="s">
        <v>93</v>
      </c>
      <c r="C463" s="9"/>
      <c r="D463" s="9"/>
      <c r="E463" s="43"/>
      <c r="F463" s="43"/>
      <c r="G463" s="87">
        <f>-G450</f>
        <v>-11.565642857142858</v>
      </c>
      <c r="H463" s="87">
        <f t="shared" ref="H463:K463" si="219">-H450</f>
        <v>-15.642897857142859</v>
      </c>
      <c r="I463" s="87">
        <f t="shared" si="219"/>
        <v>-19.84247050714286</v>
      </c>
      <c r="J463" s="87">
        <f t="shared" si="219"/>
        <v>-24.168030336642861</v>
      </c>
      <c r="K463" s="87">
        <f t="shared" si="219"/>
        <v>-28.623356961027863</v>
      </c>
    </row>
    <row r="464" spans="2:11" x14ac:dyDescent="0.3">
      <c r="B464" t="s">
        <v>94</v>
      </c>
      <c r="E464" s="5"/>
      <c r="F464" s="5"/>
      <c r="G464" s="30">
        <f>SUM(G461:G463)</f>
        <v>83.453357142857143</v>
      </c>
      <c r="H464" s="30">
        <f t="shared" ref="H464:K464" si="220">SUM(H461:H463)</f>
        <v>96.773029285714287</v>
      </c>
      <c r="I464" s="30">
        <f t="shared" si="220"/>
        <v>106.76200587857143</v>
      </c>
      <c r="J464" s="30">
        <f t="shared" si="220"/>
        <v>113.32036605492857</v>
      </c>
      <c r="K464" s="30">
        <f t="shared" si="220"/>
        <v>116.3451913222907</v>
      </c>
    </row>
    <row r="467" spans="2:11" ht="25.8" x14ac:dyDescent="0.5">
      <c r="B467" s="3" t="str">
        <f>Cover!$B$2</f>
        <v>OSB</v>
      </c>
      <c r="C467" s="3"/>
      <c r="D467" s="4"/>
      <c r="E467" s="4"/>
      <c r="F467" s="4"/>
      <c r="G467" s="4"/>
      <c r="H467" s="4"/>
      <c r="I467" s="4"/>
      <c r="J467" s="4"/>
      <c r="K467" s="4"/>
    </row>
    <row r="468" spans="2:11" x14ac:dyDescent="0.3">
      <c r="B468" s="4" t="s">
        <v>80</v>
      </c>
      <c r="C468" s="4"/>
      <c r="D468" s="4"/>
      <c r="E468" s="4"/>
      <c r="F468" s="4"/>
      <c r="G468" s="4"/>
      <c r="H468" s="4"/>
      <c r="I468" s="4"/>
      <c r="J468" s="4"/>
      <c r="K468" s="4"/>
    </row>
    <row r="469" spans="2:11" x14ac:dyDescent="0.3">
      <c r="B469" s="4"/>
      <c r="C469" s="4"/>
      <c r="D469" s="4"/>
      <c r="E469" s="4"/>
      <c r="F469" s="4"/>
      <c r="G469" s="4"/>
      <c r="H469" s="4"/>
      <c r="I469" s="4"/>
    </row>
    <row r="470" spans="2:11" x14ac:dyDescent="0.3">
      <c r="B470" s="4"/>
      <c r="C470" s="4"/>
      <c r="D470" s="4"/>
      <c r="E470" s="4"/>
      <c r="F470" s="4"/>
      <c r="G470" s="4"/>
      <c r="H470" s="4"/>
      <c r="I470" s="4"/>
    </row>
    <row r="472" spans="2:11" x14ac:dyDescent="0.3">
      <c r="C472" t="s">
        <v>10</v>
      </c>
      <c r="E472" s="51">
        <v>2024</v>
      </c>
      <c r="F472" s="51">
        <v>2025</v>
      </c>
      <c r="G472" s="52">
        <f>F472+1</f>
        <v>2026</v>
      </c>
      <c r="H472" s="52">
        <f t="shared" ref="H472:I472" si="221">G472+1</f>
        <v>2027</v>
      </c>
      <c r="I472" s="52">
        <f t="shared" si="221"/>
        <v>2028</v>
      </c>
      <c r="J472" s="52">
        <f t="shared" ref="J472" si="222">I472+1</f>
        <v>2029</v>
      </c>
      <c r="K472" s="52">
        <f t="shared" ref="K472" si="223">J472+1</f>
        <v>2030</v>
      </c>
    </row>
    <row r="474" spans="2:11" x14ac:dyDescent="0.3">
      <c r="B474" s="5" t="s">
        <v>7</v>
      </c>
    </row>
    <row r="475" spans="2:11" x14ac:dyDescent="0.3">
      <c r="B475" s="5"/>
    </row>
    <row r="476" spans="2:11" x14ac:dyDescent="0.3">
      <c r="B476" t="s">
        <v>311</v>
      </c>
      <c r="E476" s="17">
        <f>E13</f>
        <v>-1.5</v>
      </c>
      <c r="F476" s="17">
        <f>F13</f>
        <v>-22.1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</row>
    <row r="477" spans="2:11" x14ac:dyDescent="0.3">
      <c r="B477" t="s">
        <v>312</v>
      </c>
      <c r="E477" s="17">
        <f>E14</f>
        <v>-2.4</v>
      </c>
      <c r="F477" s="17">
        <f>F14</f>
        <v>3.4</v>
      </c>
      <c r="G477" s="18">
        <f>0</f>
        <v>0</v>
      </c>
      <c r="H477" s="18">
        <f>0</f>
        <v>0</v>
      </c>
      <c r="I477" s="18">
        <f>0</f>
        <v>0</v>
      </c>
      <c r="J477" s="18">
        <f>0</f>
        <v>0</v>
      </c>
      <c r="K477" s="18">
        <f>0</f>
        <v>0</v>
      </c>
    </row>
    <row r="478" spans="2:11" x14ac:dyDescent="0.3">
      <c r="B478" s="9" t="s">
        <v>6</v>
      </c>
      <c r="C478" s="9"/>
      <c r="D478" s="9"/>
      <c r="E478" s="17">
        <f>E15</f>
        <v>4.7</v>
      </c>
      <c r="F478" s="17">
        <f>F15</f>
        <v>7.3</v>
      </c>
      <c r="G478" s="17">
        <f>F478</f>
        <v>7.3</v>
      </c>
      <c r="H478" s="17">
        <f t="shared" ref="H478:K478" si="224">G478</f>
        <v>7.3</v>
      </c>
      <c r="I478" s="17">
        <f t="shared" si="224"/>
        <v>7.3</v>
      </c>
      <c r="J478" s="17">
        <f t="shared" si="224"/>
        <v>7.3</v>
      </c>
      <c r="K478" s="17">
        <f t="shared" si="224"/>
        <v>7.3</v>
      </c>
    </row>
    <row r="479" spans="2:11" x14ac:dyDescent="0.3">
      <c r="B479" s="5" t="s">
        <v>81</v>
      </c>
      <c r="E479" s="20">
        <f>SUM(E476:E478)</f>
        <v>0.80000000000000027</v>
      </c>
      <c r="F479" s="20">
        <f t="shared" ref="F479:K479" si="225">SUM(F476:F478)</f>
        <v>-11.400000000000002</v>
      </c>
      <c r="G479" s="20">
        <f t="shared" si="225"/>
        <v>7.3</v>
      </c>
      <c r="H479" s="20">
        <f t="shared" si="225"/>
        <v>7.3</v>
      </c>
      <c r="I479" s="20">
        <f t="shared" si="225"/>
        <v>7.3</v>
      </c>
      <c r="J479" s="20">
        <f t="shared" si="225"/>
        <v>7.3</v>
      </c>
      <c r="K479" s="20">
        <f t="shared" si="225"/>
        <v>7.3</v>
      </c>
    </row>
    <row r="481" spans="2:11" x14ac:dyDescent="0.3">
      <c r="B481" s="5" t="s">
        <v>8</v>
      </c>
    </row>
    <row r="483" spans="2:11" x14ac:dyDescent="0.3">
      <c r="B483" t="s">
        <v>82</v>
      </c>
      <c r="E483" s="18">
        <v>143.9</v>
      </c>
      <c r="F483" s="18">
        <v>148.9</v>
      </c>
      <c r="G483" s="17">
        <f>F483*(1+Assumptions!D107)*(1+Assumptions!D108)</f>
        <v>153.39678000000001</v>
      </c>
      <c r="H483" s="17">
        <f>G483*(1+Assumptions!E107)*(1+Assumptions!E108)</f>
        <v>158.02936275600001</v>
      </c>
      <c r="I483" s="17">
        <f>H483*(1+Assumptions!F107)*(1+Assumptions!F108)</f>
        <v>162.80184951123121</v>
      </c>
      <c r="J483" s="17">
        <f>I483*(1+Assumptions!G107)*(1+Assumptions!G108)</f>
        <v>167.71846536647041</v>
      </c>
      <c r="K483" s="17">
        <f>J483*(1+Assumptions!H107)*(1+Assumptions!H108)</f>
        <v>172.78356302053783</v>
      </c>
    </row>
    <row r="484" spans="2:11" x14ac:dyDescent="0.3">
      <c r="B484" t="s">
        <v>304</v>
      </c>
      <c r="E484" s="18">
        <v>49.3</v>
      </c>
      <c r="F484" s="18">
        <v>53.3</v>
      </c>
      <c r="G484" s="17">
        <f>F484*(1+Assumptions!D10)</f>
        <v>55.032249999999998</v>
      </c>
      <c r="H484" s="17">
        <f>G484*(1+Assumptions!E10)</f>
        <v>56.958378749999994</v>
      </c>
      <c r="I484" s="17">
        <f>H484*(1+Assumptions!F10)</f>
        <v>58.524734165624999</v>
      </c>
      <c r="J484" s="17">
        <f>I484*(1+Assumptions!G10)</f>
        <v>59.987852519765617</v>
      </c>
      <c r="K484" s="17">
        <f>J484*(1+Assumptions!H10)</f>
        <v>61.487548832759749</v>
      </c>
    </row>
    <row r="485" spans="2:11" x14ac:dyDescent="0.3">
      <c r="B485" t="s">
        <v>308</v>
      </c>
      <c r="E485" s="18">
        <v>25.7</v>
      </c>
      <c r="F485" s="18">
        <v>25.3</v>
      </c>
      <c r="G485" s="17">
        <f>F485*(1+Assumptions!D10)</f>
        <v>26.122250000000001</v>
      </c>
      <c r="H485" s="17">
        <f>G485*(1+Assumptions!E10)</f>
        <v>27.036528749999999</v>
      </c>
      <c r="I485" s="17">
        <f>H485*(1+Assumptions!F10)</f>
        <v>27.780033290624999</v>
      </c>
      <c r="J485" s="17">
        <f>I485*(1+Assumptions!G10)</f>
        <v>28.474534122890621</v>
      </c>
      <c r="K485" s="17">
        <f>J485*(1+Assumptions!H10)</f>
        <v>29.186397475962885</v>
      </c>
    </row>
    <row r="486" spans="2:11" x14ac:dyDescent="0.3">
      <c r="B486" t="s">
        <v>305</v>
      </c>
      <c r="E486" s="18">
        <v>7.9</v>
      </c>
      <c r="F486" s="18">
        <v>7.1</v>
      </c>
      <c r="G486" s="17">
        <f>F486*(1+Assumptions!D10)</f>
        <v>7.3307499999999992</v>
      </c>
      <c r="H486" s="17">
        <f>G486*(1+Assumptions!E10)</f>
        <v>7.5873262499999985</v>
      </c>
      <c r="I486" s="17">
        <f>H486*(1+Assumptions!F10)</f>
        <v>7.7959777218749995</v>
      </c>
      <c r="J486" s="17">
        <f>I486*(1+Assumptions!G10)</f>
        <v>7.9908771649218737</v>
      </c>
      <c r="K486" s="17">
        <f>J486*(1+Assumptions!H10)</f>
        <v>8.1906490940449199</v>
      </c>
    </row>
    <row r="487" spans="2:11" x14ac:dyDescent="0.3">
      <c r="B487" t="s">
        <v>87</v>
      </c>
      <c r="E487" s="18">
        <v>6.3</v>
      </c>
      <c r="F487" s="18">
        <v>6.7</v>
      </c>
      <c r="G487" s="17">
        <f>-G456</f>
        <v>7.7114285714285709</v>
      </c>
      <c r="H487" s="17">
        <f>-H456</f>
        <v>9.5036285714285711</v>
      </c>
      <c r="I487" s="17">
        <f>-I456</f>
        <v>11.34959457142857</v>
      </c>
      <c r="J487" s="17">
        <f>-J456</f>
        <v>13.250939551428571</v>
      </c>
      <c r="K487" s="17">
        <f>-K456</f>
        <v>15.209324880828571</v>
      </c>
    </row>
    <row r="488" spans="2:11" x14ac:dyDescent="0.3">
      <c r="B488" t="s">
        <v>307</v>
      </c>
      <c r="E488" s="18">
        <v>5</v>
      </c>
      <c r="F488" s="18">
        <v>9.1999999999999993</v>
      </c>
      <c r="G488" s="17">
        <f>-G463</f>
        <v>11.565642857142858</v>
      </c>
      <c r="H488" s="17">
        <f t="shared" ref="H488:K488" si="226">-H463</f>
        <v>15.642897857142859</v>
      </c>
      <c r="I488" s="17">
        <f t="shared" si="226"/>
        <v>19.84247050714286</v>
      </c>
      <c r="J488" s="17">
        <f t="shared" si="226"/>
        <v>24.168030336642861</v>
      </c>
      <c r="K488" s="17">
        <f t="shared" si="226"/>
        <v>28.623356961027863</v>
      </c>
    </row>
    <row r="489" spans="2:11" x14ac:dyDescent="0.3">
      <c r="B489" t="s">
        <v>306</v>
      </c>
      <c r="E489" s="18">
        <v>5</v>
      </c>
      <c r="F489" s="18">
        <v>5.6</v>
      </c>
      <c r="G489" s="45">
        <f>F489*(1+Assumptions!D10)</f>
        <v>5.7819999999999991</v>
      </c>
      <c r="H489" s="45">
        <f>G489*(1+Assumptions!E10)</f>
        <v>5.9843699999999984</v>
      </c>
      <c r="I489" s="45">
        <f>H489*(1+Assumptions!F10)</f>
        <v>6.148940174999999</v>
      </c>
      <c r="J489" s="45">
        <f>I489*(1+Assumptions!G10)</f>
        <v>6.3026636793749988</v>
      </c>
      <c r="K489" s="45">
        <f>J489*(1+Assumptions!H10)</f>
        <v>6.4602302713593733</v>
      </c>
    </row>
    <row r="490" spans="2:11" x14ac:dyDescent="0.3">
      <c r="B490" s="9" t="s">
        <v>83</v>
      </c>
      <c r="C490" s="9"/>
      <c r="D490" s="9"/>
      <c r="E490" s="21">
        <v>15</v>
      </c>
      <c r="F490" s="21">
        <v>14.3</v>
      </c>
      <c r="G490" s="87">
        <f>F490*(1+Assumptions!D10)</f>
        <v>14.764750000000001</v>
      </c>
      <c r="H490" s="87">
        <f>G490*(1+Assumptions!E10)</f>
        <v>15.281516249999999</v>
      </c>
      <c r="I490" s="87">
        <f>H490*(1+Assumptions!F10)</f>
        <v>15.701757946875</v>
      </c>
      <c r="J490" s="87">
        <f>I490*(1+Assumptions!G10)</f>
        <v>16.094301895546874</v>
      </c>
      <c r="K490" s="87">
        <f>J490*(1+Assumptions!H10)</f>
        <v>16.496659442935545</v>
      </c>
    </row>
    <row r="491" spans="2:11" x14ac:dyDescent="0.3">
      <c r="B491" s="5" t="s">
        <v>84</v>
      </c>
      <c r="E491" s="32">
        <f>SUM(E483:E490)</f>
        <v>258.10000000000002</v>
      </c>
      <c r="F491" s="32">
        <f t="shared" ref="F491:K491" si="227">SUM(F483:F490)</f>
        <v>270.39999999999998</v>
      </c>
      <c r="G491" s="32">
        <f t="shared" si="227"/>
        <v>281.70585142857141</v>
      </c>
      <c r="H491" s="32">
        <f t="shared" si="227"/>
        <v>296.02400918457147</v>
      </c>
      <c r="I491" s="32">
        <f t="shared" si="227"/>
        <v>309.94535788980261</v>
      </c>
      <c r="J491" s="32">
        <f t="shared" si="227"/>
        <v>323.98766463704186</v>
      </c>
      <c r="K491" s="32">
        <f t="shared" si="227"/>
        <v>338.43772997945672</v>
      </c>
    </row>
    <row r="494" spans="2:11" ht="25.8" x14ac:dyDescent="0.5">
      <c r="B494" s="3" t="str">
        <f>Cover!$B$2</f>
        <v>OSB</v>
      </c>
      <c r="C494" s="3"/>
      <c r="D494" s="4"/>
      <c r="E494" s="4"/>
      <c r="F494" s="4"/>
      <c r="G494" s="4"/>
      <c r="H494" s="4"/>
      <c r="I494" s="4"/>
      <c r="J494" s="4"/>
      <c r="K494" s="4"/>
    </row>
    <row r="495" spans="2:11" x14ac:dyDescent="0.3">
      <c r="B495" s="4" t="s">
        <v>331</v>
      </c>
      <c r="C495" s="4"/>
      <c r="D495" s="4"/>
      <c r="E495" s="4"/>
      <c r="F495" s="4"/>
      <c r="G495" s="4"/>
      <c r="H495" s="4"/>
      <c r="I495" s="4"/>
      <c r="J495" s="4"/>
      <c r="K495" s="4"/>
    </row>
    <row r="496" spans="2:11" x14ac:dyDescent="0.3">
      <c r="B496" s="4"/>
      <c r="C496" s="4"/>
      <c r="D496" s="4"/>
      <c r="E496" s="4"/>
      <c r="F496" s="4"/>
      <c r="G496" s="4"/>
      <c r="H496" s="4"/>
      <c r="I496" s="4"/>
    </row>
    <row r="497" spans="2:11" x14ac:dyDescent="0.3">
      <c r="B497" s="4"/>
      <c r="C497" s="4"/>
      <c r="D497" s="4"/>
      <c r="E497" s="4"/>
      <c r="F497" s="4"/>
      <c r="G497" s="4"/>
      <c r="H497" s="4"/>
      <c r="I497" s="4"/>
    </row>
    <row r="499" spans="2:11" x14ac:dyDescent="0.3">
      <c r="C499" t="s">
        <v>10</v>
      </c>
      <c r="E499" s="51">
        <v>2024</v>
      </c>
      <c r="F499" s="51">
        <v>2025</v>
      </c>
      <c r="G499" s="52">
        <f>F499+1</f>
        <v>2026</v>
      </c>
      <c r="H499" s="52">
        <f t="shared" ref="H499" si="228">G499+1</f>
        <v>2027</v>
      </c>
      <c r="I499" s="52">
        <f t="shared" ref="I499" si="229">H499+1</f>
        <v>2028</v>
      </c>
      <c r="J499" s="52">
        <f t="shared" ref="J499" si="230">I499+1</f>
        <v>2029</v>
      </c>
      <c r="K499" s="52">
        <f t="shared" ref="K499" si="231">J499+1</f>
        <v>2030</v>
      </c>
    </row>
    <row r="501" spans="2:11" x14ac:dyDescent="0.3">
      <c r="B501" s="5" t="s">
        <v>107</v>
      </c>
    </row>
    <row r="502" spans="2:11" x14ac:dyDescent="0.3">
      <c r="B502" s="5"/>
    </row>
    <row r="503" spans="2:11" x14ac:dyDescent="0.3">
      <c r="B503" t="s">
        <v>313</v>
      </c>
      <c r="C503" t="s">
        <v>46</v>
      </c>
      <c r="G503" s="17">
        <f>G122</f>
        <v>1682.0574999999999</v>
      </c>
      <c r="H503" s="17">
        <f>H122</f>
        <v>1417.2974374999999</v>
      </c>
      <c r="I503" s="17">
        <f>I122</f>
        <v>1169.2703859374999</v>
      </c>
      <c r="J503" s="17">
        <f>J122</f>
        <v>964.64806839843743</v>
      </c>
      <c r="K503" s="17">
        <f>K122</f>
        <v>795.8346564287109</v>
      </c>
    </row>
    <row r="504" spans="2:11" x14ac:dyDescent="0.3">
      <c r="B504" s="9" t="s">
        <v>314</v>
      </c>
      <c r="C504" s="9" t="s">
        <v>46</v>
      </c>
      <c r="D504" s="9"/>
      <c r="E504" s="9"/>
      <c r="F504" s="9"/>
      <c r="G504" s="22">
        <f>G185</f>
        <v>3239.0924999999997</v>
      </c>
      <c r="H504" s="22">
        <f>H185</f>
        <v>3328.3513124999999</v>
      </c>
      <c r="I504" s="22">
        <f>I185</f>
        <v>3401.9898328125</v>
      </c>
      <c r="J504" s="22">
        <f>J185</f>
        <v>3462.7416120703124</v>
      </c>
      <c r="K504" s="22">
        <f>K185</f>
        <v>3512.8618299580075</v>
      </c>
    </row>
    <row r="505" spans="2:11" x14ac:dyDescent="0.3">
      <c r="B505" t="s">
        <v>108</v>
      </c>
      <c r="C505" t="s">
        <v>46</v>
      </c>
      <c r="G505" s="17">
        <f>SUM(G503:G504)</f>
        <v>4921.1499999999996</v>
      </c>
      <c r="H505" s="17">
        <f t="shared" ref="H505:I505" si="232">SUM(H503:H504)</f>
        <v>4745.6487500000003</v>
      </c>
      <c r="I505" s="17">
        <f t="shared" si="232"/>
        <v>4571.2602187499997</v>
      </c>
      <c r="J505" s="17">
        <f t="shared" ref="J505" si="233">SUM(J503:J504)</f>
        <v>4427.3896804687502</v>
      </c>
      <c r="K505" s="17">
        <f t="shared" ref="K505" si="234">SUM(K503:K504)</f>
        <v>4308.6964863867188</v>
      </c>
    </row>
    <row r="506" spans="2:11" x14ac:dyDescent="0.3">
      <c r="B506" t="s">
        <v>109</v>
      </c>
      <c r="C506" t="s">
        <v>47</v>
      </c>
      <c r="G506" s="7">
        <f>Assumptions!D96</f>
        <v>0.35</v>
      </c>
      <c r="H506" s="7">
        <f>Assumptions!E96</f>
        <v>0.35</v>
      </c>
      <c r="I506" s="7">
        <f>Assumptions!F96</f>
        <v>0.35</v>
      </c>
      <c r="J506">
        <f>Assumptions!G96</f>
        <v>0.35</v>
      </c>
      <c r="K506">
        <f>Assumptions!H96</f>
        <v>0.35</v>
      </c>
    </row>
    <row r="507" spans="2:11" x14ac:dyDescent="0.3">
      <c r="B507" s="10" t="s">
        <v>328</v>
      </c>
      <c r="C507" s="10" t="s">
        <v>46</v>
      </c>
      <c r="D507" s="10"/>
      <c r="E507" s="10"/>
      <c r="F507" s="10"/>
      <c r="G507" s="62">
        <f>G506*G505</f>
        <v>1722.4024999999997</v>
      </c>
      <c r="H507" s="62">
        <f t="shared" ref="H507:K507" si="235">H506*H505</f>
        <v>1660.9770625000001</v>
      </c>
      <c r="I507" s="62">
        <f t="shared" si="235"/>
        <v>1599.9410765624998</v>
      </c>
      <c r="J507" s="62">
        <f t="shared" si="235"/>
        <v>1549.5863881640626</v>
      </c>
      <c r="K507" s="62">
        <f t="shared" si="235"/>
        <v>1508.0437702353515</v>
      </c>
    </row>
    <row r="509" spans="2:11" x14ac:dyDescent="0.3">
      <c r="B509" t="s">
        <v>317</v>
      </c>
      <c r="C509" t="s">
        <v>46</v>
      </c>
      <c r="G509" s="17">
        <f>G112</f>
        <v>12809.713</v>
      </c>
      <c r="H509" s="17">
        <f>H112</f>
        <v>13453.55515</v>
      </c>
      <c r="I509" s="17">
        <f>I112</f>
        <v>14003.5171801</v>
      </c>
      <c r="J509" s="17">
        <f>J112</f>
        <v>14468.766987618999</v>
      </c>
      <c r="K509" s="17">
        <f>K112</f>
        <v>14892.144312461289</v>
      </c>
    </row>
    <row r="510" spans="2:11" x14ac:dyDescent="0.3">
      <c r="B510" s="9" t="s">
        <v>318</v>
      </c>
      <c r="C510" s="9" t="s">
        <v>46</v>
      </c>
      <c r="D510" s="9"/>
      <c r="E510" s="9"/>
      <c r="F510" s="9"/>
      <c r="G510" s="22">
        <f>G178</f>
        <v>5880.8139999999994</v>
      </c>
      <c r="H510" s="22">
        <f>H178</f>
        <v>5607.0488799999985</v>
      </c>
      <c r="I510" s="22">
        <f>I178</f>
        <v>5355.184969599999</v>
      </c>
      <c r="J510" s="22">
        <f>J178</f>
        <v>5123.470172031999</v>
      </c>
      <c r="K510" s="22">
        <f>K178</f>
        <v>4910.2925582694388</v>
      </c>
    </row>
    <row r="511" spans="2:11" x14ac:dyDescent="0.3">
      <c r="B511" t="s">
        <v>319</v>
      </c>
      <c r="C511" t="s">
        <v>46</v>
      </c>
      <c r="G511" s="17">
        <f>SUM(G509:G510)</f>
        <v>18690.526999999998</v>
      </c>
      <c r="H511" s="17">
        <f t="shared" ref="H511:K511" si="236">SUM(H509:H510)</f>
        <v>19060.604029999999</v>
      </c>
      <c r="I511" s="17">
        <f t="shared" si="236"/>
        <v>19358.702149699999</v>
      </c>
      <c r="J511" s="17">
        <f t="shared" si="236"/>
        <v>19592.237159650998</v>
      </c>
      <c r="K511" s="17">
        <f t="shared" si="236"/>
        <v>19802.436870730729</v>
      </c>
    </row>
    <row r="512" spans="2:11" x14ac:dyDescent="0.3">
      <c r="B512" s="9" t="s">
        <v>316</v>
      </c>
      <c r="C512" s="9" t="s">
        <v>47</v>
      </c>
      <c r="D512" s="9"/>
      <c r="E512" s="9"/>
      <c r="F512" s="9"/>
      <c r="G512" s="29">
        <f>Assumptions!D97</f>
        <v>0.35</v>
      </c>
      <c r="H512" s="29">
        <f>Assumptions!E97</f>
        <v>0.35</v>
      </c>
      <c r="I512" s="29">
        <f>Assumptions!F97</f>
        <v>0.35</v>
      </c>
      <c r="J512" s="29">
        <f>Assumptions!G97</f>
        <v>0.35</v>
      </c>
      <c r="K512" s="29">
        <f>Assumptions!H97</f>
        <v>0.35</v>
      </c>
    </row>
    <row r="513" spans="2:11" x14ac:dyDescent="0.3">
      <c r="B513" s="5" t="s">
        <v>327</v>
      </c>
      <c r="C513" s="5" t="s">
        <v>46</v>
      </c>
      <c r="D513" s="5"/>
      <c r="E513" s="5"/>
      <c r="F513" s="5"/>
      <c r="G513" s="38">
        <f>G512*G511</f>
        <v>6541.6844499999988</v>
      </c>
      <c r="H513" s="38">
        <f t="shared" ref="H513:K513" si="237">H512*H511</f>
        <v>6671.2114104999991</v>
      </c>
      <c r="I513" s="38">
        <f t="shared" si="237"/>
        <v>6775.545752394999</v>
      </c>
      <c r="J513" s="38">
        <f t="shared" si="237"/>
        <v>6857.2830058778491</v>
      </c>
      <c r="K513" s="38">
        <f t="shared" si="237"/>
        <v>6930.8529047557549</v>
      </c>
    </row>
    <row r="514" spans="2:11" x14ac:dyDescent="0.3">
      <c r="B514" s="5"/>
      <c r="G514" s="26"/>
      <c r="H514" s="26"/>
      <c r="I514" s="26"/>
      <c r="J514" s="26"/>
      <c r="K514" s="26"/>
    </row>
    <row r="515" spans="2:11" x14ac:dyDescent="0.3">
      <c r="B515" t="s">
        <v>320</v>
      </c>
      <c r="C515" t="s">
        <v>46</v>
      </c>
      <c r="G515" s="17">
        <f>G132</f>
        <v>448.05499999999995</v>
      </c>
      <c r="H515" s="17">
        <f>H132</f>
        <v>528.63574999999992</v>
      </c>
      <c r="I515" s="17">
        <f>I132</f>
        <v>598.77557749999994</v>
      </c>
      <c r="J515" s="17">
        <f>J132</f>
        <v>653.63986557499993</v>
      </c>
      <c r="K515" s="17">
        <f>K132</f>
        <v>697.5926958657501</v>
      </c>
    </row>
    <row r="516" spans="2:11" x14ac:dyDescent="0.3">
      <c r="B516" s="9" t="s">
        <v>321</v>
      </c>
      <c r="C516" s="9" t="s">
        <v>47</v>
      </c>
      <c r="D516" s="9"/>
      <c r="E516" s="9"/>
      <c r="F516" s="9"/>
      <c r="G516" s="29">
        <f>Assumptions!D98</f>
        <v>1.5</v>
      </c>
      <c r="H516" s="29">
        <f>Assumptions!E98</f>
        <v>1.5</v>
      </c>
      <c r="I516" s="29">
        <f>Assumptions!F98</f>
        <v>1.5</v>
      </c>
      <c r="J516" s="29">
        <f>Assumptions!G98</f>
        <v>1.5</v>
      </c>
      <c r="K516" s="29">
        <f>Assumptions!H98</f>
        <v>1.5</v>
      </c>
    </row>
    <row r="517" spans="2:11" x14ac:dyDescent="0.3">
      <c r="B517" s="5" t="s">
        <v>326</v>
      </c>
      <c r="C517" s="5" t="s">
        <v>46</v>
      </c>
      <c r="D517" s="5"/>
      <c r="E517" s="5"/>
      <c r="F517" s="5"/>
      <c r="G517" s="38">
        <f>G516*G515</f>
        <v>672.08249999999998</v>
      </c>
      <c r="H517" s="38">
        <f t="shared" ref="H517" si="238">H516*H515</f>
        <v>792.95362499999987</v>
      </c>
      <c r="I517" s="38">
        <f t="shared" ref="I517" si="239">I516*I515</f>
        <v>898.16336624999985</v>
      </c>
      <c r="J517" s="38">
        <f t="shared" ref="J517" si="240">J516*J515</f>
        <v>980.4597983624999</v>
      </c>
      <c r="K517" s="38">
        <f t="shared" ref="K517" si="241">K516*K515</f>
        <v>1046.3890437986252</v>
      </c>
    </row>
    <row r="519" spans="2:11" x14ac:dyDescent="0.3">
      <c r="B519" t="s">
        <v>329</v>
      </c>
      <c r="C519" t="s">
        <v>46</v>
      </c>
      <c r="G519" s="17">
        <f>G142</f>
        <v>2357.2849999999999</v>
      </c>
      <c r="H519" s="17">
        <f>H142</f>
        <v>2851.9022500000001</v>
      </c>
      <c r="I519" s="17">
        <f>I142</f>
        <v>3283.1456674999999</v>
      </c>
      <c r="J519" s="17">
        <f>J142</f>
        <v>3630.3787986750003</v>
      </c>
      <c r="K519" s="17">
        <f>K142</f>
        <v>3933.5956954200001</v>
      </c>
    </row>
    <row r="520" spans="2:11" x14ac:dyDescent="0.3">
      <c r="B520" s="9" t="s">
        <v>110</v>
      </c>
      <c r="C520" s="9" t="s">
        <v>47</v>
      </c>
      <c r="D520" s="9"/>
      <c r="E520" s="9"/>
      <c r="F520" s="9"/>
      <c r="G520" s="29">
        <f>Assumptions!D99</f>
        <v>0.9</v>
      </c>
      <c r="H520" s="29">
        <f>Assumptions!E99</f>
        <v>0.9</v>
      </c>
      <c r="I520" s="29">
        <f>Assumptions!F99</f>
        <v>0.9</v>
      </c>
      <c r="J520" s="29">
        <f>Assumptions!G99</f>
        <v>0.9</v>
      </c>
      <c r="K520" s="29">
        <f>Assumptions!H99</f>
        <v>0.9</v>
      </c>
    </row>
    <row r="521" spans="2:11" x14ac:dyDescent="0.3">
      <c r="B521" s="5" t="s">
        <v>330</v>
      </c>
      <c r="C521" s="5" t="s">
        <v>46</v>
      </c>
      <c r="D521" s="5"/>
      <c r="E521" s="5"/>
      <c r="F521" s="5"/>
      <c r="G521" s="38">
        <f>G520*G519</f>
        <v>2121.5565000000001</v>
      </c>
      <c r="H521" s="38">
        <f t="shared" ref="H521" si="242">H520*H519</f>
        <v>2566.7120250000003</v>
      </c>
      <c r="I521" s="38">
        <f t="shared" ref="I521" si="243">I520*I519</f>
        <v>2954.8311007500001</v>
      </c>
      <c r="J521" s="38">
        <f t="shared" ref="J521" si="244">J520*J519</f>
        <v>3267.3409188075002</v>
      </c>
      <c r="K521" s="38">
        <f t="shared" ref="K521" si="245">K520*K519</f>
        <v>3540.2361258780002</v>
      </c>
    </row>
    <row r="523" spans="2:11" x14ac:dyDescent="0.3">
      <c r="B523" t="s">
        <v>323</v>
      </c>
      <c r="C523" t="s">
        <v>46</v>
      </c>
      <c r="G523" s="17">
        <f>G152</f>
        <v>585.58900000000006</v>
      </c>
      <c r="H523" s="17">
        <f>H152</f>
        <v>753.99463000000003</v>
      </c>
      <c r="I523" s="17">
        <f>I152</f>
        <v>921.07390209999994</v>
      </c>
      <c r="J523" s="17">
        <f>J152</f>
        <v>1082.924714407</v>
      </c>
      <c r="K523" s="17">
        <f>K152</f>
        <v>1237.9452786526899</v>
      </c>
    </row>
    <row r="524" spans="2:11" x14ac:dyDescent="0.3">
      <c r="B524" s="9" t="s">
        <v>324</v>
      </c>
      <c r="C524" s="9" t="s">
        <v>47</v>
      </c>
      <c r="D524" s="9"/>
      <c r="E524" s="9"/>
      <c r="F524" s="9"/>
      <c r="G524" s="29">
        <f>Assumptions!D100</f>
        <v>0.9</v>
      </c>
      <c r="H524" s="29">
        <f>Assumptions!E100</f>
        <v>0.9</v>
      </c>
      <c r="I524" s="29">
        <f>Assumptions!F100</f>
        <v>0.9</v>
      </c>
      <c r="J524" s="29">
        <f>Assumptions!G100</f>
        <v>0.9</v>
      </c>
      <c r="K524" s="29">
        <f>Assumptions!H100</f>
        <v>0.9</v>
      </c>
    </row>
    <row r="525" spans="2:11" x14ac:dyDescent="0.3">
      <c r="B525" s="5" t="s">
        <v>325</v>
      </c>
      <c r="C525" s="5" t="s">
        <v>46</v>
      </c>
      <c r="D525" s="5"/>
      <c r="E525" s="5"/>
      <c r="F525" s="5"/>
      <c r="G525" s="38">
        <f>G524*G523</f>
        <v>527.03010000000006</v>
      </c>
      <c r="H525" s="38">
        <f t="shared" ref="H525" si="246">H524*H523</f>
        <v>678.59516700000006</v>
      </c>
      <c r="I525" s="38">
        <f t="shared" ref="I525" si="247">I524*I523</f>
        <v>828.96651188999999</v>
      </c>
      <c r="J525" s="38">
        <f t="shared" ref="J525" si="248">J524*J523</f>
        <v>974.63224296630005</v>
      </c>
      <c r="K525" s="38">
        <f t="shared" ref="K525" si="249">K524*K523</f>
        <v>1114.150750787421</v>
      </c>
    </row>
    <row r="526" spans="2:11" x14ac:dyDescent="0.3">
      <c r="B526" s="5"/>
      <c r="G526" s="26"/>
      <c r="H526" s="26"/>
      <c r="I526" s="26"/>
      <c r="J526" s="26"/>
      <c r="K526" s="26"/>
    </row>
    <row r="527" spans="2:11" x14ac:dyDescent="0.3">
      <c r="B527" s="5" t="s">
        <v>111</v>
      </c>
      <c r="C527" s="5" t="s">
        <v>46</v>
      </c>
      <c r="G527" s="38">
        <f>G507+G513+G517+G521+G525</f>
        <v>11584.75605</v>
      </c>
      <c r="H527" s="38">
        <f>H507+H513+H517+H521+H525</f>
        <v>12370.449289999999</v>
      </c>
      <c r="I527" s="38">
        <f t="shared" ref="I527:K527" si="250">I507+I513+I517+I521+I525</f>
        <v>13057.447807847497</v>
      </c>
      <c r="J527" s="38">
        <f t="shared" si="250"/>
        <v>13629.302354178209</v>
      </c>
      <c r="K527" s="38">
        <f t="shared" si="250"/>
        <v>14139.672595455153</v>
      </c>
    </row>
    <row r="528" spans="2:11" x14ac:dyDescent="0.3">
      <c r="B528" s="53" t="s">
        <v>112</v>
      </c>
      <c r="C528" s="23" t="s">
        <v>46</v>
      </c>
      <c r="D528" s="23"/>
      <c r="E528" s="23"/>
      <c r="F528" s="90"/>
      <c r="G528" s="90">
        <f>Assumptions!D102</f>
        <v>900</v>
      </c>
      <c r="H528" s="90">
        <f>Assumptions!E102</f>
        <v>900</v>
      </c>
      <c r="I528" s="90">
        <f>Assumptions!F102</f>
        <v>900</v>
      </c>
      <c r="J528" s="90">
        <f>Assumptions!G102</f>
        <v>900</v>
      </c>
      <c r="K528" s="90">
        <f>Assumptions!H102</f>
        <v>900</v>
      </c>
    </row>
    <row r="529" spans="2:11" x14ac:dyDescent="0.3">
      <c r="B529" s="5" t="s">
        <v>113</v>
      </c>
      <c r="C529" s="5" t="s">
        <v>46</v>
      </c>
      <c r="D529" s="5"/>
      <c r="E529" s="5"/>
      <c r="F529" s="5"/>
      <c r="G529" s="38">
        <f>SUM(G527:G528)</f>
        <v>12484.75605</v>
      </c>
      <c r="H529" s="38">
        <f>SUM(H527:H528)</f>
        <v>13270.449289999999</v>
      </c>
      <c r="I529" s="38">
        <f>SUM(I527:I528)</f>
        <v>13957.447807847497</v>
      </c>
      <c r="J529" s="38">
        <f>SUM(J527:J528)</f>
        <v>14529.302354178209</v>
      </c>
      <c r="K529" s="38">
        <f>SUM(K527:K528)</f>
        <v>15039.672595455153</v>
      </c>
    </row>
    <row r="530" spans="2:11" x14ac:dyDescent="0.3">
      <c r="B530" s="5"/>
      <c r="G530" s="26"/>
      <c r="H530" s="26"/>
      <c r="I530" s="26"/>
    </row>
    <row r="531" spans="2:11" x14ac:dyDescent="0.3">
      <c r="B531" s="5"/>
      <c r="G531" s="26"/>
      <c r="H531" s="26"/>
      <c r="I531" s="26"/>
    </row>
    <row r="532" spans="2:11" x14ac:dyDescent="0.3">
      <c r="B532" s="5" t="s">
        <v>114</v>
      </c>
      <c r="G532" s="26"/>
      <c r="H532" s="26"/>
      <c r="I532" s="26"/>
      <c r="J532" s="26"/>
      <c r="K532" s="26"/>
    </row>
    <row r="533" spans="2:11" x14ac:dyDescent="0.3">
      <c r="B533" s="5"/>
      <c r="G533" s="26"/>
      <c r="H533" s="26"/>
      <c r="I533" s="26"/>
      <c r="J533" s="26"/>
      <c r="K533" s="26"/>
    </row>
    <row r="534" spans="2:11" x14ac:dyDescent="0.3">
      <c r="B534" s="5" t="s">
        <v>115</v>
      </c>
      <c r="C534" t="s">
        <v>46</v>
      </c>
      <c r="G534" s="26">
        <f>F539</f>
        <v>1988.2</v>
      </c>
      <c r="H534" s="26">
        <f t="shared" ref="H534:I534" si="251">G539</f>
        <v>1967.7874703508928</v>
      </c>
      <c r="I534" s="26">
        <f t="shared" si="251"/>
        <v>1969.0161582446508</v>
      </c>
      <c r="J534" s="26">
        <f t="shared" ref="J534" si="252">I539</f>
        <v>1963.7661162594081</v>
      </c>
      <c r="K534" s="26">
        <f t="shared" ref="K534" si="253">J539</f>
        <v>1961.4558178140585</v>
      </c>
    </row>
    <row r="535" spans="2:11" x14ac:dyDescent="0.3">
      <c r="B535" s="11" t="s">
        <v>116</v>
      </c>
      <c r="C535" s="11" t="s">
        <v>46</v>
      </c>
      <c r="D535" s="11"/>
      <c r="E535" s="11"/>
      <c r="F535" s="11"/>
      <c r="G535" s="35">
        <f>G22</f>
        <v>299.31245058482125</v>
      </c>
      <c r="H535" s="35">
        <f>H22</f>
        <v>335.38114648959686</v>
      </c>
      <c r="I535" s="35">
        <f>I22</f>
        <v>324.5832633579289</v>
      </c>
      <c r="J535" s="35">
        <f>J22</f>
        <v>321.00822142135183</v>
      </c>
      <c r="K535" s="35">
        <f>K22</f>
        <v>315.36918236311209</v>
      </c>
    </row>
    <row r="536" spans="2:11" x14ac:dyDescent="0.3">
      <c r="B536" t="s">
        <v>117</v>
      </c>
      <c r="C536" t="s">
        <v>46</v>
      </c>
      <c r="G536" s="26">
        <f>G562</f>
        <v>-119.72498023392851</v>
      </c>
      <c r="H536" s="26">
        <f t="shared" ref="H536:K536" si="254">H562</f>
        <v>-134.15245859583874</v>
      </c>
      <c r="I536" s="26">
        <f t="shared" si="254"/>
        <v>-129.83330534317156</v>
      </c>
      <c r="J536" s="26">
        <f t="shared" si="254"/>
        <v>-128.40328856854075</v>
      </c>
      <c r="K536" s="26">
        <f t="shared" si="254"/>
        <v>-126.14767294524484</v>
      </c>
    </row>
    <row r="537" spans="2:11" x14ac:dyDescent="0.3">
      <c r="B537" t="s">
        <v>118</v>
      </c>
      <c r="C537" t="s">
        <v>46</v>
      </c>
      <c r="G537" s="26">
        <f>-MIN(200, MAX(0,SUM(G534:G536)-G546))</f>
        <v>-200</v>
      </c>
      <c r="H537" s="26">
        <f t="shared" ref="H537:K537" si="255">-MIN(200, MAX(0,SUM(H534:H536)-H546))</f>
        <v>-200</v>
      </c>
      <c r="I537" s="26">
        <f t="shared" si="255"/>
        <v>-200</v>
      </c>
      <c r="J537" s="26">
        <f t="shared" si="255"/>
        <v>-194.91523129816073</v>
      </c>
      <c r="K537" s="26">
        <f t="shared" si="255"/>
        <v>-120.32152684548032</v>
      </c>
    </row>
    <row r="538" spans="2:11" x14ac:dyDescent="0.3">
      <c r="B538" s="9" t="s">
        <v>119</v>
      </c>
      <c r="C538" t="s">
        <v>46</v>
      </c>
      <c r="D538" s="9"/>
      <c r="E538" s="9"/>
      <c r="F538" s="9"/>
      <c r="G538" s="46"/>
      <c r="H538" s="46"/>
      <c r="I538" s="46"/>
      <c r="J538" s="46"/>
      <c r="K538" s="46"/>
    </row>
    <row r="539" spans="2:11" x14ac:dyDescent="0.3">
      <c r="B539" s="5" t="s">
        <v>120</v>
      </c>
      <c r="C539" s="11" t="s">
        <v>46</v>
      </c>
      <c r="F539" s="50">
        <v>1988.2</v>
      </c>
      <c r="G539" s="26">
        <f>SUM(G534:G538)</f>
        <v>1967.7874703508928</v>
      </c>
      <c r="H539" s="26">
        <f>SUM(H534:H538)</f>
        <v>1969.0161582446508</v>
      </c>
      <c r="I539" s="26">
        <f>SUM(I534:I538)</f>
        <v>1963.7661162594081</v>
      </c>
      <c r="J539" s="26">
        <f t="shared" ref="J539:K539" si="256">SUM(J534:J538)</f>
        <v>1961.4558178140585</v>
      </c>
      <c r="K539" s="26">
        <f t="shared" si="256"/>
        <v>2030.3558003864457</v>
      </c>
    </row>
    <row r="540" spans="2:11" x14ac:dyDescent="0.3">
      <c r="B540" s="5" t="s">
        <v>129</v>
      </c>
      <c r="C540" t="s">
        <v>46</v>
      </c>
      <c r="F540" s="26">
        <f t="shared" ref="F540:K540" si="257">F234</f>
        <v>260.10000000000002</v>
      </c>
      <c r="G540" s="26">
        <f t="shared" si="257"/>
        <v>260.10000000000002</v>
      </c>
      <c r="H540" s="26">
        <f t="shared" si="257"/>
        <v>260.10000000000002</v>
      </c>
      <c r="I540" s="26">
        <f t="shared" si="257"/>
        <v>260.10000000000002</v>
      </c>
      <c r="J540" s="26">
        <f t="shared" si="257"/>
        <v>260.10000000000002</v>
      </c>
      <c r="K540" s="26">
        <f t="shared" si="257"/>
        <v>260.10000000000002</v>
      </c>
    </row>
    <row r="541" spans="2:11" x14ac:dyDescent="0.3">
      <c r="B541" s="10" t="s">
        <v>130</v>
      </c>
      <c r="C541" s="11" t="s">
        <v>46</v>
      </c>
      <c r="D541" s="11"/>
      <c r="E541" s="11"/>
      <c r="F541" s="35">
        <f>SUM(F539:F540)</f>
        <v>2248.3000000000002</v>
      </c>
      <c r="G541" s="35">
        <f>SUM(G539:G540)</f>
        <v>2227.8874703508927</v>
      </c>
      <c r="H541" s="35">
        <f>SUM(H539:H540)</f>
        <v>2229.1161582446507</v>
      </c>
      <c r="I541" s="35">
        <f>SUM(I539:I540)</f>
        <v>2223.866116259408</v>
      </c>
      <c r="J541" s="35">
        <f t="shared" ref="J541:K541" si="258">SUM(J539:J540)</f>
        <v>2221.5558178140586</v>
      </c>
      <c r="K541" s="35">
        <f t="shared" si="258"/>
        <v>2290.4558003864458</v>
      </c>
    </row>
    <row r="542" spans="2:11" x14ac:dyDescent="0.3">
      <c r="B542" s="5"/>
      <c r="G542" s="26"/>
      <c r="H542" s="26"/>
      <c r="I542" s="26"/>
      <c r="J542" s="26"/>
      <c r="K542" s="26"/>
    </row>
    <row r="543" spans="2:11" x14ac:dyDescent="0.3">
      <c r="B543" s="6" t="s">
        <v>122</v>
      </c>
      <c r="C543" s="6" t="s">
        <v>47</v>
      </c>
      <c r="D543" s="6"/>
      <c r="E543" s="6"/>
      <c r="F543" s="6"/>
      <c r="G543" s="40">
        <f>G539/G529</f>
        <v>0.15761521190082789</v>
      </c>
      <c r="H543" s="40">
        <f>H539/H529</f>
        <v>0.14837599807026963</v>
      </c>
      <c r="I543" s="40">
        <f>I539/I529</f>
        <v>0.14069664764608983</v>
      </c>
      <c r="J543" s="40">
        <f t="shared" ref="J543:K543" si="259">J539/J529</f>
        <v>0.13500000000000001</v>
      </c>
      <c r="K543" s="40">
        <f t="shared" si="259"/>
        <v>0.13500000000000001</v>
      </c>
    </row>
    <row r="544" spans="2:11" x14ac:dyDescent="0.3">
      <c r="B544" t="s">
        <v>121</v>
      </c>
      <c r="C544" t="s">
        <v>47</v>
      </c>
      <c r="G544" s="58">
        <v>9.0999999999999998E-2</v>
      </c>
      <c r="H544" s="58">
        <v>9.0999999999999998E-2</v>
      </c>
      <c r="I544" s="58">
        <v>9.0999999999999998E-2</v>
      </c>
      <c r="J544" s="58">
        <v>9.0999999999999998E-2</v>
      </c>
      <c r="K544" s="58">
        <v>9.0999999999999998E-2</v>
      </c>
    </row>
    <row r="545" spans="2:11" x14ac:dyDescent="0.3">
      <c r="B545" t="s">
        <v>353</v>
      </c>
      <c r="C545" t="s">
        <v>47</v>
      </c>
      <c r="G545" s="58">
        <v>0.13500000000000001</v>
      </c>
      <c r="H545" s="58">
        <v>0.13500000000000001</v>
      </c>
      <c r="I545" s="58">
        <v>0.13500000000000001</v>
      </c>
      <c r="J545" s="58">
        <v>0.13500000000000001</v>
      </c>
      <c r="K545" s="58">
        <v>0.13500000000000001</v>
      </c>
    </row>
    <row r="546" spans="2:11" x14ac:dyDescent="0.3">
      <c r="B546" t="s">
        <v>354</v>
      </c>
      <c r="G546" s="50">
        <f>G545*G529</f>
        <v>1685.4420667500001</v>
      </c>
      <c r="H546" s="50">
        <f t="shared" ref="H546:K546" si="260">H545*H529</f>
        <v>1791.5106541499999</v>
      </c>
      <c r="I546" s="50">
        <f t="shared" si="260"/>
        <v>1884.2554540594122</v>
      </c>
      <c r="J546" s="50">
        <f t="shared" si="260"/>
        <v>1961.4558178140585</v>
      </c>
      <c r="K546" s="50">
        <f t="shared" si="260"/>
        <v>2030.3558003864457</v>
      </c>
    </row>
    <row r="547" spans="2:11" x14ac:dyDescent="0.3">
      <c r="B547" t="s">
        <v>123</v>
      </c>
      <c r="C547" t="s">
        <v>47</v>
      </c>
      <c r="G547" s="31">
        <f>G543-G544</f>
        <v>6.6615211900827892E-2</v>
      </c>
      <c r="H547" s="31">
        <f t="shared" ref="H547:I547" si="261">H543-H544</f>
        <v>5.7375998070269635E-2</v>
      </c>
      <c r="I547" s="31">
        <f t="shared" si="261"/>
        <v>4.9696647646089831E-2</v>
      </c>
      <c r="J547" s="31">
        <f t="shared" ref="J547:K547" si="262">J543-J544</f>
        <v>4.4000000000000011E-2</v>
      </c>
      <c r="K547" s="31">
        <f t="shared" si="262"/>
        <v>4.4000000000000011E-2</v>
      </c>
    </row>
    <row r="549" spans="2:11" x14ac:dyDescent="0.3">
      <c r="B549" s="5" t="s">
        <v>131</v>
      </c>
      <c r="C549" s="5" t="s">
        <v>47</v>
      </c>
      <c r="D549" s="5"/>
      <c r="E549" s="5"/>
      <c r="F549" s="5"/>
      <c r="G549" s="48">
        <f>G541/G529</f>
        <v>0.17844861857359981</v>
      </c>
      <c r="H549" s="48">
        <f>H541/H529</f>
        <v>0.16797593732748825</v>
      </c>
      <c r="I549" s="48">
        <f>I541/I529</f>
        <v>0.1593318597264646</v>
      </c>
      <c r="J549" s="48">
        <f t="shared" ref="J549:K549" si="263">J541/J529</f>
        <v>0.15290175423840657</v>
      </c>
      <c r="K549" s="48">
        <f t="shared" si="263"/>
        <v>0.15229425945606023</v>
      </c>
    </row>
    <row r="551" spans="2:11" x14ac:dyDescent="0.3">
      <c r="D551" s="47"/>
    </row>
    <row r="552" spans="2:11" ht="25.8" x14ac:dyDescent="0.5">
      <c r="B552" s="3" t="str">
        <f>Cover!$B$2</f>
        <v>OSB</v>
      </c>
      <c r="C552" s="3"/>
      <c r="D552" s="4"/>
      <c r="E552" s="4"/>
      <c r="F552" s="4"/>
      <c r="G552" s="4"/>
      <c r="H552" s="4"/>
      <c r="I552" s="4"/>
      <c r="J552" s="4"/>
      <c r="K552" s="4"/>
    </row>
    <row r="553" spans="2:11" x14ac:dyDescent="0.3">
      <c r="B553" s="4" t="s">
        <v>124</v>
      </c>
      <c r="C553" s="4"/>
      <c r="D553" s="4"/>
      <c r="E553" s="4"/>
      <c r="F553" s="4"/>
      <c r="G553" s="4"/>
      <c r="H553" s="4"/>
      <c r="I553" s="4"/>
      <c r="J553" s="4"/>
      <c r="K553" s="4"/>
    </row>
    <row r="554" spans="2:11" x14ac:dyDescent="0.3">
      <c r="B554" s="4"/>
      <c r="C554" s="4"/>
      <c r="D554" s="4"/>
      <c r="E554" s="4"/>
      <c r="F554" s="4"/>
      <c r="G554" s="4"/>
      <c r="H554" s="4"/>
      <c r="I554" s="4"/>
    </row>
    <row r="555" spans="2:11" x14ac:dyDescent="0.3">
      <c r="B555" s="4"/>
      <c r="C555" s="4"/>
      <c r="D555" s="4"/>
      <c r="E555" s="4"/>
      <c r="F555" s="4"/>
      <c r="G555" s="4"/>
      <c r="H555" s="4"/>
      <c r="I555" s="4"/>
    </row>
    <row r="557" spans="2:11" x14ac:dyDescent="0.3">
      <c r="C557" t="s">
        <v>10</v>
      </c>
      <c r="E557" s="51">
        <v>2024</v>
      </c>
      <c r="F557" s="51">
        <v>2025</v>
      </c>
      <c r="G557" s="52">
        <f>F557+1</f>
        <v>2026</v>
      </c>
      <c r="H557" s="52">
        <f t="shared" ref="H557:I557" si="264">G557+1</f>
        <v>2027</v>
      </c>
      <c r="I557" s="52">
        <f t="shared" si="264"/>
        <v>2028</v>
      </c>
      <c r="J557" s="52">
        <f t="shared" ref="J557" si="265">I557+1</f>
        <v>2029</v>
      </c>
      <c r="K557" s="52">
        <f t="shared" ref="K557" si="266">J557+1</f>
        <v>2030</v>
      </c>
    </row>
    <row r="560" spans="2:11" x14ac:dyDescent="0.3">
      <c r="B560" t="s">
        <v>125</v>
      </c>
      <c r="C560" t="s">
        <v>46</v>
      </c>
      <c r="G560" s="17">
        <f>F564</f>
        <v>2296.6999999999998</v>
      </c>
      <c r="H560" s="17">
        <f>G564</f>
        <v>2276.2874703508928</v>
      </c>
      <c r="I560" s="17">
        <f t="shared" ref="I560" si="267">H564</f>
        <v>2277.5161582446508</v>
      </c>
      <c r="J560" s="17">
        <f t="shared" ref="J560" si="268">I564</f>
        <v>2272.2661162594081</v>
      </c>
      <c r="K560" s="17">
        <f t="shared" ref="K560" si="269">J564</f>
        <v>2269.9558178140587</v>
      </c>
    </row>
    <row r="561" spans="2:11" x14ac:dyDescent="0.3">
      <c r="B561" s="11" t="s">
        <v>116</v>
      </c>
      <c r="C561" s="11" t="s">
        <v>46</v>
      </c>
      <c r="D561" s="11"/>
      <c r="E561" s="11"/>
      <c r="F561" s="11"/>
      <c r="G561" s="20">
        <f>G22</f>
        <v>299.31245058482125</v>
      </c>
      <c r="H561" s="20">
        <f>H22</f>
        <v>335.38114648959686</v>
      </c>
      <c r="I561" s="20">
        <f>I22</f>
        <v>324.5832633579289</v>
      </c>
      <c r="J561" s="20">
        <f>J22</f>
        <v>321.00822142135183</v>
      </c>
      <c r="K561" s="20">
        <f>K22</f>
        <v>315.36918236311209</v>
      </c>
    </row>
    <row r="562" spans="2:11" x14ac:dyDescent="0.3">
      <c r="B562" t="s">
        <v>126</v>
      </c>
      <c r="C562" t="s">
        <v>46</v>
      </c>
      <c r="G562" s="17">
        <f>-Assumptions!D115*G561</f>
        <v>-119.72498023392851</v>
      </c>
      <c r="H562" s="17">
        <f>-Assumptions!E115*H561</f>
        <v>-134.15245859583874</v>
      </c>
      <c r="I562" s="17">
        <f>-Assumptions!F115*I561</f>
        <v>-129.83330534317156</v>
      </c>
      <c r="J562" s="17">
        <f>-Assumptions!G115*J561</f>
        <v>-128.40328856854075</v>
      </c>
      <c r="K562" s="17">
        <f>-Assumptions!H115*K561</f>
        <v>-126.14767294524484</v>
      </c>
    </row>
    <row r="563" spans="2:11" x14ac:dyDescent="0.3">
      <c r="B563" t="s">
        <v>127</v>
      </c>
      <c r="C563" t="s">
        <v>46</v>
      </c>
      <c r="G563" s="26">
        <f>G537</f>
        <v>-200</v>
      </c>
      <c r="H563" s="26">
        <f>H537</f>
        <v>-200</v>
      </c>
      <c r="I563" s="26">
        <f>I537</f>
        <v>-200</v>
      </c>
      <c r="J563" s="26">
        <f>J537</f>
        <v>-194.91523129816073</v>
      </c>
      <c r="K563" s="26">
        <f>K537</f>
        <v>-120.32152684548032</v>
      </c>
    </row>
    <row r="564" spans="2:11" x14ac:dyDescent="0.3">
      <c r="B564" s="10" t="s">
        <v>128</v>
      </c>
      <c r="C564" s="10" t="s">
        <v>46</v>
      </c>
      <c r="D564" s="10"/>
      <c r="E564" s="10"/>
      <c r="F564" s="32">
        <f>F73</f>
        <v>2296.6999999999998</v>
      </c>
      <c r="G564" s="32">
        <f>SUM(G560:G563)</f>
        <v>2276.2874703508928</v>
      </c>
      <c r="H564" s="32">
        <f>SUM(H560:H563)</f>
        <v>2277.5161582446508</v>
      </c>
      <c r="I564" s="32">
        <f>SUM(I560:I563)</f>
        <v>2272.2661162594081</v>
      </c>
      <c r="J564" s="32">
        <f t="shared" ref="J564:K564" si="270">SUM(J560:J563)</f>
        <v>2269.9558178140587</v>
      </c>
      <c r="K564" s="32">
        <f t="shared" si="270"/>
        <v>2338.8558003864455</v>
      </c>
    </row>
    <row r="565" spans="2:11" x14ac:dyDescent="0.3">
      <c r="B565" s="10" t="s">
        <v>138</v>
      </c>
      <c r="C565" s="10" t="s">
        <v>46</v>
      </c>
      <c r="D565" s="10"/>
      <c r="E565" s="10"/>
      <c r="F565" s="32"/>
      <c r="G565" s="32">
        <f>AVERAGE(G560,G564)</f>
        <v>2286.4937351754461</v>
      </c>
      <c r="H565" s="32">
        <f t="shared" ref="H565:I565" si="271">AVERAGE(H560,H564)</f>
        <v>2276.901814297772</v>
      </c>
      <c r="I565" s="32">
        <f t="shared" si="271"/>
        <v>2274.8911372520297</v>
      </c>
      <c r="J565" s="32">
        <f t="shared" ref="J565:K565" si="272">AVERAGE(J560,J564)</f>
        <v>2271.1109670367332</v>
      </c>
      <c r="K565" s="32">
        <f t="shared" si="272"/>
        <v>2304.4058091002521</v>
      </c>
    </row>
    <row r="566" spans="2:11" x14ac:dyDescent="0.3">
      <c r="B566" s="10"/>
      <c r="C566" s="10"/>
      <c r="D566" s="10"/>
      <c r="E566" s="10"/>
      <c r="F566" s="32"/>
      <c r="G566" s="32"/>
      <c r="H566" s="32"/>
      <c r="I566" s="32"/>
      <c r="J566" s="32"/>
      <c r="K566" s="32"/>
    </row>
    <row r="567" spans="2:11" x14ac:dyDescent="0.3">
      <c r="B567" s="9" t="s">
        <v>18</v>
      </c>
      <c r="C567" s="9" t="s">
        <v>46</v>
      </c>
      <c r="D567" s="9"/>
      <c r="E567" s="9"/>
      <c r="F567" s="22">
        <f>G461</f>
        <v>66.900000000000006</v>
      </c>
      <c r="G567" s="22">
        <f>G464</f>
        <v>83.453357142857143</v>
      </c>
      <c r="H567" s="22">
        <f t="shared" ref="H567:K567" si="273">H464</f>
        <v>96.773029285714287</v>
      </c>
      <c r="I567" s="22">
        <f t="shared" si="273"/>
        <v>106.76200587857143</v>
      </c>
      <c r="J567" s="22">
        <f t="shared" si="273"/>
        <v>113.32036605492857</v>
      </c>
      <c r="K567" s="22">
        <f t="shared" si="273"/>
        <v>116.3451913222907</v>
      </c>
    </row>
    <row r="568" spans="2:11" x14ac:dyDescent="0.3">
      <c r="B568" s="53" t="s">
        <v>134</v>
      </c>
      <c r="C568" s="53" t="s">
        <v>46</v>
      </c>
      <c r="D568" s="53"/>
      <c r="E568" s="53"/>
      <c r="F568" s="54">
        <f>F564-F567</f>
        <v>2229.7999999999997</v>
      </c>
      <c r="G568" s="54">
        <f t="shared" ref="G568:I568" si="274">G564-G567</f>
        <v>2192.8341132080359</v>
      </c>
      <c r="H568" s="54">
        <f t="shared" si="274"/>
        <v>2180.7431289589367</v>
      </c>
      <c r="I568" s="54">
        <f t="shared" si="274"/>
        <v>2165.5041103808367</v>
      </c>
      <c r="J568" s="54">
        <f t="shared" ref="J568:K568" si="275">J564-J567</f>
        <v>2156.6354517591303</v>
      </c>
      <c r="K568" s="54">
        <f t="shared" si="275"/>
        <v>2222.5106090641548</v>
      </c>
    </row>
    <row r="569" spans="2:11" x14ac:dyDescent="0.3">
      <c r="B569" s="5" t="s">
        <v>139</v>
      </c>
      <c r="C569" s="5" t="s">
        <v>46</v>
      </c>
      <c r="D569" s="5"/>
      <c r="E569" s="5"/>
      <c r="F569" s="38"/>
      <c r="G569" s="38">
        <f>AVERAGE(F568,G568)</f>
        <v>2211.317056604018</v>
      </c>
      <c r="H569" s="38">
        <f t="shared" ref="H569:I569" si="276">AVERAGE(G568,H568)</f>
        <v>2186.7886210834863</v>
      </c>
      <c r="I569" s="38">
        <f t="shared" si="276"/>
        <v>2173.1236196698865</v>
      </c>
      <c r="J569" s="38">
        <f t="shared" ref="J569" si="277">AVERAGE(I568,J568)</f>
        <v>2161.0697810699835</v>
      </c>
      <c r="K569" s="38">
        <f t="shared" ref="K569" si="278">AVERAGE(J568,K568)</f>
        <v>2189.5730304116423</v>
      </c>
    </row>
    <row r="571" spans="2:11" x14ac:dyDescent="0.3">
      <c r="B571" t="s">
        <v>135</v>
      </c>
      <c r="C571" t="s">
        <v>46</v>
      </c>
      <c r="F571" s="17">
        <f t="shared" ref="F571:K571" si="279">F22</f>
        <v>285.69999999999987</v>
      </c>
      <c r="G571" s="17">
        <f t="shared" si="279"/>
        <v>299.31245058482125</v>
      </c>
      <c r="H571" s="17">
        <f t="shared" si="279"/>
        <v>335.38114648959686</v>
      </c>
      <c r="I571" s="17">
        <f t="shared" si="279"/>
        <v>324.5832633579289</v>
      </c>
      <c r="J571" s="17">
        <f t="shared" si="279"/>
        <v>321.00822142135183</v>
      </c>
      <c r="K571" s="17">
        <f t="shared" si="279"/>
        <v>315.36918236311209</v>
      </c>
    </row>
    <row r="572" spans="2:11" x14ac:dyDescent="0.3">
      <c r="B572" s="5"/>
      <c r="F572" s="17"/>
      <c r="G572" s="17"/>
      <c r="H572" s="17"/>
      <c r="I572" s="17"/>
      <c r="J572" s="17"/>
      <c r="K572" s="17"/>
    </row>
    <row r="573" spans="2:11" x14ac:dyDescent="0.3">
      <c r="B573" t="s">
        <v>137</v>
      </c>
      <c r="C573" t="s">
        <v>47</v>
      </c>
      <c r="F573" s="31"/>
      <c r="G573" s="31">
        <f>G571/G565</f>
        <v>0.13090455748038801</v>
      </c>
      <c r="H573" s="31">
        <f t="shared" ref="H573:I573" si="280">H571/H565</f>
        <v>0.14729714930331023</v>
      </c>
      <c r="I573" s="31">
        <f t="shared" si="280"/>
        <v>0.14268078944208798</v>
      </c>
      <c r="J573" s="31">
        <f t="shared" ref="J573:K573" si="281">J571/J565</f>
        <v>0.14134413777244545</v>
      </c>
      <c r="K573" s="31">
        <f t="shared" si="281"/>
        <v>0.13685488081903724</v>
      </c>
    </row>
    <row r="574" spans="2:11" x14ac:dyDescent="0.3">
      <c r="B574" t="s">
        <v>136</v>
      </c>
      <c r="C574" t="s">
        <v>47</v>
      </c>
      <c r="F574" s="31"/>
      <c r="G574" s="31">
        <f>G571/G569</f>
        <v>0.13535483285444549</v>
      </c>
      <c r="H574" s="31">
        <f t="shared" ref="H574:I574" si="282">H571/H569</f>
        <v>0.15336697075157901</v>
      </c>
      <c r="I574" s="31">
        <f t="shared" si="282"/>
        <v>0.14936253990338363</v>
      </c>
      <c r="J574" s="31">
        <f t="shared" ref="J574:K574" si="283">J571/J569</f>
        <v>0.14854134939706345</v>
      </c>
      <c r="K574" s="31">
        <f t="shared" si="283"/>
        <v>0.14403227386474626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Assumptions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Hopkinson</dc:creator>
  <cp:lastModifiedBy>Peter Hopkinson</cp:lastModifiedBy>
  <dcterms:created xsi:type="dcterms:W3CDTF">2026-09-25T20:35:53Z</dcterms:created>
  <dcterms:modified xsi:type="dcterms:W3CDTF">2026-10-03T20:06:09Z</dcterms:modified>
</cp:coreProperties>
</file>