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63f789af4ef06/Documents/Career/Career Development/Financial Statements/Bank Financial Models/"/>
    </mc:Choice>
  </mc:AlternateContent>
  <xr:revisionPtr revIDLastSave="950" documentId="8_{2812AFD4-640C-43FE-A30B-D266BEE75812}" xr6:coauthVersionLast="47" xr6:coauthVersionMax="47" xr10:uidLastSave="{3CE282CF-561A-45C0-9408-BF4A38087D1C}"/>
  <bookViews>
    <workbookView xWindow="28680" yWindow="-120" windowWidth="51840" windowHeight="21120" activeTab="2" xr2:uid="{C4FDF26E-8D02-42E6-9BA6-E8E4AB263931}"/>
  </bookViews>
  <sheets>
    <sheet name="Cover" sheetId="1" r:id="rId1"/>
    <sheet name="Assumptions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97" i="2" l="1"/>
  <c r="H497" i="2"/>
  <c r="G497" i="2"/>
  <c r="I496" i="2"/>
  <c r="H496" i="2"/>
  <c r="G496" i="2"/>
  <c r="I154" i="2"/>
  <c r="H154" i="2"/>
  <c r="G154" i="2"/>
  <c r="I236" i="2"/>
  <c r="H236" i="2"/>
  <c r="G236" i="2"/>
  <c r="G411" i="2"/>
  <c r="H411" i="2" s="1"/>
  <c r="I411" i="2" s="1"/>
  <c r="I232" i="2"/>
  <c r="H232" i="2"/>
  <c r="G232" i="2"/>
  <c r="F42" i="3"/>
  <c r="I254" i="2" s="1"/>
  <c r="I211" i="2" s="1"/>
  <c r="E42" i="3"/>
  <c r="H254" i="2" s="1"/>
  <c r="H211" i="2" s="1"/>
  <c r="D42" i="3"/>
  <c r="G254" i="2" s="1"/>
  <c r="G211" i="2" s="1"/>
  <c r="D40" i="3"/>
  <c r="G420" i="2"/>
  <c r="G480" i="2"/>
  <c r="H480" i="2" s="1"/>
  <c r="I480" i="2" s="1"/>
  <c r="G435" i="2"/>
  <c r="H435" i="2" s="1"/>
  <c r="I435" i="2" s="1"/>
  <c r="G397" i="2"/>
  <c r="H397" i="2" s="1"/>
  <c r="I397" i="2" s="1"/>
  <c r="G338" i="2"/>
  <c r="H338" i="2" s="1"/>
  <c r="I338" i="2" s="1"/>
  <c r="G304" i="2"/>
  <c r="H304" i="2" s="1"/>
  <c r="I304" i="2" s="1"/>
  <c r="G270" i="2"/>
  <c r="H270" i="2" s="1"/>
  <c r="I270" i="2" s="1"/>
  <c r="G202" i="2"/>
  <c r="H202" i="2" s="1"/>
  <c r="I202" i="2" s="1"/>
  <c r="G140" i="2"/>
  <c r="H140" i="2" s="1"/>
  <c r="I140" i="2" s="1"/>
  <c r="G99" i="2"/>
  <c r="H99" i="2" s="1"/>
  <c r="I99" i="2" s="1"/>
  <c r="G52" i="2"/>
  <c r="H52" i="2" s="1"/>
  <c r="I52" i="2" s="1"/>
  <c r="G7" i="2"/>
  <c r="H7" i="2" s="1"/>
  <c r="I7" i="2" s="1"/>
  <c r="I458" i="2"/>
  <c r="H458" i="2"/>
  <c r="G458" i="2"/>
  <c r="G275" i="2"/>
  <c r="G274" i="2"/>
  <c r="G414" i="2"/>
  <c r="H414" i="2" s="1"/>
  <c r="I414" i="2" s="1"/>
  <c r="G410" i="2"/>
  <c r="H410" i="2" s="1"/>
  <c r="I410" i="2" s="1"/>
  <c r="F40" i="3"/>
  <c r="I253" i="2" s="1"/>
  <c r="I207" i="2" s="1"/>
  <c r="E40" i="3"/>
  <c r="H253" i="2" s="1"/>
  <c r="H207" i="2" s="1"/>
  <c r="G253" i="2"/>
  <c r="G207" i="2" s="1"/>
  <c r="G55" i="2"/>
  <c r="H55" i="2" s="1"/>
  <c r="I55" i="2" s="1"/>
  <c r="G56" i="2"/>
  <c r="G280" i="2" s="1"/>
  <c r="I486" i="2"/>
  <c r="H486" i="2"/>
  <c r="G486" i="2"/>
  <c r="F461" i="2"/>
  <c r="F462" i="2" s="1"/>
  <c r="B475" i="2"/>
  <c r="G77" i="2"/>
  <c r="H77" i="2" s="1"/>
  <c r="I77" i="2" s="1"/>
  <c r="F38" i="2"/>
  <c r="F80" i="2"/>
  <c r="E80" i="2"/>
  <c r="G79" i="2"/>
  <c r="H79" i="2" s="1"/>
  <c r="I79" i="2" s="1"/>
  <c r="G73" i="2"/>
  <c r="H73" i="2" s="1"/>
  <c r="I73" i="2" s="1"/>
  <c r="G71" i="2"/>
  <c r="H71" i="2" s="1"/>
  <c r="I71" i="2" s="1"/>
  <c r="G70" i="2"/>
  <c r="H70" i="2" s="1"/>
  <c r="I70" i="2" s="1"/>
  <c r="G61" i="2"/>
  <c r="H61" i="2" s="1"/>
  <c r="I61" i="2" s="1"/>
  <c r="G58" i="2"/>
  <c r="H58" i="2" s="1"/>
  <c r="I58" i="2" s="1"/>
  <c r="G60" i="2"/>
  <c r="H60" i="2" s="1"/>
  <c r="I60" i="2" s="1"/>
  <c r="I159" i="2"/>
  <c r="H159" i="2"/>
  <c r="G159" i="2"/>
  <c r="I160" i="2"/>
  <c r="H160" i="2"/>
  <c r="G160" i="2"/>
  <c r="G158" i="2"/>
  <c r="I153" i="2"/>
  <c r="H153" i="2"/>
  <c r="G153" i="2"/>
  <c r="I78" i="2"/>
  <c r="H78" i="2"/>
  <c r="G78" i="2"/>
  <c r="I25" i="2"/>
  <c r="H25" i="2"/>
  <c r="G25" i="2"/>
  <c r="I23" i="2"/>
  <c r="H23" i="2"/>
  <c r="G23" i="2"/>
  <c r="I465" i="2"/>
  <c r="H465" i="2"/>
  <c r="G465" i="2"/>
  <c r="G448" i="2"/>
  <c r="H448" i="2" s="1"/>
  <c r="I448" i="2" s="1"/>
  <c r="I444" i="2"/>
  <c r="H444" i="2"/>
  <c r="G444" i="2"/>
  <c r="I440" i="2"/>
  <c r="H440" i="2"/>
  <c r="G440" i="2"/>
  <c r="G455" i="2"/>
  <c r="G449" i="2"/>
  <c r="H449" i="2" s="1"/>
  <c r="I449" i="2" s="1"/>
  <c r="B430" i="2"/>
  <c r="F413" i="2"/>
  <c r="E413" i="2"/>
  <c r="F412" i="2"/>
  <c r="E412" i="2"/>
  <c r="E11" i="2"/>
  <c r="I378" i="2"/>
  <c r="H378" i="2"/>
  <c r="G378" i="2"/>
  <c r="G360" i="2"/>
  <c r="H360" i="2" s="1"/>
  <c r="I360" i="2" s="1"/>
  <c r="I377" i="2"/>
  <c r="H377" i="2"/>
  <c r="G377" i="2"/>
  <c r="G359" i="2" s="1"/>
  <c r="E362" i="2"/>
  <c r="F358" i="2" s="1"/>
  <c r="F362" i="2" s="1"/>
  <c r="G358" i="2" s="1"/>
  <c r="I376" i="2"/>
  <c r="H376" i="2"/>
  <c r="G376" i="2"/>
  <c r="F367" i="2"/>
  <c r="E368" i="2"/>
  <c r="E371" i="2" s="1"/>
  <c r="F366" i="2" s="1"/>
  <c r="B333" i="2"/>
  <c r="I423" i="2"/>
  <c r="H423" i="2"/>
  <c r="G423" i="2"/>
  <c r="I422" i="2"/>
  <c r="H422" i="2"/>
  <c r="G422" i="2"/>
  <c r="I421" i="2"/>
  <c r="H421" i="2"/>
  <c r="G421" i="2"/>
  <c r="I420" i="2"/>
  <c r="H420" i="2"/>
  <c r="F415" i="2"/>
  <c r="E415" i="2"/>
  <c r="F404" i="2"/>
  <c r="E404" i="2"/>
  <c r="F402" i="2"/>
  <c r="E402" i="2"/>
  <c r="F401" i="2"/>
  <c r="E401" i="2"/>
  <c r="B392" i="2"/>
  <c r="I326" i="2"/>
  <c r="I315" i="2" s="1"/>
  <c r="H326" i="2"/>
  <c r="H315" i="2" s="1"/>
  <c r="G326" i="2"/>
  <c r="G315" i="2" s="1"/>
  <c r="I325" i="2"/>
  <c r="I309" i="2" s="1"/>
  <c r="H325" i="2"/>
  <c r="H309" i="2" s="1"/>
  <c r="G325" i="2"/>
  <c r="G309" i="2" s="1"/>
  <c r="B299" i="2"/>
  <c r="F280" i="2"/>
  <c r="E280" i="2"/>
  <c r="F279" i="2"/>
  <c r="E279" i="2"/>
  <c r="E281" i="2" s="1"/>
  <c r="I275" i="2"/>
  <c r="H275" i="2"/>
  <c r="I274" i="2"/>
  <c r="H274" i="2"/>
  <c r="I258" i="2"/>
  <c r="I242" i="2" s="1"/>
  <c r="H258" i="2"/>
  <c r="H242" i="2" s="1"/>
  <c r="G258" i="2"/>
  <c r="G242" i="2" s="1"/>
  <c r="I257" i="2"/>
  <c r="I228" i="2" s="1"/>
  <c r="H257" i="2"/>
  <c r="H228" i="2" s="1"/>
  <c r="G257" i="2"/>
  <c r="G228" i="2" s="1"/>
  <c r="I256" i="2"/>
  <c r="I224" i="2" s="1"/>
  <c r="H256" i="2"/>
  <c r="H224" i="2" s="1"/>
  <c r="G256" i="2"/>
  <c r="G224" i="2" s="1"/>
  <c r="I255" i="2"/>
  <c r="I220" i="2" s="1"/>
  <c r="H255" i="2"/>
  <c r="H220" i="2" s="1"/>
  <c r="G255" i="2"/>
  <c r="G220" i="2" s="1"/>
  <c r="B265" i="2"/>
  <c r="I186" i="2"/>
  <c r="H186" i="2"/>
  <c r="G186" i="2"/>
  <c r="G167" i="2" s="1"/>
  <c r="G241" i="2" s="1"/>
  <c r="I185" i="2"/>
  <c r="H185" i="2"/>
  <c r="G185" i="2"/>
  <c r="G166" i="2" s="1"/>
  <c r="E5" i="3"/>
  <c r="F5" i="3" s="1"/>
  <c r="F170" i="2"/>
  <c r="G170" i="2" s="1"/>
  <c r="H170" i="2" s="1"/>
  <c r="I170" i="2" s="1"/>
  <c r="E170" i="2"/>
  <c r="E155" i="2"/>
  <c r="F152" i="2" s="1"/>
  <c r="F153" i="2"/>
  <c r="F155" i="2" s="1"/>
  <c r="F173" i="2" s="1"/>
  <c r="I187" i="2"/>
  <c r="H187" i="2"/>
  <c r="G187" i="2"/>
  <c r="I184" i="2"/>
  <c r="H184" i="2"/>
  <c r="G184" i="2"/>
  <c r="F123" i="2"/>
  <c r="E123" i="2"/>
  <c r="E122" i="2"/>
  <c r="F169" i="2"/>
  <c r="E169" i="2"/>
  <c r="F168" i="2"/>
  <c r="E168" i="2"/>
  <c r="E146" i="2"/>
  <c r="F144" i="2" s="1"/>
  <c r="F146" i="2"/>
  <c r="G144" i="2" s="1"/>
  <c r="B135" i="2"/>
  <c r="F118" i="2"/>
  <c r="F119" i="2"/>
  <c r="F108" i="2"/>
  <c r="B197" i="2"/>
  <c r="C128" i="2"/>
  <c r="G114" i="2" s="1"/>
  <c r="H114" i="2" s="1"/>
  <c r="I114" i="2" s="1"/>
  <c r="C126" i="2"/>
  <c r="C129" i="2"/>
  <c r="G113" i="2"/>
  <c r="G103" i="2"/>
  <c r="C127" i="2"/>
  <c r="B2" i="3"/>
  <c r="F103" i="2"/>
  <c r="F109" i="2" s="1"/>
  <c r="B94" i="2"/>
  <c r="F86" i="2"/>
  <c r="F487" i="2" s="1"/>
  <c r="G483" i="2" s="1"/>
  <c r="E86" i="2"/>
  <c r="F64" i="2"/>
  <c r="E64" i="2"/>
  <c r="B47" i="2"/>
  <c r="F15" i="2"/>
  <c r="F17" i="2" s="1"/>
  <c r="E15" i="2"/>
  <c r="E17" i="2" s="1"/>
  <c r="F11" i="2"/>
  <c r="B2" i="2"/>
  <c r="B5" i="1"/>
  <c r="E173" i="2" l="1"/>
  <c r="F281" i="2"/>
  <c r="F282" i="2" s="1"/>
  <c r="G168" i="2"/>
  <c r="G75" i="2" s="1"/>
  <c r="G284" i="2"/>
  <c r="G285" i="2"/>
  <c r="H285" i="2"/>
  <c r="H56" i="2"/>
  <c r="G161" i="2"/>
  <c r="G461" i="2" s="1"/>
  <c r="G342" i="2"/>
  <c r="H359" i="2"/>
  <c r="I359" i="2" s="1"/>
  <c r="I345" i="2" s="1"/>
  <c r="G367" i="2"/>
  <c r="H367" i="2" s="1"/>
  <c r="I367" i="2" s="1"/>
  <c r="G369" i="2"/>
  <c r="H343" i="2"/>
  <c r="I343" i="2"/>
  <c r="G343" i="2"/>
  <c r="E403" i="2"/>
  <c r="E405" i="2" s="1"/>
  <c r="I342" i="2"/>
  <c r="G409" i="2"/>
  <c r="H342" i="2"/>
  <c r="F368" i="2"/>
  <c r="G402" i="2"/>
  <c r="F403" i="2"/>
  <c r="F405" i="2" s="1"/>
  <c r="G404" i="2"/>
  <c r="G401" i="2"/>
  <c r="G13" i="2" s="1"/>
  <c r="G243" i="2"/>
  <c r="F156" i="2"/>
  <c r="E171" i="2"/>
  <c r="F145" i="2"/>
  <c r="F171" i="2"/>
  <c r="F147" i="2"/>
  <c r="H167" i="2"/>
  <c r="H241" i="2" s="1"/>
  <c r="G68" i="2"/>
  <c r="H166" i="2"/>
  <c r="G169" i="2"/>
  <c r="E174" i="2"/>
  <c r="G152" i="2"/>
  <c r="G155" i="2" s="1"/>
  <c r="G105" i="2"/>
  <c r="F180" i="2"/>
  <c r="F178" i="2"/>
  <c r="F122" i="2"/>
  <c r="G146" i="2"/>
  <c r="G104" i="2"/>
  <c r="H104" i="2" s="1"/>
  <c r="I104" i="2" s="1"/>
  <c r="F88" i="2"/>
  <c r="G115" i="2"/>
  <c r="G116" i="2" s="1"/>
  <c r="G439" i="2" s="1"/>
  <c r="E88" i="2"/>
  <c r="F19" i="2"/>
  <c r="F24" i="2" s="1"/>
  <c r="E19" i="2"/>
  <c r="E39" i="2" s="1"/>
  <c r="G235" i="2" l="1"/>
  <c r="G173" i="2"/>
  <c r="G237" i="2"/>
  <c r="I166" i="2"/>
  <c r="H168" i="2"/>
  <c r="H75" i="2" s="1"/>
  <c r="G162" i="2"/>
  <c r="G231" i="2" s="1"/>
  <c r="G233" i="2" s="1"/>
  <c r="I56" i="2"/>
  <c r="I280" i="2" s="1"/>
  <c r="H280" i="2"/>
  <c r="I285" i="2" s="1"/>
  <c r="H158" i="2"/>
  <c r="H161" i="2" s="1"/>
  <c r="H461" i="2" s="1"/>
  <c r="G74" i="2"/>
  <c r="H344" i="2"/>
  <c r="H346" i="2" s="1"/>
  <c r="H361" i="2" s="1"/>
  <c r="H413" i="2" s="1"/>
  <c r="G346" i="2"/>
  <c r="G361" i="2" s="1"/>
  <c r="G413" i="2" s="1"/>
  <c r="G441" i="2"/>
  <c r="I344" i="2"/>
  <c r="I346" i="2" s="1"/>
  <c r="I361" i="2" s="1"/>
  <c r="I413" i="2" s="1"/>
  <c r="H369" i="2"/>
  <c r="G351" i="2"/>
  <c r="H351" i="2"/>
  <c r="I351" i="2"/>
  <c r="G156" i="2"/>
  <c r="G72" i="2"/>
  <c r="H402" i="2"/>
  <c r="G14" i="2"/>
  <c r="G15" i="2" s="1"/>
  <c r="H409" i="2"/>
  <c r="I409" i="2" s="1"/>
  <c r="H404" i="2"/>
  <c r="G16" i="2"/>
  <c r="H169" i="2"/>
  <c r="G76" i="2"/>
  <c r="G147" i="2"/>
  <c r="G219" i="2" s="1"/>
  <c r="G221" i="2" s="1"/>
  <c r="G69" i="2"/>
  <c r="F371" i="2"/>
  <c r="G403" i="2"/>
  <c r="H401" i="2"/>
  <c r="H13" i="2" s="1"/>
  <c r="I167" i="2"/>
  <c r="H243" i="2"/>
  <c r="G171" i="2"/>
  <c r="H68" i="2"/>
  <c r="G223" i="2"/>
  <c r="G225" i="2" s="1"/>
  <c r="G145" i="2"/>
  <c r="H144" i="2"/>
  <c r="H152" i="2"/>
  <c r="H155" i="2" s="1"/>
  <c r="F39" i="2"/>
  <c r="E24" i="2"/>
  <c r="E40" i="2" s="1"/>
  <c r="F179" i="2"/>
  <c r="F174" i="2"/>
  <c r="H146" i="2"/>
  <c r="H69" i="2" s="1"/>
  <c r="G178" i="2"/>
  <c r="G106" i="2"/>
  <c r="H113" i="2"/>
  <c r="H115" i="2" s="1"/>
  <c r="H116" i="2" s="1"/>
  <c r="H439" i="2" s="1"/>
  <c r="H441" i="2" s="1"/>
  <c r="G118" i="2"/>
  <c r="G119" i="2"/>
  <c r="F26" i="2"/>
  <c r="F28" i="2" s="1"/>
  <c r="F494" i="2" s="1"/>
  <c r="F40" i="2"/>
  <c r="H173" i="2" l="1"/>
  <c r="H76" i="2"/>
  <c r="H235" i="2"/>
  <c r="H237" i="2" s="1"/>
  <c r="G227" i="2"/>
  <c r="G229" i="2" s="1"/>
  <c r="G245" i="2" s="1"/>
  <c r="G10" i="2" s="1"/>
  <c r="I241" i="2"/>
  <c r="I243" i="2" s="1"/>
  <c r="I168" i="2"/>
  <c r="I75" i="2" s="1"/>
  <c r="G366" i="2"/>
  <c r="G368" i="2" s="1"/>
  <c r="G350" i="2" s="1"/>
  <c r="G354" i="2" s="1"/>
  <c r="G370" i="2" s="1"/>
  <c r="F490" i="2"/>
  <c r="F491" i="2" s="1"/>
  <c r="H162" i="2"/>
  <c r="H231" i="2" s="1"/>
  <c r="H233" i="2" s="1"/>
  <c r="G362" i="2"/>
  <c r="H358" i="2" s="1"/>
  <c r="H362" i="2" s="1"/>
  <c r="I158" i="2"/>
  <c r="H74" i="2"/>
  <c r="H103" i="2"/>
  <c r="H105" i="2" s="1"/>
  <c r="H106" i="2" s="1"/>
  <c r="H443" i="2" s="1"/>
  <c r="H445" i="2" s="1"/>
  <c r="H447" i="2" s="1"/>
  <c r="H450" i="2" s="1"/>
  <c r="G443" i="2"/>
  <c r="G445" i="2" s="1"/>
  <c r="G447" i="2" s="1"/>
  <c r="G450" i="2" s="1"/>
  <c r="I369" i="2"/>
  <c r="I353" i="2" s="1"/>
  <c r="I352" i="2"/>
  <c r="H352" i="2"/>
  <c r="G80" i="2"/>
  <c r="H156" i="2"/>
  <c r="H227" i="2" s="1"/>
  <c r="H229" i="2" s="1"/>
  <c r="H72" i="2"/>
  <c r="I404" i="2"/>
  <c r="I16" i="2" s="1"/>
  <c r="H16" i="2"/>
  <c r="G17" i="2"/>
  <c r="I402" i="2"/>
  <c r="I14" i="2" s="1"/>
  <c r="H14" i="2"/>
  <c r="H15" i="2" s="1"/>
  <c r="I169" i="2"/>
  <c r="I401" i="2"/>
  <c r="H403" i="2"/>
  <c r="H405" i="2" s="1"/>
  <c r="G206" i="2"/>
  <c r="G308" i="2"/>
  <c r="G310" i="2" s="1"/>
  <c r="H223" i="2"/>
  <c r="H225" i="2" s="1"/>
  <c r="H147" i="2"/>
  <c r="H219" i="2" s="1"/>
  <c r="H221" i="2" s="1"/>
  <c r="I144" i="2"/>
  <c r="H145" i="2"/>
  <c r="H171" i="2"/>
  <c r="H179" i="2"/>
  <c r="I152" i="2"/>
  <c r="I155" i="2" s="1"/>
  <c r="E26" i="2"/>
  <c r="E28" i="2" s="1"/>
  <c r="G179" i="2"/>
  <c r="G109" i="2"/>
  <c r="I146" i="2"/>
  <c r="I69" i="2" s="1"/>
  <c r="H178" i="2"/>
  <c r="G108" i="2"/>
  <c r="G123" i="2"/>
  <c r="I113" i="2"/>
  <c r="I115" i="2" s="1"/>
  <c r="H118" i="2"/>
  <c r="H119" i="2"/>
  <c r="I173" i="2" l="1"/>
  <c r="H245" i="2"/>
  <c r="H10" i="2" s="1"/>
  <c r="I76" i="2"/>
  <c r="I235" i="2"/>
  <c r="I237" i="2" s="1"/>
  <c r="G412" i="2"/>
  <c r="G415" i="2" s="1"/>
  <c r="G21" i="2" s="1"/>
  <c r="H350" i="2"/>
  <c r="H354" i="2" s="1"/>
  <c r="H370" i="2" s="1"/>
  <c r="I350" i="2"/>
  <c r="I354" i="2" s="1"/>
  <c r="I370" i="2" s="1"/>
  <c r="H80" i="2"/>
  <c r="I358" i="2"/>
  <c r="I362" i="2" s="1"/>
  <c r="I62" i="2" s="1"/>
  <c r="H62" i="2"/>
  <c r="G62" i="2"/>
  <c r="G208" i="2"/>
  <c r="G180" i="2"/>
  <c r="G57" i="2"/>
  <c r="I161" i="2"/>
  <c r="I162" i="2" s="1"/>
  <c r="I231" i="2" s="1"/>
  <c r="I233" i="2" s="1"/>
  <c r="H109" i="2"/>
  <c r="H122" i="2" s="1"/>
  <c r="H319" i="2" s="1"/>
  <c r="I103" i="2"/>
  <c r="I105" i="2" s="1"/>
  <c r="I106" i="2" s="1"/>
  <c r="I443" i="2" s="1"/>
  <c r="I445" i="2" s="1"/>
  <c r="H123" i="2"/>
  <c r="H108" i="2"/>
  <c r="G371" i="2"/>
  <c r="G490" i="2" s="1"/>
  <c r="H17" i="2"/>
  <c r="I403" i="2"/>
  <c r="I405" i="2" s="1"/>
  <c r="I13" i="2"/>
  <c r="I15" i="2" s="1"/>
  <c r="I17" i="2" s="1"/>
  <c r="I156" i="2"/>
  <c r="I227" i="2" s="1"/>
  <c r="I229" i="2" s="1"/>
  <c r="I72" i="2"/>
  <c r="I171" i="2"/>
  <c r="I223" i="2"/>
  <c r="I225" i="2" s="1"/>
  <c r="I68" i="2"/>
  <c r="H206" i="2"/>
  <c r="H308" i="2"/>
  <c r="H310" i="2" s="1"/>
  <c r="G210" i="2"/>
  <c r="G212" i="2" s="1"/>
  <c r="G314" i="2"/>
  <c r="G316" i="2" s="1"/>
  <c r="G318" i="2" s="1"/>
  <c r="G22" i="2" s="1"/>
  <c r="I145" i="2"/>
  <c r="I147" i="2"/>
  <c r="I219" i="2" s="1"/>
  <c r="I221" i="2" s="1"/>
  <c r="G174" i="2"/>
  <c r="G122" i="2"/>
  <c r="G319" i="2" s="1"/>
  <c r="I178" i="2"/>
  <c r="I116" i="2"/>
  <c r="I245" i="2" l="1"/>
  <c r="I10" i="2" s="1"/>
  <c r="I412" i="2"/>
  <c r="I415" i="2" s="1"/>
  <c r="I21" i="2" s="1"/>
  <c r="H412" i="2"/>
  <c r="H415" i="2" s="1"/>
  <c r="H21" i="2" s="1"/>
  <c r="H208" i="2"/>
  <c r="I74" i="2"/>
  <c r="I80" i="2" s="1"/>
  <c r="I461" i="2"/>
  <c r="H180" i="2"/>
  <c r="H57" i="2"/>
  <c r="H366" i="2"/>
  <c r="H368" i="2" s="1"/>
  <c r="H371" i="2" s="1"/>
  <c r="H490" i="2" s="1"/>
  <c r="G63" i="2"/>
  <c r="H314" i="2"/>
  <c r="H316" i="2" s="1"/>
  <c r="H318" i="2" s="1"/>
  <c r="H210" i="2"/>
  <c r="H212" i="2" s="1"/>
  <c r="I108" i="2"/>
  <c r="I109" i="2"/>
  <c r="I210" i="2" s="1"/>
  <c r="I212" i="2" s="1"/>
  <c r="H174" i="2"/>
  <c r="I123" i="2"/>
  <c r="I439" i="2"/>
  <c r="I441" i="2" s="1"/>
  <c r="I447" i="2" s="1"/>
  <c r="I450" i="2" s="1"/>
  <c r="G321" i="2"/>
  <c r="I179" i="2"/>
  <c r="I119" i="2"/>
  <c r="I308" i="2" s="1"/>
  <c r="I310" i="2" s="1"/>
  <c r="I118" i="2"/>
  <c r="I180" i="2" l="1"/>
  <c r="I57" i="2"/>
  <c r="I366" i="2"/>
  <c r="I368" i="2" s="1"/>
  <c r="I371" i="2" s="1"/>
  <c r="H63" i="2"/>
  <c r="I314" i="2"/>
  <c r="I316" i="2" s="1"/>
  <c r="I318" i="2" s="1"/>
  <c r="I22" i="2" s="1"/>
  <c r="I174" i="2"/>
  <c r="H321" i="2"/>
  <c r="H22" i="2"/>
  <c r="I122" i="2"/>
  <c r="I319" i="2" s="1"/>
  <c r="I206" i="2"/>
  <c r="I63" i="2" l="1"/>
  <c r="I490" i="2"/>
  <c r="I321" i="2"/>
  <c r="I208" i="2"/>
  <c r="G405" i="2" l="1"/>
  <c r="G286" i="2" l="1"/>
  <c r="G214" i="2" l="1"/>
  <c r="G215" i="2" s="1"/>
  <c r="G9" i="2" l="1"/>
  <c r="G11" i="2" s="1"/>
  <c r="G19" i="2" s="1"/>
  <c r="G247" i="2"/>
  <c r="G38" i="2" l="1"/>
  <c r="G59" i="2" s="1"/>
  <c r="G24" i="2"/>
  <c r="G39" i="2"/>
  <c r="G26" i="2" l="1"/>
  <c r="G40" i="2"/>
  <c r="G27" i="2" l="1"/>
  <c r="G28" i="2" s="1"/>
  <c r="G494" i="2" s="1"/>
  <c r="G484" i="2" l="1"/>
  <c r="G456" i="2"/>
  <c r="G457" i="2" l="1"/>
  <c r="G485" i="2" s="1"/>
  <c r="G487" i="2" s="1"/>
  <c r="G488" i="2" s="1"/>
  <c r="G491" i="2" l="1"/>
  <c r="G460" i="2"/>
  <c r="H455" i="2" s="1"/>
  <c r="G86" i="2"/>
  <c r="G88" i="2" s="1"/>
  <c r="H483" i="2"/>
  <c r="G492" i="2" l="1"/>
  <c r="G464" i="2"/>
  <c r="G466" i="2" s="1"/>
  <c r="G54" i="2"/>
  <c r="G279" i="2" s="1"/>
  <c r="G281" i="2" s="1"/>
  <c r="G282" i="2" s="1"/>
  <c r="G248" i="2" s="1"/>
  <c r="G249" i="2" s="1"/>
  <c r="G462" i="2"/>
  <c r="G468" i="2" s="1"/>
  <c r="H284" i="2" l="1"/>
  <c r="H286" i="2" s="1"/>
  <c r="H214" i="2" s="1"/>
  <c r="H215" i="2" s="1"/>
  <c r="H247" i="2" s="1"/>
  <c r="G64" i="2"/>
  <c r="G89" i="2" s="1"/>
  <c r="H9" i="2" l="1"/>
  <c r="H11" i="2" s="1"/>
  <c r="H19" i="2" s="1"/>
  <c r="H38" i="2" l="1"/>
  <c r="H59" i="2" s="1"/>
  <c r="H39" i="2"/>
  <c r="H24" i="2"/>
  <c r="H40" i="2" l="1"/>
  <c r="H26" i="2"/>
  <c r="H27" i="2" s="1"/>
  <c r="H28" i="2" s="1"/>
  <c r="H494" i="2" s="1"/>
  <c r="H456" i="2" l="1"/>
  <c r="H484" i="2"/>
  <c r="H457" i="2" l="1"/>
  <c r="H485" i="2" s="1"/>
  <c r="H487" i="2" s="1"/>
  <c r="H488" i="2" s="1"/>
  <c r="H491" i="2" l="1"/>
  <c r="H460" i="2"/>
  <c r="I455" i="2" s="1"/>
  <c r="I483" i="2"/>
  <c r="H86" i="2"/>
  <c r="H88" i="2" s="1"/>
  <c r="H492" i="2" l="1"/>
  <c r="H464" i="2"/>
  <c r="H466" i="2" s="1"/>
  <c r="H462" i="2"/>
  <c r="H468" i="2" s="1"/>
  <c r="H54" i="2"/>
  <c r="H64" i="2" s="1"/>
  <c r="H89" i="2" s="1"/>
  <c r="H279" i="2" l="1"/>
  <c r="H281" i="2" s="1"/>
  <c r="I284" i="2" l="1"/>
  <c r="I286" i="2" s="1"/>
  <c r="I214" i="2" s="1"/>
  <c r="I215" i="2" s="1"/>
  <c r="I247" i="2" s="1"/>
  <c r="H282" i="2"/>
  <c r="H248" i="2" s="1"/>
  <c r="H249" i="2" s="1"/>
  <c r="I9" i="2" l="1"/>
  <c r="I11" i="2" l="1"/>
  <c r="I19" i="2" s="1"/>
  <c r="I24" i="2" s="1"/>
  <c r="I38" i="2"/>
  <c r="I59" i="2" s="1"/>
  <c r="I39" i="2" l="1"/>
  <c r="I40" i="2"/>
  <c r="I26" i="2"/>
  <c r="I27" i="2" s="1"/>
  <c r="I28" i="2" s="1"/>
  <c r="I494" i="2" s="1"/>
  <c r="I456" i="2" l="1"/>
  <c r="I484" i="2"/>
  <c r="I457" i="2" l="1"/>
  <c r="I485" i="2" s="1"/>
  <c r="I487" i="2" s="1"/>
  <c r="I488" i="2" s="1"/>
  <c r="I86" i="2" l="1"/>
  <c r="I88" i="2" s="1"/>
  <c r="I54" i="2" s="1"/>
  <c r="I64" i="2" s="1"/>
  <c r="I89" i="2" s="1"/>
  <c r="I491" i="2"/>
  <c r="I460" i="2"/>
  <c r="I464" i="2" s="1"/>
  <c r="I466" i="2" s="1"/>
  <c r="I492" i="2" l="1"/>
  <c r="I462" i="2"/>
  <c r="I468" i="2" s="1"/>
  <c r="I279" i="2"/>
  <c r="I281" i="2" s="1"/>
  <c r="I282" i="2" s="1"/>
  <c r="I248" i="2" s="1"/>
  <c r="I249" i="2" s="1"/>
</calcChain>
</file>

<file path=xl/sharedStrings.xml><?xml version="1.0" encoding="utf-8"?>
<sst xmlns="http://schemas.openxmlformats.org/spreadsheetml/2006/main" count="451" uniqueCount="297">
  <si>
    <t>Paragon Bank</t>
  </si>
  <si>
    <t>Modelled by Peter Hopkinson</t>
  </si>
  <si>
    <t>Financial Statements - Income Statement</t>
  </si>
  <si>
    <t>Units</t>
  </si>
  <si>
    <t>Interest Receivable</t>
  </si>
  <si>
    <t>Interest Payable</t>
  </si>
  <si>
    <t>Net Interest Income</t>
  </si>
  <si>
    <t>Other leasing income</t>
  </si>
  <si>
    <t>Related costs</t>
  </si>
  <si>
    <t>Net operating lease income</t>
  </si>
  <si>
    <t>Other income</t>
  </si>
  <si>
    <t>Other operating income</t>
  </si>
  <si>
    <t>Operating expenses</t>
  </si>
  <si>
    <t>Provisions for credit losses</t>
  </si>
  <si>
    <t>Provisions for liabilties</t>
  </si>
  <si>
    <t>Total Operating Income</t>
  </si>
  <si>
    <t>Units / £m</t>
  </si>
  <si>
    <t>Operating profit before fair value items</t>
  </si>
  <si>
    <t>Fair value net (losses)</t>
  </si>
  <si>
    <t>Operating Profit on ordinary activities before taxation</t>
  </si>
  <si>
    <t>Tax charge on profit on ordinary activities</t>
  </si>
  <si>
    <t>Profit on ordinary activities after taxation</t>
  </si>
  <si>
    <t>Earning per share</t>
  </si>
  <si>
    <t xml:space="preserve"> - Basic</t>
  </si>
  <si>
    <t xml:space="preserve"> - Diluted</t>
  </si>
  <si>
    <t>Units / pence</t>
  </si>
  <si>
    <t>Margin/Ratios</t>
  </si>
  <si>
    <t>Cost-to-income ratio</t>
  </si>
  <si>
    <t>Pre-provision operating margin</t>
  </si>
  <si>
    <t>Financial Statements - Balance Sheet</t>
  </si>
  <si>
    <t>Assets</t>
  </si>
  <si>
    <t>Cash - central bank</t>
  </si>
  <si>
    <t>Cash - retail bank</t>
  </si>
  <si>
    <t>Investment securities</t>
  </si>
  <si>
    <t>Loans to customers</t>
  </si>
  <si>
    <t>Derivative financial assets</t>
  </si>
  <si>
    <t>Sundry assets</t>
  </si>
  <si>
    <t>Current tax assets</t>
  </si>
  <si>
    <t>Retirement benefit obligations</t>
  </si>
  <si>
    <t xml:space="preserve">Property, plant and equipment </t>
  </si>
  <si>
    <t>Intangible Assets</t>
  </si>
  <si>
    <t>Intangible assets</t>
  </si>
  <si>
    <t>Liabilities</t>
  </si>
  <si>
    <t>Short-term borrowing</t>
  </si>
  <si>
    <t>Retail deposits</t>
  </si>
  <si>
    <t>Derivative financial liabilities</t>
  </si>
  <si>
    <t>Asset backed loan notes</t>
  </si>
  <si>
    <t>Covered bonds</t>
  </si>
  <si>
    <t>Retail bond issuance</t>
  </si>
  <si>
    <t>Corporate bond issuance</t>
  </si>
  <si>
    <t>Central bank facilities</t>
  </si>
  <si>
    <t>Sale and repurchase agreements</t>
  </si>
  <si>
    <t>Sundry liabilities</t>
  </si>
  <si>
    <t>Provisions</t>
  </si>
  <si>
    <t>Deferred tax liabilities</t>
  </si>
  <si>
    <t>Total assets</t>
  </si>
  <si>
    <t>Total Liabilities</t>
  </si>
  <si>
    <t>Equity</t>
  </si>
  <si>
    <t>Called up share capital</t>
  </si>
  <si>
    <t>Reserves</t>
  </si>
  <si>
    <t>Own shares</t>
  </si>
  <si>
    <t>Total equity</t>
  </si>
  <si>
    <t>Total Liabilities and equity</t>
  </si>
  <si>
    <t>Asset Schedule</t>
  </si>
  <si>
    <t>Opening Balance</t>
  </si>
  <si>
    <t>Originations</t>
  </si>
  <si>
    <t>Repayments</t>
  </si>
  <si>
    <t>Closing Balances</t>
  </si>
  <si>
    <t>Mortgage Lending</t>
  </si>
  <si>
    <t>Commercial Lending</t>
  </si>
  <si>
    <t>Closing Balance</t>
  </si>
  <si>
    <t>Model Assumptions</t>
  </si>
  <si>
    <t xml:space="preserve">Loan Book </t>
  </si>
  <si>
    <t>Mortgage Lending - Redemption Rate</t>
  </si>
  <si>
    <t>Commercial Lending - Redemption Rate</t>
  </si>
  <si>
    <t>Commercial Origination Growth</t>
  </si>
  <si>
    <t>Mortgage Lending - Origination Rate</t>
  </si>
  <si>
    <t>Commercial Lending - Origination Rates</t>
  </si>
  <si>
    <t>Average Balance</t>
  </si>
  <si>
    <t>Funding Schedule</t>
  </si>
  <si>
    <t>Total</t>
  </si>
  <si>
    <t>Mortgage Origination Growth</t>
  </si>
  <si>
    <t>Forecast Assumptions</t>
  </si>
  <si>
    <t>Closing Loan Book</t>
  </si>
  <si>
    <t>Interest-earning assets</t>
  </si>
  <si>
    <t>Average mortgage lending</t>
  </si>
  <si>
    <t>Mortgage asset yield</t>
  </si>
  <si>
    <t>Mortgage interest income</t>
  </si>
  <si>
    <t>Average commerical lending</t>
  </si>
  <si>
    <t>Commercial asset yield</t>
  </si>
  <si>
    <t>Commercial interest income</t>
  </si>
  <si>
    <t>Total Interest Receivable</t>
  </si>
  <si>
    <t>Funding</t>
  </si>
  <si>
    <t>Average retail deposits</t>
  </si>
  <si>
    <t>Deposit cost</t>
  </si>
  <si>
    <t>Deposit interest expense</t>
  </si>
  <si>
    <t>Total Interest Payable</t>
  </si>
  <si>
    <t>NIM</t>
  </si>
  <si>
    <t>NII Schedule</t>
  </si>
  <si>
    <t>Total Funding</t>
  </si>
  <si>
    <t>YoY deposit growth</t>
  </si>
  <si>
    <t>Sale &amp; repurchase agreements</t>
  </si>
  <si>
    <t>Average Loan Book</t>
  </si>
  <si>
    <t>Deposit Growth Rates</t>
  </si>
  <si>
    <t>Assumptions</t>
  </si>
  <si>
    <t>Central Bank Funding</t>
  </si>
  <si>
    <t>Sale and Repurchase Agreement Growth Rate</t>
  </si>
  <si>
    <t>£m</t>
  </si>
  <si>
    <t>%</t>
  </si>
  <si>
    <t>Deposits as % of funding base</t>
  </si>
  <si>
    <t>Corporate Bond Issuance</t>
  </si>
  <si>
    <t>Loan-to-deposit ratio</t>
  </si>
  <si>
    <t>Funding surplus / (shortfall) vs loan book</t>
  </si>
  <si>
    <t>Covered bonds - Closing Balance</t>
  </si>
  <si>
    <t>Covered Bonds - Opening Balance</t>
  </si>
  <si>
    <t>Bond Schedules</t>
  </si>
  <si>
    <t>Issuance</t>
  </si>
  <si>
    <t>TFSME</t>
  </si>
  <si>
    <t>Repayment / (Maturity)</t>
  </si>
  <si>
    <t>Liquidity funding</t>
  </si>
  <si>
    <t>Central bank - total funding</t>
  </si>
  <si>
    <t>ILTR / other central-bank funding</t>
  </si>
  <si>
    <t>TFSME Issuance / (Repayment)</t>
  </si>
  <si>
    <t>ILTR Issuance / (Repayment)</t>
  </si>
  <si>
    <t>Funding Assumptions</t>
  </si>
  <si>
    <t>Short-term funding cost</t>
  </si>
  <si>
    <t>SONIA</t>
  </si>
  <si>
    <t>Retail Deposit Spread</t>
  </si>
  <si>
    <t>Covered bond spread</t>
  </si>
  <si>
    <t>ILTR Spread</t>
  </si>
  <si>
    <t>Repo Spread</t>
  </si>
  <si>
    <t>Short-term borrowing spread</t>
  </si>
  <si>
    <t>Bank Rate</t>
  </si>
  <si>
    <t>Total Liquidity Funding</t>
  </si>
  <si>
    <t>Funding Metrics</t>
  </si>
  <si>
    <t>Mortgage Asset Yield</t>
  </si>
  <si>
    <t>Commercial Asset Yield</t>
  </si>
  <si>
    <t>Average short-term funding</t>
  </si>
  <si>
    <t>Retail Deposits</t>
  </si>
  <si>
    <t>Retail Deposits - Opening Balance</t>
  </si>
  <si>
    <t>Deposit Growth / (Closing)</t>
  </si>
  <si>
    <t>Closing Retail Deposits</t>
  </si>
  <si>
    <t>Average Retail Deposits</t>
  </si>
  <si>
    <t>Asset yield / NII assumptions</t>
  </si>
  <si>
    <t>Retail Deposit Cost (SONIA + Retail deposit spread)</t>
  </si>
  <si>
    <t xml:space="preserve">Covered bonds - Average Balance </t>
  </si>
  <si>
    <t>Average covered bond funding</t>
  </si>
  <si>
    <t>Covered bond funding cost</t>
  </si>
  <si>
    <t>Short-term funding expense</t>
  </si>
  <si>
    <t>Covered bond funding expense</t>
  </si>
  <si>
    <t>ILTR funding</t>
  </si>
  <si>
    <t>ILTR funding cost</t>
  </si>
  <si>
    <t>ILTR expense</t>
  </si>
  <si>
    <t>Average Interest-Earning Assets</t>
  </si>
  <si>
    <t>Corporate bond funding expense</t>
  </si>
  <si>
    <t>Corporate Bond - Opening Balance</t>
  </si>
  <si>
    <t>Corporate bond - Closing Balance</t>
  </si>
  <si>
    <t>Corporate bond - Average Balance</t>
  </si>
  <si>
    <t>Cash / central bank reserves</t>
  </si>
  <si>
    <t>Liquidity / Treasury Assets</t>
  </si>
  <si>
    <t>Total Liquid Assets</t>
  </si>
  <si>
    <t>Average Liquid Assets</t>
  </si>
  <si>
    <t>Cash/reserves yield</t>
  </si>
  <si>
    <t>Investment securities yield</t>
  </si>
  <si>
    <t>Cash / reserves interest income</t>
  </si>
  <si>
    <t>Securities interest income</t>
  </si>
  <si>
    <t>Total liquid asset interest income</t>
  </si>
  <si>
    <t>Cash/reserves spread</t>
  </si>
  <si>
    <t>Investment securities spread</t>
  </si>
  <si>
    <t>Macro Assumptions</t>
  </si>
  <si>
    <t>Liquidity / Treasury Assets Schedule</t>
  </si>
  <si>
    <t>Mortgage lending</t>
  </si>
  <si>
    <t>Average mortgage loans</t>
  </si>
  <si>
    <t>Mortgage cost of risk</t>
  </si>
  <si>
    <t>Mortgage impairment charge</t>
  </si>
  <si>
    <t>Commercial lending</t>
  </si>
  <si>
    <t>Average commercial loans</t>
  </si>
  <si>
    <t>Commercial cost of risk</t>
  </si>
  <si>
    <t>Commercial impairment charge</t>
  </si>
  <si>
    <t>Credit Performance Assumptions</t>
  </si>
  <si>
    <t>bps</t>
  </si>
  <si>
    <t>Total Impairment Charge</t>
  </si>
  <si>
    <t>Credit / Impairments schedule</t>
  </si>
  <si>
    <t>Average Total Loans</t>
  </si>
  <si>
    <t>Group cost of risk</t>
  </si>
  <si>
    <t>Other income + Operating Expenses schedule</t>
  </si>
  <si>
    <t>Gross leasing income</t>
  </si>
  <si>
    <t>Total other operating income</t>
  </si>
  <si>
    <t>Staff costs</t>
  </si>
  <si>
    <t>Other operating expenses</t>
  </si>
  <si>
    <t>Total operating expenses</t>
  </si>
  <si>
    <t>Operating Schedule Assumptions</t>
  </si>
  <si>
    <t>Leasing-related costs</t>
  </si>
  <si>
    <t>Lease income and cost growth rate</t>
  </si>
  <si>
    <t>Other income growth rate</t>
  </si>
  <si>
    <t>Auditor remuneration</t>
  </si>
  <si>
    <t>Bank of England Levy</t>
  </si>
  <si>
    <t>Amortisation of intangible assets</t>
  </si>
  <si>
    <t>Depreciation of operational assets</t>
  </si>
  <si>
    <t>Headcount growth</t>
  </si>
  <si>
    <t>Wage Inflation</t>
  </si>
  <si>
    <t>Depreciation and Amortisation Schedule</t>
  </si>
  <si>
    <t>PP&amp;E - beginning balance</t>
  </si>
  <si>
    <t>Depreciation</t>
  </si>
  <si>
    <t>PP&amp;E - ending balance</t>
  </si>
  <si>
    <t>PP&amp;E</t>
  </si>
  <si>
    <t>Intangible assets - start of period</t>
  </si>
  <si>
    <t>Goodwill</t>
  </si>
  <si>
    <t>Capital Expenditure on PP&amp;E</t>
  </si>
  <si>
    <t>Capital expenditure on intangible assets</t>
  </si>
  <si>
    <t>Amortization</t>
  </si>
  <si>
    <t>Intangible assets - end of period</t>
  </si>
  <si>
    <t>Intangible assets - start of period (exc. Goodwill)</t>
  </si>
  <si>
    <t>Depreciation Schedule</t>
  </si>
  <si>
    <t>Depreciation, PP&amp;E and Amortization</t>
  </si>
  <si>
    <t>years</t>
  </si>
  <si>
    <t>Useful life of PP&amp;E</t>
  </si>
  <si>
    <t>Impairment of Goodwill</t>
  </si>
  <si>
    <t>Capital Expenditure Growth Rate</t>
  </si>
  <si>
    <t>Depreciation on 2026  capex</t>
  </si>
  <si>
    <t>Depreciation on 2028 capex</t>
  </si>
  <si>
    <t>Depreciation on 2027  capex</t>
  </si>
  <si>
    <t>Total Depreciation</t>
  </si>
  <si>
    <t>Net book value of disposals</t>
  </si>
  <si>
    <t>* Disposals held flat</t>
  </si>
  <si>
    <t>PP&amp;E - 2025</t>
  </si>
  <si>
    <t>Amortization Schedule</t>
  </si>
  <si>
    <t>Amortization on 2026 capex</t>
  </si>
  <si>
    <t>Amortization on 2028 capex</t>
  </si>
  <si>
    <t>Amortization on 2027 capex</t>
  </si>
  <si>
    <t>Intangible Assets - 2025</t>
  </si>
  <si>
    <t>Total Amortization</t>
  </si>
  <si>
    <t>Useful Life of PP&amp;E and intangles</t>
  </si>
  <si>
    <t>Capital/RWA schedule</t>
  </si>
  <si>
    <t>Credit Risk</t>
  </si>
  <si>
    <t>Closing Mortgage Loans</t>
  </si>
  <si>
    <t>Mortgage RWA density</t>
  </si>
  <si>
    <t>Mortgage RWA</t>
  </si>
  <si>
    <t>Closing Commercial Loans</t>
  </si>
  <si>
    <t>Commercial RWA density</t>
  </si>
  <si>
    <t>Commercial RWA</t>
  </si>
  <si>
    <t>Total Credit Risk RWA</t>
  </si>
  <si>
    <t>Operational risk RWA</t>
  </si>
  <si>
    <t>Other RWA</t>
  </si>
  <si>
    <t>Total RWA</t>
  </si>
  <si>
    <t>RWA/Capital Assumptions</t>
  </si>
  <si>
    <t>Operational RWA growth</t>
  </si>
  <si>
    <t>CET1 Capital</t>
  </si>
  <si>
    <t>Opening CET1 capital</t>
  </si>
  <si>
    <t>Net profit</t>
  </si>
  <si>
    <t>Dividends paid</t>
  </si>
  <si>
    <t xml:space="preserve">Share buybacks </t>
  </si>
  <si>
    <t>Other CET1 movements / regulatory adjustments</t>
  </si>
  <si>
    <t>Closing CET1 capital</t>
  </si>
  <si>
    <t>Dividend payout ratio</t>
  </si>
  <si>
    <t>Share buybacks</t>
  </si>
  <si>
    <t>CET1 requirement</t>
  </si>
  <si>
    <t>CET1 Ratio</t>
  </si>
  <si>
    <t>CET1 headroom</t>
  </si>
  <si>
    <t>Deposit Growth Rate</t>
  </si>
  <si>
    <t>Liability provisions</t>
  </si>
  <si>
    <t>Fair value movements</t>
  </si>
  <si>
    <t>Other P&amp;L/Tax Assumptions</t>
  </si>
  <si>
    <t>Effective Tax Rate</t>
  </si>
  <si>
    <t>Covered Bond Repayment</t>
  </si>
  <si>
    <t xml:space="preserve">Covered Bond Issuance </t>
  </si>
  <si>
    <t>Corporate Bond Repayment</t>
  </si>
  <si>
    <t>* Remaining balance paid down as scheme ends</t>
  </si>
  <si>
    <t>Notes</t>
  </si>
  <si>
    <t>Average corporate bond funding</t>
  </si>
  <si>
    <t>Corporate bond funding cost</t>
  </si>
  <si>
    <t>Revenue Growth</t>
  </si>
  <si>
    <t>Equity Schedule</t>
  </si>
  <si>
    <t>Opening equity</t>
  </si>
  <si>
    <t>Dividends</t>
  </si>
  <si>
    <t>Buybacks</t>
  </si>
  <si>
    <t>Closing equity</t>
  </si>
  <si>
    <t>Tier 2 capital</t>
  </si>
  <si>
    <t>Total Regulatory capital</t>
  </si>
  <si>
    <t>Total capital ratio</t>
  </si>
  <si>
    <t>Cash Interest Income (from treasury schedule)</t>
  </si>
  <si>
    <t>Balance?</t>
  </si>
  <si>
    <t>Inflation</t>
  </si>
  <si>
    <t>Closing tangible equity</t>
  </si>
  <si>
    <t>Net Income</t>
  </si>
  <si>
    <t>Return on Tangible Equity (RoTE)</t>
  </si>
  <si>
    <t>Return on Equity (ROE)</t>
  </si>
  <si>
    <t xml:space="preserve">Average equity </t>
  </si>
  <si>
    <t>Average tangible equity</t>
  </si>
  <si>
    <t>Average Repo Funding</t>
  </si>
  <si>
    <t>Repo funding cost</t>
  </si>
  <si>
    <t>Repo funding expense</t>
  </si>
  <si>
    <t>Mortgage asset spread</t>
  </si>
  <si>
    <t>Commercial asset spread</t>
  </si>
  <si>
    <t>Corporate bond rate</t>
  </si>
  <si>
    <t>YoY Growth</t>
  </si>
  <si>
    <t xml:space="preserve">YoY Growth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</si>
</sst>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F800]dddd\,\ mmmm\ dd\,\ yyyy"/>
    <numFmt numFmtId="165" formatCode="0.0"/>
    <numFmt numFmtId="166" formatCode="0.0&quot;p&quot;"/>
    <numFmt numFmtId="167" formatCode="0.0%"/>
    <numFmt numFmtId="168" formatCode="#,##0.0;\(#,##0.0\);\-"/>
    <numFmt numFmtId="169" formatCode="&quot;£&quot;#,##0.0;\(&quot;£&quot;#,##0.0\);\-"/>
    <numFmt numFmtId="170" formatCode="&quot;£&quot;#,##0.0"/>
    <numFmt numFmtId="171" formatCode="&quot;£&quot;#,##0.00"/>
    <numFmt numFmtId="172" formatCode="&quot;FY&quot;0"/>
    <numFmt numFmtId="173" formatCode="0&quot;bps&quot;"/>
    <numFmt numFmtId="174" formatCode="0&quot; years&quot;"/>
    <numFmt numFmtId="175" formatCode="0&quot;A&quot;"/>
    <numFmt numFmtId="176" formatCode="0&quot;F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2" fillId="0" borderId="1" xfId="0" applyFont="1" applyBorder="1"/>
    <xf numFmtId="9" fontId="0" fillId="0" borderId="0" xfId="1" applyFont="1"/>
    <xf numFmtId="0" fontId="4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4" fillId="0" borderId="1" xfId="0" applyFont="1" applyBorder="1"/>
    <xf numFmtId="165" fontId="2" fillId="0" borderId="2" xfId="0" applyNumberFormat="1" applyFont="1" applyBorder="1"/>
    <xf numFmtId="166" fontId="5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1" applyFont="1" applyBorder="1"/>
    <xf numFmtId="9" fontId="0" fillId="0" borderId="6" xfId="1" applyFont="1" applyBorder="1"/>
    <xf numFmtId="167" fontId="0" fillId="0" borderId="0" xfId="1" applyNumberFormat="1" applyFont="1" applyBorder="1"/>
    <xf numFmtId="167" fontId="0" fillId="0" borderId="6" xfId="1" applyNumberFormat="1" applyFont="1" applyBorder="1"/>
    <xf numFmtId="165" fontId="0" fillId="0" borderId="0" xfId="0" applyNumberFormat="1"/>
    <xf numFmtId="165" fontId="0" fillId="0" borderId="2" xfId="0" applyNumberFormat="1" applyBorder="1"/>
    <xf numFmtId="1" fontId="0" fillId="0" borderId="0" xfId="0" applyNumberFormat="1"/>
    <xf numFmtId="168" fontId="0" fillId="0" borderId="0" xfId="0" applyNumberFormat="1"/>
    <xf numFmtId="168" fontId="2" fillId="0" borderId="2" xfId="0" applyNumberFormat="1" applyFont="1" applyBorder="1"/>
    <xf numFmtId="168" fontId="2" fillId="0" borderId="0" xfId="0" applyNumberFormat="1" applyFont="1"/>
    <xf numFmtId="9" fontId="0" fillId="0" borderId="6" xfId="0" applyNumberFormat="1" applyBorder="1"/>
    <xf numFmtId="9" fontId="0" fillId="0" borderId="8" xfId="0" applyNumberFormat="1" applyBorder="1"/>
    <xf numFmtId="169" fontId="0" fillId="0" borderId="0" xfId="0" applyNumberFormat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2" xfId="0" applyNumberFormat="1" applyBorder="1"/>
    <xf numFmtId="169" fontId="4" fillId="0" borderId="1" xfId="0" applyNumberFormat="1" applyFont="1" applyBorder="1"/>
    <xf numFmtId="169" fontId="0" fillId="0" borderId="1" xfId="0" applyNumberFormat="1" applyBorder="1"/>
    <xf numFmtId="0" fontId="0" fillId="0" borderId="9" xfId="0" applyBorder="1"/>
    <xf numFmtId="169" fontId="4" fillId="0" borderId="9" xfId="0" applyNumberFormat="1" applyFont="1" applyBorder="1"/>
    <xf numFmtId="169" fontId="0" fillId="0" borderId="9" xfId="0" applyNumberFormat="1" applyBorder="1"/>
    <xf numFmtId="170" fontId="0" fillId="0" borderId="0" xfId="0" applyNumberFormat="1"/>
    <xf numFmtId="171" fontId="0" fillId="0" borderId="0" xfId="0" applyNumberFormat="1"/>
    <xf numFmtId="167" fontId="1" fillId="0" borderId="0" xfId="1" applyNumberFormat="1" applyFont="1" applyBorder="1"/>
    <xf numFmtId="9" fontId="0" fillId="0" borderId="1" xfId="1" applyFont="1" applyBorder="1"/>
    <xf numFmtId="9" fontId="0" fillId="0" borderId="8" xfId="1" applyFont="1" applyBorder="1"/>
    <xf numFmtId="169" fontId="2" fillId="0" borderId="0" xfId="0" applyNumberFormat="1" applyFont="1"/>
    <xf numFmtId="167" fontId="0" fillId="0" borderId="0" xfId="1" applyNumberFormat="1" applyFont="1"/>
    <xf numFmtId="169" fontId="2" fillId="0" borderId="2" xfId="0" applyNumberFormat="1" applyFont="1" applyBorder="1"/>
    <xf numFmtId="172" fontId="2" fillId="0" borderId="0" xfId="1" applyNumberFormat="1" applyFont="1"/>
    <xf numFmtId="169" fontId="0" fillId="0" borderId="6" xfId="0" applyNumberFormat="1" applyBorder="1"/>
    <xf numFmtId="10" fontId="0" fillId="0" borderId="0" xfId="1" applyNumberFormat="1" applyFont="1"/>
    <xf numFmtId="170" fontId="0" fillId="0" borderId="2" xfId="0" applyNumberFormat="1" applyBorder="1"/>
    <xf numFmtId="0" fontId="2" fillId="0" borderId="3" xfId="0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67" fontId="0" fillId="0" borderId="1" xfId="1" applyNumberFormat="1" applyFont="1" applyBorder="1"/>
    <xf numFmtId="10" fontId="0" fillId="0" borderId="1" xfId="1" applyNumberFormat="1" applyFont="1" applyBorder="1"/>
    <xf numFmtId="10" fontId="0" fillId="0" borderId="8" xfId="1" applyNumberFormat="1" applyFont="1" applyBorder="1"/>
    <xf numFmtId="171" fontId="2" fillId="0" borderId="0" xfId="0" applyNumberFormat="1" applyFont="1"/>
    <xf numFmtId="170" fontId="2" fillId="0" borderId="0" xfId="0" applyNumberFormat="1" applyFont="1"/>
    <xf numFmtId="10" fontId="2" fillId="0" borderId="0" xfId="1" applyNumberFormat="1" applyFont="1"/>
    <xf numFmtId="0" fontId="2" fillId="0" borderId="4" xfId="0" applyFont="1" applyBorder="1"/>
    <xf numFmtId="167" fontId="2" fillId="0" borderId="1" xfId="1" applyNumberFormat="1" applyFont="1" applyBorder="1"/>
    <xf numFmtId="10" fontId="1" fillId="0" borderId="0" xfId="1" applyNumberFormat="1" applyFont="1" applyBorder="1"/>
    <xf numFmtId="10" fontId="1" fillId="0" borderId="6" xfId="1" applyNumberFormat="1" applyFont="1" applyBorder="1"/>
    <xf numFmtId="10" fontId="1" fillId="0" borderId="1" xfId="1" applyNumberFormat="1" applyFont="1" applyBorder="1"/>
    <xf numFmtId="10" fontId="1" fillId="0" borderId="8" xfId="1" applyNumberFormat="1" applyFont="1" applyBorder="1"/>
    <xf numFmtId="173" fontId="2" fillId="0" borderId="0" xfId="0" applyNumberFormat="1" applyFont="1"/>
    <xf numFmtId="168" fontId="0" fillId="0" borderId="1" xfId="0" applyNumberFormat="1" applyBorder="1"/>
    <xf numFmtId="165" fontId="4" fillId="0" borderId="0" xfId="0" applyNumberFormat="1" applyFont="1"/>
    <xf numFmtId="165" fontId="0" fillId="0" borderId="1" xfId="0" applyNumberFormat="1" applyBorder="1"/>
    <xf numFmtId="165" fontId="2" fillId="0" borderId="0" xfId="0" applyNumberFormat="1" applyFont="1"/>
    <xf numFmtId="0" fontId="4" fillId="0" borderId="2" xfId="0" applyFont="1" applyBorder="1"/>
    <xf numFmtId="165" fontId="4" fillId="0" borderId="1" xfId="0" applyNumberFormat="1" applyFont="1" applyBorder="1"/>
    <xf numFmtId="174" fontId="0" fillId="0" borderId="0" xfId="0" applyNumberFormat="1"/>
    <xf numFmtId="0" fontId="0" fillId="2" borderId="0" xfId="0" applyFill="1"/>
    <xf numFmtId="169" fontId="7" fillId="0" borderId="0" xfId="0" applyNumberFormat="1" applyFont="1"/>
    <xf numFmtId="169" fontId="8" fillId="0" borderId="0" xfId="0" applyNumberFormat="1" applyFont="1"/>
    <xf numFmtId="169" fontId="7" fillId="0" borderId="2" xfId="0" applyNumberFormat="1" applyFont="1" applyBorder="1"/>
    <xf numFmtId="170" fontId="0" fillId="0" borderId="1" xfId="0" applyNumberFormat="1" applyBorder="1"/>
    <xf numFmtId="170" fontId="4" fillId="0" borderId="2" xfId="0" applyNumberFormat="1" applyFont="1" applyBorder="1"/>
    <xf numFmtId="170" fontId="4" fillId="0" borderId="1" xfId="0" applyNumberFormat="1" applyFont="1" applyBorder="1"/>
    <xf numFmtId="9" fontId="0" fillId="0" borderId="0" xfId="1" applyFont="1" applyFill="1" applyBorder="1"/>
    <xf numFmtId="167" fontId="2" fillId="0" borderId="0" xfId="1" applyNumberFormat="1" applyFont="1"/>
    <xf numFmtId="174" fontId="0" fillId="0" borderId="6" xfId="0" applyNumberFormat="1" applyBorder="1"/>
    <xf numFmtId="2" fontId="0" fillId="0" borderId="0" xfId="1" applyNumberFormat="1" applyFont="1" applyBorder="1"/>
    <xf numFmtId="2" fontId="0" fillId="0" borderId="6" xfId="1" applyNumberFormat="1" applyFont="1" applyBorder="1"/>
    <xf numFmtId="167" fontId="2" fillId="0" borderId="0" xfId="1" applyNumberFormat="1" applyFont="1" applyFill="1" applyBorder="1"/>
    <xf numFmtId="169" fontId="6" fillId="0" borderId="0" xfId="0" applyNumberFormat="1" applyFont="1"/>
    <xf numFmtId="0" fontId="2" fillId="0" borderId="5" xfId="0" applyFont="1" applyBorder="1"/>
    <xf numFmtId="167" fontId="1" fillId="0" borderId="6" xfId="1" applyNumberFormat="1" applyFont="1" applyBorder="1"/>
    <xf numFmtId="167" fontId="1" fillId="0" borderId="1" xfId="1" applyNumberFormat="1" applyFont="1" applyBorder="1"/>
    <xf numFmtId="167" fontId="1" fillId="0" borderId="8" xfId="1" applyNumberFormat="1" applyFont="1" applyBorder="1"/>
    <xf numFmtId="173" fontId="0" fillId="0" borderId="1" xfId="0" applyNumberFormat="1" applyBorder="1"/>
    <xf numFmtId="173" fontId="0" fillId="0" borderId="0" xfId="0" applyNumberFormat="1"/>
    <xf numFmtId="173" fontId="0" fillId="0" borderId="6" xfId="0" applyNumberFormat="1" applyBorder="1"/>
    <xf numFmtId="173" fontId="0" fillId="0" borderId="8" xfId="0" applyNumberFormat="1" applyBorder="1"/>
    <xf numFmtId="170" fontId="4" fillId="0" borderId="0" xfId="0" applyNumberFormat="1" applyFont="1"/>
    <xf numFmtId="175" fontId="2" fillId="0" borderId="1" xfId="0" applyNumberFormat="1" applyFont="1" applyBorder="1"/>
    <xf numFmtId="176" fontId="2" fillId="0" borderId="1" xfId="0" applyNumberFormat="1" applyFont="1" applyBorder="1"/>
    <xf numFmtId="0" fontId="2" fillId="0" borderId="9" xfId="0" applyFont="1" applyBorder="1"/>
    <xf numFmtId="170" fontId="2" fillId="0" borderId="9" xfId="0" applyNumberFormat="1" applyFont="1" applyBorder="1"/>
    <xf numFmtId="10" fontId="4" fillId="0" borderId="0" xfId="1" applyNumberFormat="1" applyFont="1"/>
    <xf numFmtId="172" fontId="6" fillId="0" borderId="0" xfId="1" applyNumberFormat="1" applyFont="1"/>
    <xf numFmtId="9" fontId="4" fillId="0" borderId="0" xfId="1" applyFont="1"/>
    <xf numFmtId="167" fontId="4" fillId="0" borderId="0" xfId="1" applyNumberFormat="1" applyFont="1"/>
    <xf numFmtId="1" fontId="4" fillId="0" borderId="0" xfId="1" applyNumberFormat="1" applyFont="1"/>
    <xf numFmtId="1" fontId="4" fillId="0" borderId="0" xfId="0" applyNumberFormat="1" applyFont="1"/>
    <xf numFmtId="169" fontId="4" fillId="2" borderId="0" xfId="0" applyNumberFormat="1" applyFont="1" applyFill="1"/>
    <xf numFmtId="173" fontId="4" fillId="0" borderId="0" xfId="0" applyNumberFormat="1" applyFont="1"/>
    <xf numFmtId="174" fontId="4" fillId="0" borderId="0" xfId="0" applyNumberFormat="1" applyFont="1"/>
    <xf numFmtId="170" fontId="2" fillId="0" borderId="2" xfId="0" applyNumberFormat="1" applyFont="1" applyBorder="1"/>
    <xf numFmtId="10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8FFD-10C2-4AE9-904F-88D2A28BAA10}">
  <dimension ref="B2:B5"/>
  <sheetViews>
    <sheetView showGridLines="0" workbookViewId="0">
      <selection activeCell="B6" sqref="B6"/>
    </sheetView>
  </sheetViews>
  <sheetFormatPr defaultRowHeight="14.4" x14ac:dyDescent="0.3"/>
  <cols>
    <col min="2" max="2" width="50.77734375" customWidth="1"/>
  </cols>
  <sheetData>
    <row r="2" spans="2:2" ht="25.8" x14ac:dyDescent="0.5">
      <c r="B2" s="1" t="s">
        <v>0</v>
      </c>
    </row>
    <row r="4" spans="2:2" x14ac:dyDescent="0.3">
      <c r="B4" t="s">
        <v>1</v>
      </c>
    </row>
    <row r="5" spans="2:2" x14ac:dyDescent="0.3">
      <c r="B5" s="2">
        <f>DATE(2026, 9, 25)</f>
        <v>46290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E84-BC98-4EF8-8B10-DF23F73FD3D0}">
  <dimension ref="B2:J81"/>
  <sheetViews>
    <sheetView showGridLines="0" topLeftCell="A2" workbookViewId="0">
      <selection activeCell="B33" sqref="B33"/>
    </sheetView>
  </sheetViews>
  <sheetFormatPr defaultRowHeight="14.4" x14ac:dyDescent="0.3"/>
  <cols>
    <col min="2" max="2" width="41.77734375" bestFit="1" customWidth="1"/>
    <col min="3" max="3" width="10.77734375" customWidth="1"/>
    <col min="8" max="8" width="43.5546875" bestFit="1" customWidth="1"/>
  </cols>
  <sheetData>
    <row r="2" spans="2:10" ht="25.8" x14ac:dyDescent="0.5">
      <c r="B2" s="3" t="str">
        <f>Cover!$B$2</f>
        <v>Paragon Bank</v>
      </c>
      <c r="C2" s="3"/>
      <c r="D2" s="3"/>
      <c r="E2" s="4"/>
      <c r="F2" s="4"/>
      <c r="G2" s="4"/>
      <c r="H2" s="4"/>
      <c r="I2" s="4"/>
      <c r="J2" s="4"/>
    </row>
    <row r="3" spans="2:10" x14ac:dyDescent="0.3">
      <c r="B3" s="4" t="s">
        <v>71</v>
      </c>
      <c r="C3" s="4"/>
      <c r="D3" s="4"/>
      <c r="E3" s="4"/>
      <c r="F3" s="4"/>
      <c r="G3" s="4"/>
      <c r="H3" s="4"/>
      <c r="I3" s="4"/>
      <c r="J3" s="4"/>
    </row>
    <row r="5" spans="2:10" x14ac:dyDescent="0.3">
      <c r="C5" t="s">
        <v>3</v>
      </c>
      <c r="D5" s="50">
        <v>2026</v>
      </c>
      <c r="E5" s="50">
        <f>D5+1</f>
        <v>2027</v>
      </c>
      <c r="F5" s="50">
        <f t="shared" ref="F5" si="0">E5+1</f>
        <v>2028</v>
      </c>
      <c r="H5" t="s">
        <v>268</v>
      </c>
    </row>
    <row r="6" spans="2:10" x14ac:dyDescent="0.3">
      <c r="B6" s="5" t="s">
        <v>169</v>
      </c>
      <c r="D6" s="50"/>
      <c r="E6" s="50"/>
      <c r="F6" s="50"/>
    </row>
    <row r="7" spans="2:10" x14ac:dyDescent="0.3">
      <c r="B7" s="5"/>
      <c r="D7" s="50"/>
      <c r="E7" s="50"/>
      <c r="F7" s="50"/>
    </row>
    <row r="8" spans="2:10" x14ac:dyDescent="0.3">
      <c r="B8" t="s">
        <v>132</v>
      </c>
      <c r="C8" t="s">
        <v>108</v>
      </c>
      <c r="D8" s="104">
        <v>3.7499999999999999E-2</v>
      </c>
      <c r="E8" s="104">
        <v>4.4999999999999998E-2</v>
      </c>
      <c r="F8" s="104">
        <v>0.04</v>
      </c>
    </row>
    <row r="9" spans="2:10" x14ac:dyDescent="0.3">
      <c r="B9" t="s">
        <v>126</v>
      </c>
      <c r="C9" t="s">
        <v>108</v>
      </c>
      <c r="D9" s="104">
        <v>4.1300000000000003E-2</v>
      </c>
      <c r="E9" s="104">
        <v>4.7699999999999999E-2</v>
      </c>
      <c r="F9" s="104">
        <v>4.2500000000000003E-2</v>
      </c>
    </row>
    <row r="10" spans="2:10" x14ac:dyDescent="0.3">
      <c r="B10" t="s">
        <v>282</v>
      </c>
      <c r="C10" t="s">
        <v>108</v>
      </c>
      <c r="D10" s="104">
        <v>3.7499999999999999E-2</v>
      </c>
      <c r="E10" s="104">
        <v>3.5000000000000003E-2</v>
      </c>
      <c r="F10" s="104">
        <v>2.5000000000000001E-2</v>
      </c>
    </row>
    <row r="11" spans="2:10" x14ac:dyDescent="0.3">
      <c r="D11" s="105"/>
      <c r="E11" s="105"/>
      <c r="F11" s="105"/>
    </row>
    <row r="12" spans="2:10" x14ac:dyDescent="0.3">
      <c r="B12" s="5" t="s">
        <v>72</v>
      </c>
      <c r="D12" s="105"/>
      <c r="E12" s="105"/>
      <c r="F12" s="105"/>
    </row>
    <row r="13" spans="2:10" x14ac:dyDescent="0.3">
      <c r="D13" s="8"/>
      <c r="E13" s="8"/>
      <c r="F13" s="8"/>
    </row>
    <row r="14" spans="2:10" x14ac:dyDescent="0.3">
      <c r="B14" t="s">
        <v>76</v>
      </c>
      <c r="C14" t="s">
        <v>108</v>
      </c>
      <c r="D14" s="106">
        <v>0.05</v>
      </c>
      <c r="E14" s="106">
        <v>0.05</v>
      </c>
      <c r="F14" s="106">
        <v>0.05</v>
      </c>
    </row>
    <row r="15" spans="2:10" x14ac:dyDescent="0.3">
      <c r="B15" t="s">
        <v>77</v>
      </c>
      <c r="C15" t="s">
        <v>108</v>
      </c>
      <c r="D15" s="107">
        <v>7.4999999999999997E-2</v>
      </c>
      <c r="E15" s="107">
        <v>7.4999999999999997E-2</v>
      </c>
      <c r="F15" s="107">
        <v>7.4999999999999997E-2</v>
      </c>
    </row>
    <row r="16" spans="2:10" x14ac:dyDescent="0.3">
      <c r="B16" t="s">
        <v>73</v>
      </c>
      <c r="C16" t="s">
        <v>108</v>
      </c>
      <c r="D16" s="106">
        <v>0.08</v>
      </c>
      <c r="E16" s="106">
        <v>0.08</v>
      </c>
      <c r="F16" s="106">
        <v>0.08</v>
      </c>
    </row>
    <row r="17" spans="2:8" x14ac:dyDescent="0.3">
      <c r="B17" t="s">
        <v>74</v>
      </c>
      <c r="C17" t="s">
        <v>108</v>
      </c>
      <c r="D17" s="106">
        <v>0.45</v>
      </c>
      <c r="E17" s="106">
        <v>0.45</v>
      </c>
      <c r="F17" s="106">
        <v>0.45</v>
      </c>
    </row>
    <row r="18" spans="2:8" x14ac:dyDescent="0.3">
      <c r="D18" s="8"/>
      <c r="E18" s="8"/>
      <c r="F18" s="8"/>
    </row>
    <row r="19" spans="2:8" x14ac:dyDescent="0.3">
      <c r="B19" s="5" t="s">
        <v>124</v>
      </c>
      <c r="C19" s="5"/>
      <c r="D19" s="105"/>
      <c r="E19" s="105"/>
      <c r="F19" s="105"/>
    </row>
    <row r="20" spans="2:8" x14ac:dyDescent="0.3">
      <c r="D20" s="108"/>
      <c r="E20" s="109"/>
      <c r="F20" s="109"/>
    </row>
    <row r="21" spans="2:8" x14ac:dyDescent="0.3">
      <c r="B21" t="s">
        <v>103</v>
      </c>
      <c r="C21" t="s">
        <v>108</v>
      </c>
      <c r="D21" s="106">
        <v>0.01</v>
      </c>
      <c r="E21" s="106">
        <v>0.01</v>
      </c>
      <c r="F21" s="106">
        <v>0.03</v>
      </c>
    </row>
    <row r="22" spans="2:8" x14ac:dyDescent="0.3">
      <c r="B22" t="s">
        <v>265</v>
      </c>
      <c r="C22" t="s">
        <v>107</v>
      </c>
      <c r="D22" s="34">
        <v>500</v>
      </c>
      <c r="E22" s="34">
        <v>0</v>
      </c>
      <c r="F22" s="34">
        <v>500</v>
      </c>
    </row>
    <row r="23" spans="2:8" x14ac:dyDescent="0.3">
      <c r="B23" t="s">
        <v>264</v>
      </c>
      <c r="C23" t="s">
        <v>107</v>
      </c>
      <c r="D23" s="34">
        <v>0</v>
      </c>
      <c r="E23" s="34">
        <v>0</v>
      </c>
      <c r="F23" s="34">
        <v>499.2</v>
      </c>
    </row>
    <row r="24" spans="2:8" x14ac:dyDescent="0.3">
      <c r="B24" t="s">
        <v>110</v>
      </c>
      <c r="C24" t="s">
        <v>107</v>
      </c>
      <c r="D24" s="34">
        <v>200</v>
      </c>
      <c r="E24" s="34">
        <v>0</v>
      </c>
      <c r="F24" s="34">
        <v>0</v>
      </c>
    </row>
    <row r="25" spans="2:8" x14ac:dyDescent="0.3">
      <c r="B25" t="s">
        <v>266</v>
      </c>
      <c r="C25" t="s">
        <v>107</v>
      </c>
      <c r="D25" s="34">
        <v>150.1</v>
      </c>
      <c r="E25" s="34">
        <v>0</v>
      </c>
      <c r="F25" s="34">
        <v>0</v>
      </c>
    </row>
    <row r="26" spans="2:8" x14ac:dyDescent="0.3">
      <c r="B26" t="s">
        <v>122</v>
      </c>
      <c r="C26" t="s">
        <v>107</v>
      </c>
      <c r="D26" s="34">
        <v>-250</v>
      </c>
      <c r="E26" s="110">
        <v>0</v>
      </c>
      <c r="F26" s="110">
        <v>0</v>
      </c>
      <c r="H26" t="s">
        <v>267</v>
      </c>
    </row>
    <row r="27" spans="2:8" x14ac:dyDescent="0.3">
      <c r="B27" t="s">
        <v>123</v>
      </c>
      <c r="C27" t="s">
        <v>107</v>
      </c>
      <c r="D27" s="34">
        <v>1000</v>
      </c>
      <c r="E27" s="34">
        <v>-250</v>
      </c>
      <c r="F27" s="34">
        <v>0</v>
      </c>
    </row>
    <row r="28" spans="2:8" x14ac:dyDescent="0.3">
      <c r="B28" t="s">
        <v>106</v>
      </c>
      <c r="C28" t="s">
        <v>108</v>
      </c>
      <c r="D28" s="106">
        <v>0</v>
      </c>
      <c r="E28" s="106">
        <v>0</v>
      </c>
      <c r="F28" s="106">
        <v>0</v>
      </c>
    </row>
    <row r="29" spans="2:8" x14ac:dyDescent="0.3">
      <c r="D29" s="8"/>
      <c r="E29" s="8"/>
      <c r="F29" s="8"/>
    </row>
    <row r="30" spans="2:8" x14ac:dyDescent="0.3">
      <c r="B30" t="s">
        <v>127</v>
      </c>
      <c r="C30" t="s">
        <v>108</v>
      </c>
      <c r="D30" s="104">
        <v>0</v>
      </c>
      <c r="E30" s="104">
        <v>0</v>
      </c>
      <c r="F30" s="104">
        <v>0</v>
      </c>
    </row>
    <row r="31" spans="2:8" x14ac:dyDescent="0.3">
      <c r="B31" t="s">
        <v>131</v>
      </c>
      <c r="C31" t="s">
        <v>108</v>
      </c>
      <c r="D31" s="104">
        <v>6.0000000000000001E-3</v>
      </c>
      <c r="E31" s="104">
        <v>6.0000000000000001E-3</v>
      </c>
      <c r="F31" s="104">
        <v>6.0000000000000001E-3</v>
      </c>
    </row>
    <row r="32" spans="2:8" x14ac:dyDescent="0.3">
      <c r="B32" t="s">
        <v>128</v>
      </c>
      <c r="C32" t="s">
        <v>108</v>
      </c>
      <c r="D32" s="104">
        <v>6.0000000000000001E-3</v>
      </c>
      <c r="E32" s="104">
        <v>6.0000000000000001E-3</v>
      </c>
      <c r="F32" s="104">
        <v>6.0000000000000001E-3</v>
      </c>
    </row>
    <row r="33" spans="2:6" x14ac:dyDescent="0.3">
      <c r="B33" t="s">
        <v>294</v>
      </c>
      <c r="C33" t="s">
        <v>108</v>
      </c>
      <c r="D33" s="104">
        <v>5.2499999999999998E-2</v>
      </c>
      <c r="E33" s="104">
        <v>6.5000000000000002E-2</v>
      </c>
      <c r="F33" s="104">
        <v>6.5000000000000002E-2</v>
      </c>
    </row>
    <row r="34" spans="2:6" x14ac:dyDescent="0.3">
      <c r="B34" t="s">
        <v>130</v>
      </c>
      <c r="C34" t="s">
        <v>108</v>
      </c>
      <c r="D34" s="104">
        <v>4.7000000000000002E-3</v>
      </c>
      <c r="E34" s="104">
        <v>4.7000000000000002E-3</v>
      </c>
      <c r="F34" s="104">
        <v>4.7000000000000002E-3</v>
      </c>
    </row>
    <row r="35" spans="2:6" x14ac:dyDescent="0.3">
      <c r="B35" t="s">
        <v>129</v>
      </c>
      <c r="C35" t="s">
        <v>108</v>
      </c>
      <c r="D35" s="104">
        <v>1.5E-3</v>
      </c>
      <c r="E35" s="104">
        <v>1.5E-3</v>
      </c>
      <c r="F35" s="104">
        <v>1.5E-3</v>
      </c>
    </row>
    <row r="36" spans="2:6" x14ac:dyDescent="0.3">
      <c r="D36" s="8"/>
      <c r="E36" s="8"/>
      <c r="F36" s="8"/>
    </row>
    <row r="37" spans="2:6" x14ac:dyDescent="0.3">
      <c r="B37" s="5" t="s">
        <v>143</v>
      </c>
      <c r="D37" s="8"/>
      <c r="E37" s="8"/>
      <c r="F37" s="8"/>
    </row>
    <row r="38" spans="2:6" x14ac:dyDescent="0.3">
      <c r="D38" s="8"/>
      <c r="E38" s="8"/>
      <c r="F38" s="8"/>
    </row>
    <row r="39" spans="2:6" x14ac:dyDescent="0.3">
      <c r="B39" t="s">
        <v>292</v>
      </c>
      <c r="C39" t="s">
        <v>108</v>
      </c>
      <c r="D39" s="107">
        <v>2.5000000000000001E-2</v>
      </c>
      <c r="E39" s="107">
        <v>2.5000000000000001E-2</v>
      </c>
      <c r="F39" s="107">
        <v>2.5000000000000001E-2</v>
      </c>
    </row>
    <row r="40" spans="2:6" x14ac:dyDescent="0.3">
      <c r="B40" t="s">
        <v>86</v>
      </c>
      <c r="C40" t="s">
        <v>108</v>
      </c>
      <c r="D40" s="107">
        <f>D9+0.025</f>
        <v>6.6299999999999998E-2</v>
      </c>
      <c r="E40" s="107">
        <f t="shared" ref="E40:F40" si="1">E9+0.025</f>
        <v>7.2700000000000001E-2</v>
      </c>
      <c r="F40" s="107">
        <f t="shared" si="1"/>
        <v>6.7500000000000004E-2</v>
      </c>
    </row>
    <row r="41" spans="2:6" x14ac:dyDescent="0.3">
      <c r="B41" t="s">
        <v>293</v>
      </c>
      <c r="C41" t="s">
        <v>108</v>
      </c>
      <c r="D41" s="107">
        <v>0.06</v>
      </c>
      <c r="E41" s="107">
        <v>0.06</v>
      </c>
      <c r="F41" s="107">
        <v>0.06</v>
      </c>
    </row>
    <row r="42" spans="2:6" x14ac:dyDescent="0.3">
      <c r="B42" t="s">
        <v>89</v>
      </c>
      <c r="C42" t="s">
        <v>108</v>
      </c>
      <c r="D42" s="107">
        <f>D41+D9</f>
        <v>0.1013</v>
      </c>
      <c r="E42" s="107">
        <f t="shared" ref="E42:F42" si="2">E41+E9</f>
        <v>0.10769999999999999</v>
      </c>
      <c r="F42" s="107">
        <f t="shared" si="2"/>
        <v>0.10250000000000001</v>
      </c>
    </row>
    <row r="43" spans="2:6" x14ac:dyDescent="0.3">
      <c r="B43" t="s">
        <v>167</v>
      </c>
      <c r="C43" t="s">
        <v>108</v>
      </c>
      <c r="D43" s="104">
        <v>-1E-3</v>
      </c>
      <c r="E43" s="104">
        <v>-1E-3</v>
      </c>
      <c r="F43" s="104">
        <v>-1E-3</v>
      </c>
    </row>
    <row r="44" spans="2:6" x14ac:dyDescent="0.3">
      <c r="B44" t="s">
        <v>168</v>
      </c>
      <c r="C44" t="s">
        <v>108</v>
      </c>
      <c r="D44" s="107">
        <v>0.01</v>
      </c>
      <c r="E44" s="107">
        <v>0.01</v>
      </c>
      <c r="F44" s="107">
        <v>0.01</v>
      </c>
    </row>
    <row r="45" spans="2:6" x14ac:dyDescent="0.3">
      <c r="D45" s="8"/>
      <c r="E45" s="8"/>
      <c r="F45" s="8"/>
    </row>
    <row r="46" spans="2:6" x14ac:dyDescent="0.3">
      <c r="B46" s="5" t="s">
        <v>179</v>
      </c>
      <c r="D46" s="8"/>
      <c r="E46" s="8"/>
      <c r="F46" s="8"/>
    </row>
    <row r="47" spans="2:6" x14ac:dyDescent="0.3">
      <c r="D47" s="8"/>
      <c r="E47" s="8"/>
      <c r="F47" s="8"/>
    </row>
    <row r="48" spans="2:6" x14ac:dyDescent="0.3">
      <c r="B48" t="s">
        <v>173</v>
      </c>
      <c r="C48" t="s">
        <v>180</v>
      </c>
      <c r="D48" s="111">
        <v>10</v>
      </c>
      <c r="E48" s="111">
        <v>10</v>
      </c>
      <c r="F48" s="111">
        <v>10</v>
      </c>
    </row>
    <row r="49" spans="2:6" x14ac:dyDescent="0.3">
      <c r="B49" t="s">
        <v>177</v>
      </c>
      <c r="C49" t="s">
        <v>180</v>
      </c>
      <c r="D49" s="111">
        <v>90</v>
      </c>
      <c r="E49" s="111">
        <v>90</v>
      </c>
      <c r="F49" s="111">
        <v>90</v>
      </c>
    </row>
    <row r="50" spans="2:6" x14ac:dyDescent="0.3">
      <c r="D50" s="111"/>
      <c r="E50" s="111"/>
      <c r="F50" s="111"/>
    </row>
    <row r="51" spans="2:6" x14ac:dyDescent="0.3">
      <c r="B51" s="5" t="s">
        <v>214</v>
      </c>
      <c r="D51" s="111"/>
      <c r="E51" s="111"/>
      <c r="F51" s="111"/>
    </row>
    <row r="52" spans="2:6" x14ac:dyDescent="0.3">
      <c r="D52" s="111"/>
      <c r="E52" s="111"/>
      <c r="F52" s="111"/>
    </row>
    <row r="53" spans="2:6" x14ac:dyDescent="0.3">
      <c r="B53" t="s">
        <v>216</v>
      </c>
      <c r="C53" t="s">
        <v>215</v>
      </c>
      <c r="D53" s="112">
        <v>5</v>
      </c>
      <c r="E53" s="112">
        <v>5</v>
      </c>
      <c r="F53" s="112">
        <v>5</v>
      </c>
    </row>
    <row r="54" spans="2:6" x14ac:dyDescent="0.3">
      <c r="B54" t="s">
        <v>218</v>
      </c>
      <c r="C54" t="s">
        <v>108</v>
      </c>
      <c r="D54" s="104">
        <v>0.03</v>
      </c>
      <c r="E54" s="104">
        <v>0.03</v>
      </c>
      <c r="F54" s="104">
        <v>0.03</v>
      </c>
    </row>
    <row r="55" spans="2:6" x14ac:dyDescent="0.3">
      <c r="B55" t="s">
        <v>217</v>
      </c>
      <c r="C55" t="s">
        <v>107</v>
      </c>
      <c r="D55" s="34">
        <v>0</v>
      </c>
      <c r="E55" s="34">
        <v>0</v>
      </c>
      <c r="F55" s="34">
        <v>0</v>
      </c>
    </row>
    <row r="56" spans="2:6" x14ac:dyDescent="0.3">
      <c r="D56" s="111"/>
      <c r="E56" s="111"/>
      <c r="F56" s="111"/>
    </row>
    <row r="57" spans="2:6" x14ac:dyDescent="0.3">
      <c r="B57" s="5" t="s">
        <v>191</v>
      </c>
      <c r="D57" s="8"/>
      <c r="E57" s="8"/>
      <c r="F57" s="8"/>
    </row>
    <row r="58" spans="2:6" x14ac:dyDescent="0.3">
      <c r="D58" s="8"/>
      <c r="E58" s="8"/>
      <c r="F58" s="8"/>
    </row>
    <row r="59" spans="2:6" x14ac:dyDescent="0.3">
      <c r="B59" t="s">
        <v>193</v>
      </c>
      <c r="C59" t="s">
        <v>108</v>
      </c>
      <c r="D59" s="104">
        <v>0.03</v>
      </c>
      <c r="E59" s="104">
        <v>0.03</v>
      </c>
      <c r="F59" s="104">
        <v>0.03</v>
      </c>
    </row>
    <row r="60" spans="2:6" x14ac:dyDescent="0.3">
      <c r="B60" t="s">
        <v>194</v>
      </c>
      <c r="C60" t="s">
        <v>108</v>
      </c>
      <c r="D60" s="104">
        <v>0</v>
      </c>
      <c r="E60" s="104">
        <v>0</v>
      </c>
      <c r="F60" s="104">
        <v>0</v>
      </c>
    </row>
    <row r="61" spans="2:6" x14ac:dyDescent="0.3">
      <c r="D61" s="8"/>
      <c r="E61" s="8"/>
      <c r="F61" s="8"/>
    </row>
    <row r="62" spans="2:6" x14ac:dyDescent="0.3">
      <c r="B62" t="s">
        <v>199</v>
      </c>
      <c r="C62" t="s">
        <v>108</v>
      </c>
      <c r="D62" s="104">
        <v>1.4999999999999999E-2</v>
      </c>
      <c r="E62" s="104">
        <v>1.4999999999999999E-2</v>
      </c>
      <c r="F62" s="104">
        <v>1.4999999999999999E-2</v>
      </c>
    </row>
    <row r="63" spans="2:6" x14ac:dyDescent="0.3">
      <c r="B63" t="s">
        <v>200</v>
      </c>
      <c r="C63" t="s">
        <v>108</v>
      </c>
      <c r="D63" s="104">
        <v>0.02</v>
      </c>
      <c r="E63" s="104">
        <v>0.02</v>
      </c>
      <c r="F63" s="104">
        <v>0.02</v>
      </c>
    </row>
    <row r="64" spans="2:6" x14ac:dyDescent="0.3">
      <c r="D64" s="104"/>
      <c r="E64" s="104"/>
      <c r="F64" s="104"/>
    </row>
    <row r="65" spans="2:6" x14ac:dyDescent="0.3">
      <c r="B65" s="5" t="s">
        <v>262</v>
      </c>
      <c r="D65" s="104"/>
      <c r="E65" s="104"/>
      <c r="F65" s="104"/>
    </row>
    <row r="66" spans="2:6" x14ac:dyDescent="0.3">
      <c r="D66" s="104"/>
      <c r="E66" s="104"/>
      <c r="F66" s="104"/>
    </row>
    <row r="67" spans="2:6" x14ac:dyDescent="0.3">
      <c r="B67" t="s">
        <v>260</v>
      </c>
      <c r="C67" t="s">
        <v>107</v>
      </c>
      <c r="D67" s="34">
        <v>0</v>
      </c>
      <c r="E67" s="34">
        <v>0</v>
      </c>
      <c r="F67" s="34">
        <v>0</v>
      </c>
    </row>
    <row r="68" spans="2:6" x14ac:dyDescent="0.3">
      <c r="B68" t="s">
        <v>261</v>
      </c>
      <c r="C68" t="s">
        <v>107</v>
      </c>
      <c r="D68" s="34">
        <v>0</v>
      </c>
      <c r="E68" s="34">
        <v>0</v>
      </c>
      <c r="F68" s="34">
        <v>0</v>
      </c>
    </row>
    <row r="69" spans="2:6" x14ac:dyDescent="0.3">
      <c r="B69" t="s">
        <v>263</v>
      </c>
      <c r="C69" t="s">
        <v>108</v>
      </c>
      <c r="D69" s="107">
        <v>0.27500000000000002</v>
      </c>
      <c r="E69" s="107">
        <v>0.27500000000000002</v>
      </c>
      <c r="F69" s="107">
        <v>0.27500000000000002</v>
      </c>
    </row>
    <row r="70" spans="2:6" x14ac:dyDescent="0.3">
      <c r="D70" s="8"/>
      <c r="E70" s="8"/>
      <c r="F70" s="8"/>
    </row>
    <row r="71" spans="2:6" x14ac:dyDescent="0.3">
      <c r="B71" s="5" t="s">
        <v>245</v>
      </c>
      <c r="D71" s="8"/>
      <c r="E71" s="8"/>
      <c r="F71" s="8"/>
    </row>
    <row r="72" spans="2:6" x14ac:dyDescent="0.3">
      <c r="D72" s="8"/>
      <c r="E72" s="8"/>
      <c r="F72" s="8"/>
    </row>
    <row r="73" spans="2:6" x14ac:dyDescent="0.3">
      <c r="B73" t="s">
        <v>237</v>
      </c>
      <c r="C73" t="s">
        <v>108</v>
      </c>
      <c r="D73" s="106">
        <v>0.35</v>
      </c>
      <c r="E73" s="8"/>
      <c r="F73" s="8"/>
    </row>
    <row r="74" spans="2:6" x14ac:dyDescent="0.3">
      <c r="B74" t="s">
        <v>240</v>
      </c>
      <c r="C74" t="s">
        <v>108</v>
      </c>
      <c r="D74" s="106">
        <v>0.9</v>
      </c>
      <c r="E74" s="8"/>
      <c r="F74" s="8"/>
    </row>
    <row r="75" spans="2:6" x14ac:dyDescent="0.3">
      <c r="B75" t="s">
        <v>246</v>
      </c>
      <c r="C75" t="s">
        <v>108</v>
      </c>
      <c r="D75" s="106">
        <v>0.05</v>
      </c>
      <c r="E75" s="8"/>
      <c r="F75" s="8"/>
    </row>
    <row r="76" spans="2:6" x14ac:dyDescent="0.3">
      <c r="B76" t="s">
        <v>256</v>
      </c>
      <c r="C76" t="s">
        <v>108</v>
      </c>
      <c r="D76" s="107">
        <v>9.0999999999999998E-2</v>
      </c>
      <c r="E76" s="8"/>
      <c r="F76" s="8"/>
    </row>
    <row r="77" spans="2:6" x14ac:dyDescent="0.3">
      <c r="D77" s="8"/>
      <c r="E77" s="8"/>
      <c r="F77" s="8"/>
    </row>
    <row r="78" spans="2:6" x14ac:dyDescent="0.3">
      <c r="B78" s="5" t="s">
        <v>57</v>
      </c>
      <c r="D78" s="8"/>
      <c r="E78" s="8"/>
      <c r="F78" s="8"/>
    </row>
    <row r="79" spans="2:6" x14ac:dyDescent="0.3">
      <c r="D79" s="8"/>
      <c r="E79" s="8"/>
      <c r="F79" s="8"/>
    </row>
    <row r="80" spans="2:6" x14ac:dyDescent="0.3">
      <c r="B80" t="s">
        <v>254</v>
      </c>
      <c r="C80" t="s">
        <v>108</v>
      </c>
      <c r="D80" s="106">
        <v>0.4</v>
      </c>
      <c r="E80" s="8"/>
      <c r="F80" s="8"/>
    </row>
    <row r="81" spans="2:6" x14ac:dyDescent="0.3">
      <c r="B81" t="s">
        <v>255</v>
      </c>
      <c r="C81" t="s">
        <v>107</v>
      </c>
      <c r="D81" s="34">
        <v>60</v>
      </c>
      <c r="E81" s="34">
        <v>75</v>
      </c>
      <c r="F81" s="34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5AF-FDE0-40AF-9B1D-946EE3A6BF23}">
  <dimension ref="B2:K497"/>
  <sheetViews>
    <sheetView showGridLines="0" tabSelected="1" topLeftCell="A59" zoomScale="79" zoomScaleNormal="100" workbookViewId="0">
      <selection activeCell="G496" sqref="G496"/>
    </sheetView>
  </sheetViews>
  <sheetFormatPr defaultRowHeight="14.4" x14ac:dyDescent="0.3"/>
  <cols>
    <col min="2" max="2" width="47.21875" bestFit="1" customWidth="1"/>
    <col min="3" max="3" width="12.109375" bestFit="1" customWidth="1"/>
    <col min="5" max="9" width="9.5546875" bestFit="1" customWidth="1"/>
  </cols>
  <sheetData>
    <row r="2" spans="2:9" ht="25.8" x14ac:dyDescent="0.5">
      <c r="B2" s="3" t="str">
        <f>Cover!$B$2</f>
        <v>Paragon Bank</v>
      </c>
      <c r="C2" s="3"/>
      <c r="D2" s="4"/>
      <c r="E2" s="4"/>
      <c r="F2" s="4"/>
      <c r="G2" s="4"/>
      <c r="H2" s="4"/>
      <c r="I2" s="4"/>
    </row>
    <row r="3" spans="2:9" x14ac:dyDescent="0.3">
      <c r="B3" s="4" t="s">
        <v>2</v>
      </c>
      <c r="C3" s="4"/>
      <c r="D3" s="4"/>
      <c r="E3" s="4"/>
      <c r="F3" s="4"/>
      <c r="G3" s="4"/>
      <c r="H3" s="4"/>
      <c r="I3" s="4"/>
    </row>
    <row r="4" spans="2:9" x14ac:dyDescent="0.3">
      <c r="B4" s="4"/>
      <c r="C4" s="4"/>
      <c r="D4" s="4"/>
      <c r="E4" s="4"/>
      <c r="F4" s="4"/>
      <c r="G4" s="4"/>
      <c r="H4" s="4"/>
      <c r="I4" s="4"/>
    </row>
    <row r="5" spans="2:9" x14ac:dyDescent="0.3">
      <c r="B5" s="4"/>
      <c r="C5" s="4"/>
      <c r="D5" s="4"/>
      <c r="E5" s="4"/>
      <c r="F5" s="4"/>
      <c r="G5" s="4"/>
      <c r="H5" s="4"/>
      <c r="I5" s="4"/>
    </row>
    <row r="7" spans="2:9" x14ac:dyDescent="0.3">
      <c r="C7" t="s">
        <v>16</v>
      </c>
      <c r="E7" s="100">
        <v>2024</v>
      </c>
      <c r="F7" s="100">
        <v>2025</v>
      </c>
      <c r="G7" s="101">
        <f>F7+1</f>
        <v>2026</v>
      </c>
      <c r="H7" s="101">
        <f t="shared" ref="H7:I7" si="0">G7+1</f>
        <v>2027</v>
      </c>
      <c r="I7" s="101">
        <f t="shared" si="0"/>
        <v>2028</v>
      </c>
    </row>
    <row r="9" spans="2:9" x14ac:dyDescent="0.3">
      <c r="B9" s="7" t="s">
        <v>4</v>
      </c>
      <c r="E9" s="34">
        <v>1314.7</v>
      </c>
      <c r="F9" s="34">
        <v>1249</v>
      </c>
      <c r="G9" s="33">
        <f>G215</f>
        <v>1311.3766977</v>
      </c>
      <c r="H9" s="33">
        <f t="shared" ref="H9:I9" si="1">H215</f>
        <v>1535.5871947210148</v>
      </c>
      <c r="I9" s="33">
        <f t="shared" si="1"/>
        <v>1457.6102810147518</v>
      </c>
    </row>
    <row r="10" spans="2:9" x14ac:dyDescent="0.3">
      <c r="B10" t="s">
        <v>5</v>
      </c>
      <c r="E10" s="34">
        <v>-831.5</v>
      </c>
      <c r="F10" s="34">
        <v>-746.7</v>
      </c>
      <c r="G10" s="33">
        <f>-G245</f>
        <v>-771.39489519999984</v>
      </c>
      <c r="H10" s="33">
        <f>-H245</f>
        <v>-932.95911325799977</v>
      </c>
      <c r="I10" s="33">
        <f t="shared" ref="I10" si="2">-I245</f>
        <v>-842.3893058635</v>
      </c>
    </row>
    <row r="11" spans="2:9" x14ac:dyDescent="0.3">
      <c r="B11" s="5" t="s">
        <v>6</v>
      </c>
      <c r="C11" s="5"/>
      <c r="D11" s="5"/>
      <c r="E11" s="78">
        <f>SUM(E9:E10)</f>
        <v>483.20000000000005</v>
      </c>
      <c r="F11" s="78">
        <f>SUM(F9:F10)</f>
        <v>502.29999999999995</v>
      </c>
      <c r="G11" s="61">
        <f t="shared" ref="G11:I11" si="3">SUM(G9:G10)</f>
        <v>539.98180250000019</v>
      </c>
      <c r="H11" s="61">
        <f t="shared" si="3"/>
        <v>602.62808146301506</v>
      </c>
      <c r="I11" s="61">
        <f t="shared" si="3"/>
        <v>615.22097515125176</v>
      </c>
    </row>
    <row r="12" spans="2:9" x14ac:dyDescent="0.3">
      <c r="E12" s="34"/>
      <c r="F12" s="34"/>
    </row>
    <row r="13" spans="2:9" x14ac:dyDescent="0.3">
      <c r="B13" t="s">
        <v>7</v>
      </c>
      <c r="E13" s="34">
        <v>30.4</v>
      </c>
      <c r="F13" s="34">
        <v>31.7</v>
      </c>
      <c r="G13" s="33">
        <f>G401</f>
        <v>32.651000000000003</v>
      </c>
      <c r="H13" s="33">
        <f t="shared" ref="H13:I13" si="4">H401</f>
        <v>33.630530000000007</v>
      </c>
      <c r="I13" s="33">
        <f t="shared" si="4"/>
        <v>34.639445900000005</v>
      </c>
    </row>
    <row r="14" spans="2:9" x14ac:dyDescent="0.3">
      <c r="B14" s="9" t="s">
        <v>8</v>
      </c>
      <c r="C14" s="9"/>
      <c r="D14" s="9"/>
      <c r="E14" s="34">
        <v>-24.2</v>
      </c>
      <c r="F14" s="34">
        <v>-25.6</v>
      </c>
      <c r="G14" s="38">
        <f>G402</f>
        <v>-26.368000000000002</v>
      </c>
      <c r="H14" s="38">
        <f t="shared" ref="H14:I14" si="5">H402</f>
        <v>-27.159040000000005</v>
      </c>
      <c r="I14" s="38">
        <f t="shared" si="5"/>
        <v>-27.973811200000004</v>
      </c>
    </row>
    <row r="15" spans="2:9" x14ac:dyDescent="0.3">
      <c r="B15" t="s">
        <v>9</v>
      </c>
      <c r="E15" s="49">
        <f>SUM(E13:E14)</f>
        <v>6.1999999999999993</v>
      </c>
      <c r="F15" s="49">
        <f t="shared" ref="F15" si="6">SUM(F13:F14)</f>
        <v>6.0999999999999979</v>
      </c>
      <c r="G15" s="47">
        <f t="shared" ref="G15" si="7">SUM(G13:G14)</f>
        <v>6.2830000000000013</v>
      </c>
      <c r="H15" s="47">
        <f t="shared" ref="H15" si="8">SUM(H13:H14)</f>
        <v>6.4714900000000029</v>
      </c>
      <c r="I15" s="47">
        <f t="shared" ref="I15" si="9">SUM(I13:I14)</f>
        <v>6.6656347000000018</v>
      </c>
    </row>
    <row r="16" spans="2:9" x14ac:dyDescent="0.3">
      <c r="B16" s="9" t="s">
        <v>10</v>
      </c>
      <c r="C16" s="9"/>
      <c r="D16" s="9"/>
      <c r="E16" s="34">
        <v>7</v>
      </c>
      <c r="F16" s="34">
        <v>6.7</v>
      </c>
      <c r="G16" s="38">
        <f>G404</f>
        <v>6.7</v>
      </c>
      <c r="H16" s="38">
        <f t="shared" ref="H16:I16" si="10">H404</f>
        <v>6.7</v>
      </c>
      <c r="I16" s="38">
        <f t="shared" si="10"/>
        <v>6.7</v>
      </c>
    </row>
    <row r="17" spans="2:11" x14ac:dyDescent="0.3">
      <c r="B17" s="5" t="s">
        <v>11</v>
      </c>
      <c r="C17" s="5"/>
      <c r="D17" s="5"/>
      <c r="E17" s="49">
        <f>SUM(E15:E16)</f>
        <v>13.2</v>
      </c>
      <c r="F17" s="49">
        <f>SUM(F15:F16)</f>
        <v>12.799999999999997</v>
      </c>
      <c r="G17" s="47">
        <f t="shared" ref="G17" si="11">SUM(G15:G16)</f>
        <v>12.983000000000001</v>
      </c>
      <c r="H17" s="47">
        <f t="shared" ref="H17" si="12">SUM(H15:H16)</f>
        <v>13.171490000000002</v>
      </c>
      <c r="I17" s="47">
        <f t="shared" ref="I17" si="13">SUM(I15:I16)</f>
        <v>13.365634700000001</v>
      </c>
    </row>
    <row r="18" spans="2:11" x14ac:dyDescent="0.3">
      <c r="E18" s="34"/>
      <c r="F18" s="34"/>
    </row>
    <row r="19" spans="2:11" x14ac:dyDescent="0.3">
      <c r="B19" s="5" t="s">
        <v>15</v>
      </c>
      <c r="E19" s="47">
        <f>E11+E17</f>
        <v>496.40000000000003</v>
      </c>
      <c r="F19" s="47">
        <f t="shared" ref="F19:I19" si="14">F11+F17</f>
        <v>515.09999999999991</v>
      </c>
      <c r="G19" s="47">
        <f t="shared" si="14"/>
        <v>552.96480250000013</v>
      </c>
      <c r="H19" s="47">
        <f t="shared" si="14"/>
        <v>615.79957146301501</v>
      </c>
      <c r="I19" s="47">
        <f t="shared" si="14"/>
        <v>628.58660985125175</v>
      </c>
    </row>
    <row r="20" spans="2:11" x14ac:dyDescent="0.3">
      <c r="E20" s="34"/>
      <c r="F20" s="34"/>
    </row>
    <row r="21" spans="2:11" x14ac:dyDescent="0.3">
      <c r="B21" t="s">
        <v>12</v>
      </c>
      <c r="E21" s="34">
        <v>-179.2</v>
      </c>
      <c r="F21" s="34">
        <v>-179.3</v>
      </c>
      <c r="G21" s="79">
        <f>-G415</f>
        <v>-200.86850999999999</v>
      </c>
      <c r="H21" s="79">
        <f t="shared" ref="H21:I21" si="15">-H415</f>
        <v>-213.85549886799998</v>
      </c>
      <c r="I21" s="79">
        <f t="shared" si="15"/>
        <v>-227.24245854261537</v>
      </c>
    </row>
    <row r="22" spans="2:11" x14ac:dyDescent="0.3">
      <c r="B22" t="s">
        <v>13</v>
      </c>
      <c r="E22" s="34">
        <v>-24.5</v>
      </c>
      <c r="F22" s="34">
        <v>-41.9</v>
      </c>
      <c r="G22" s="33">
        <f>-G318</f>
        <v>-37.051583999999998</v>
      </c>
      <c r="H22" s="33">
        <f t="shared" ref="H22:I22" si="16">-H318</f>
        <v>-39.173575229999997</v>
      </c>
      <c r="I22" s="33">
        <f t="shared" si="16"/>
        <v>-41.555655070349999</v>
      </c>
    </row>
    <row r="23" spans="2:11" x14ac:dyDescent="0.3">
      <c r="B23" t="s">
        <v>14</v>
      </c>
      <c r="E23" s="34">
        <v>0</v>
      </c>
      <c r="F23" s="34">
        <v>-25.5</v>
      </c>
      <c r="G23" s="33">
        <f>Assumptions!D67</f>
        <v>0</v>
      </c>
      <c r="H23" s="33">
        <f>Assumptions!E67</f>
        <v>0</v>
      </c>
      <c r="I23" s="33">
        <f>Assumptions!F67</f>
        <v>0</v>
      </c>
    </row>
    <row r="24" spans="2:11" x14ac:dyDescent="0.3">
      <c r="B24" s="10" t="s">
        <v>17</v>
      </c>
      <c r="C24" s="11"/>
      <c r="D24" s="11"/>
      <c r="E24" s="49">
        <f>E19+SUM(E21:E23)</f>
        <v>292.70000000000005</v>
      </c>
      <c r="F24" s="49">
        <f t="shared" ref="F24" si="17">F19+SUM(F21:F23)</f>
        <v>268.39999999999986</v>
      </c>
      <c r="G24" s="80">
        <f t="shared" ref="G24" si="18">G19+SUM(G21:G23)</f>
        <v>315.04470850000018</v>
      </c>
      <c r="H24" s="80">
        <f t="shared" ref="H24" si="19">H19+SUM(H21:H23)</f>
        <v>362.77049736501505</v>
      </c>
      <c r="I24" s="80">
        <f t="shared" ref="I24" si="20">I19+SUM(I21:I23)</f>
        <v>359.78849623828637</v>
      </c>
    </row>
    <row r="25" spans="2:11" x14ac:dyDescent="0.3">
      <c r="B25" s="9" t="s">
        <v>18</v>
      </c>
      <c r="C25" s="9"/>
      <c r="D25" s="9"/>
      <c r="E25" s="37">
        <v>-38.9</v>
      </c>
      <c r="F25" s="37">
        <v>-11.9</v>
      </c>
      <c r="G25" s="33">
        <f>Assumptions!D68</f>
        <v>0</v>
      </c>
      <c r="H25" s="33">
        <f>Assumptions!E68</f>
        <v>0</v>
      </c>
      <c r="I25" s="33">
        <f>Assumptions!F68</f>
        <v>0</v>
      </c>
    </row>
    <row r="26" spans="2:11" x14ac:dyDescent="0.3">
      <c r="B26" s="5" t="s">
        <v>19</v>
      </c>
      <c r="C26" s="5"/>
      <c r="D26" s="5"/>
      <c r="E26" s="47">
        <f>SUM(E24:E25)</f>
        <v>253.80000000000004</v>
      </c>
      <c r="F26" s="47">
        <f t="shared" ref="F26" si="21">SUM(F24:F25)</f>
        <v>256.49999999999989</v>
      </c>
      <c r="G26" s="49">
        <f t="shared" ref="G26" si="22">SUM(G24:G25)</f>
        <v>315.04470850000018</v>
      </c>
      <c r="H26" s="49">
        <f t="shared" ref="H26" si="23">SUM(H24:H25)</f>
        <v>362.77049736501505</v>
      </c>
      <c r="I26" s="49">
        <f t="shared" ref="I26" si="24">SUM(I24:I25)</f>
        <v>359.78849623828637</v>
      </c>
    </row>
    <row r="27" spans="2:11" x14ac:dyDescent="0.3">
      <c r="B27" t="s">
        <v>20</v>
      </c>
      <c r="E27" s="37">
        <v>-67.8</v>
      </c>
      <c r="F27" s="37">
        <v>-76.2</v>
      </c>
      <c r="G27" s="38">
        <f>G26*-Assumptions!D69</f>
        <v>-86.63729483750005</v>
      </c>
      <c r="H27" s="38">
        <f>H26*-Assumptions!E69</f>
        <v>-99.761886775379139</v>
      </c>
      <c r="I27" s="38">
        <f>I26*-Assumptions!F69</f>
        <v>-98.941836465528766</v>
      </c>
    </row>
    <row r="28" spans="2:11" x14ac:dyDescent="0.3">
      <c r="B28" s="10" t="s">
        <v>21</v>
      </c>
      <c r="C28" s="10"/>
      <c r="D28" s="10"/>
      <c r="E28" s="47">
        <f>SUM(E26:E27)</f>
        <v>186.00000000000006</v>
      </c>
      <c r="F28" s="47">
        <f t="shared" ref="F28" si="25">SUM(F26:F27)</f>
        <v>180.2999999999999</v>
      </c>
      <c r="G28" s="49">
        <f t="shared" ref="G28" si="26">SUM(G26:G27)</f>
        <v>228.40741366250012</v>
      </c>
      <c r="H28" s="49">
        <f t="shared" ref="H28" si="27">SUM(H26:H27)</f>
        <v>263.00861058963591</v>
      </c>
      <c r="I28" s="49">
        <f t="shared" ref="I28" si="28">SUM(I26:I27)</f>
        <v>260.84665977275762</v>
      </c>
      <c r="K28" s="89"/>
    </row>
    <row r="31" spans="2:11" x14ac:dyDescent="0.3">
      <c r="B31" t="s">
        <v>22</v>
      </c>
      <c r="C31" t="s">
        <v>25</v>
      </c>
    </row>
    <row r="32" spans="2:11" x14ac:dyDescent="0.3">
      <c r="B32" t="s">
        <v>23</v>
      </c>
      <c r="E32" s="14">
        <v>88.5</v>
      </c>
      <c r="F32" s="14">
        <v>91.2</v>
      </c>
    </row>
    <row r="33" spans="2:9" x14ac:dyDescent="0.3">
      <c r="B33" t="s">
        <v>24</v>
      </c>
      <c r="E33" s="14">
        <v>85.2</v>
      </c>
      <c r="F33" s="14">
        <v>87.9</v>
      </c>
    </row>
    <row r="36" spans="2:9" x14ac:dyDescent="0.3">
      <c r="B36" s="54" t="s">
        <v>26</v>
      </c>
      <c r="C36" s="11"/>
      <c r="D36" s="11"/>
      <c r="E36" s="11"/>
      <c r="F36" s="11"/>
      <c r="G36" s="11"/>
      <c r="H36" s="11"/>
      <c r="I36" s="16"/>
    </row>
    <row r="37" spans="2:9" x14ac:dyDescent="0.3">
      <c r="B37" s="91"/>
      <c r="I37" s="18"/>
    </row>
    <row r="38" spans="2:9" x14ac:dyDescent="0.3">
      <c r="B38" s="17" t="s">
        <v>271</v>
      </c>
      <c r="C38" t="s">
        <v>108</v>
      </c>
      <c r="E38" s="77"/>
      <c r="F38" s="23">
        <f>(F9-E9)/E9</f>
        <v>-4.9973377956948388E-2</v>
      </c>
      <c r="G38" s="23">
        <f t="shared" ref="G38:H38" si="29">(G9-F9)/F9</f>
        <v>4.9941311208967193E-2</v>
      </c>
      <c r="H38" s="23">
        <f t="shared" si="29"/>
        <v>0.17097337280298908</v>
      </c>
      <c r="I38" s="24">
        <f>(I9-H9)/H9</f>
        <v>-5.0779867124660351E-2</v>
      </c>
    </row>
    <row r="39" spans="2:9" x14ac:dyDescent="0.3">
      <c r="B39" s="17" t="s">
        <v>27</v>
      </c>
      <c r="C39" t="s">
        <v>108</v>
      </c>
      <c r="E39" s="44">
        <f>ABS(E21)/E19</f>
        <v>0.36099919419822718</v>
      </c>
      <c r="F39" s="44">
        <f t="shared" ref="F39:I39" si="30">ABS(F21)/F19</f>
        <v>0.3480877499514658</v>
      </c>
      <c r="G39" s="44">
        <f t="shared" si="30"/>
        <v>0.36325731600249539</v>
      </c>
      <c r="H39" s="44">
        <f t="shared" si="30"/>
        <v>0.34728101281383267</v>
      </c>
      <c r="I39" s="92">
        <f t="shared" si="30"/>
        <v>0.36151336185221927</v>
      </c>
    </row>
    <row r="40" spans="2:9" x14ac:dyDescent="0.3">
      <c r="B40" s="19" t="s">
        <v>28</v>
      </c>
      <c r="C40" s="9" t="s">
        <v>108</v>
      </c>
      <c r="D40" s="9"/>
      <c r="E40" s="93">
        <f>E24/E19</f>
        <v>0.58964544721998391</v>
      </c>
      <c r="F40" s="93">
        <f t="shared" ref="F40:I40" si="31">F24/F19</f>
        <v>0.52106387109299146</v>
      </c>
      <c r="G40" s="93">
        <f t="shared" si="31"/>
        <v>0.56973736316607626</v>
      </c>
      <c r="H40" s="93">
        <f t="shared" si="31"/>
        <v>0.58910482269928488</v>
      </c>
      <c r="I40" s="94">
        <f t="shared" si="31"/>
        <v>0.57237696540088001</v>
      </c>
    </row>
    <row r="47" spans="2:9" ht="25.8" x14ac:dyDescent="0.5">
      <c r="B47" s="3" t="str">
        <f>Cover!$B$2</f>
        <v>Paragon Bank</v>
      </c>
      <c r="C47" s="3"/>
      <c r="D47" s="4"/>
      <c r="E47" s="4"/>
      <c r="F47" s="4"/>
      <c r="G47" s="4"/>
      <c r="H47" s="4"/>
      <c r="I47" s="4"/>
    </row>
    <row r="48" spans="2:9" x14ac:dyDescent="0.3">
      <c r="B48" s="4" t="s">
        <v>29</v>
      </c>
      <c r="C48" s="4"/>
      <c r="D48" s="4"/>
      <c r="E48" s="4"/>
      <c r="F48" s="4"/>
      <c r="G48" s="4"/>
      <c r="H48" s="4"/>
      <c r="I48" s="4"/>
    </row>
    <row r="49" spans="2:9" x14ac:dyDescent="0.3">
      <c r="B49" s="4"/>
      <c r="C49" s="4"/>
      <c r="D49" s="4"/>
      <c r="E49" s="4"/>
      <c r="F49" s="4"/>
      <c r="G49" s="4"/>
      <c r="H49" s="4"/>
      <c r="I49" s="4"/>
    </row>
    <row r="50" spans="2:9" x14ac:dyDescent="0.3">
      <c r="B50" s="4"/>
      <c r="C50" s="4"/>
      <c r="D50" s="4"/>
      <c r="E50" s="4"/>
      <c r="F50" s="4"/>
      <c r="G50" s="4"/>
      <c r="H50" s="4"/>
      <c r="I50" s="4"/>
    </row>
    <row r="52" spans="2:9" x14ac:dyDescent="0.3">
      <c r="C52" t="s">
        <v>16</v>
      </c>
      <c r="E52" s="100">
        <v>2024</v>
      </c>
      <c r="F52" s="100">
        <v>2025</v>
      </c>
      <c r="G52" s="101">
        <f>F52+1</f>
        <v>2026</v>
      </c>
      <c r="H52" s="101">
        <f t="shared" ref="H52:I52" si="32">G52+1</f>
        <v>2027</v>
      </c>
      <c r="I52" s="101">
        <f t="shared" si="32"/>
        <v>2028</v>
      </c>
    </row>
    <row r="53" spans="2:9" x14ac:dyDescent="0.3">
      <c r="B53" s="5" t="s">
        <v>30</v>
      </c>
    </row>
    <row r="54" spans="2:9" x14ac:dyDescent="0.3">
      <c r="B54" t="s">
        <v>31</v>
      </c>
      <c r="E54" s="34">
        <v>2315.5</v>
      </c>
      <c r="F54" s="34">
        <v>2175.6999999999998</v>
      </c>
      <c r="G54" s="33">
        <f>G88-SUM(G55:G63)</f>
        <v>3019.5960684662386</v>
      </c>
      <c r="H54" s="33">
        <f t="shared" ref="H54:I54" si="33">H88-SUM(H55:H63)</f>
        <v>2251.6372702452318</v>
      </c>
      <c r="I54" s="33">
        <f t="shared" si="33"/>
        <v>1975.6534387116226</v>
      </c>
    </row>
    <row r="55" spans="2:9" x14ac:dyDescent="0.3">
      <c r="B55" t="s">
        <v>32</v>
      </c>
      <c r="E55" s="34">
        <v>209.9</v>
      </c>
      <c r="F55" s="34">
        <v>213.8</v>
      </c>
      <c r="G55" s="33">
        <f>F55</f>
        <v>213.8</v>
      </c>
      <c r="H55" s="33">
        <f t="shared" ref="H55:I55" si="34">G55</f>
        <v>213.8</v>
      </c>
      <c r="I55" s="33">
        <f t="shared" si="34"/>
        <v>213.8</v>
      </c>
    </row>
    <row r="56" spans="2:9" x14ac:dyDescent="0.3">
      <c r="B56" t="s">
        <v>33</v>
      </c>
      <c r="E56" s="34">
        <v>427.4</v>
      </c>
      <c r="F56" s="34">
        <v>626.20000000000005</v>
      </c>
      <c r="G56" s="33">
        <f>F56</f>
        <v>626.20000000000005</v>
      </c>
      <c r="H56" s="33">
        <f t="shared" ref="H56:I56" si="35">G56</f>
        <v>626.20000000000005</v>
      </c>
      <c r="I56" s="33">
        <f t="shared" si="35"/>
        <v>626.20000000000005</v>
      </c>
    </row>
    <row r="57" spans="2:9" x14ac:dyDescent="0.3">
      <c r="B57" t="s">
        <v>34</v>
      </c>
      <c r="E57" s="34">
        <v>15630.3</v>
      </c>
      <c r="F57" s="34">
        <v>16335.9</v>
      </c>
      <c r="G57" s="33">
        <f>G123</f>
        <v>16999.808000000001</v>
      </c>
      <c r="H57" s="33">
        <f t="shared" ref="H57:I57" si="36">H123</f>
        <v>17760.305460000003</v>
      </c>
      <c r="I57" s="33">
        <f t="shared" si="36"/>
        <v>18622.814905700001</v>
      </c>
    </row>
    <row r="58" spans="2:9" x14ac:dyDescent="0.3">
      <c r="B58" t="s">
        <v>35</v>
      </c>
      <c r="E58" s="34">
        <v>391.8</v>
      </c>
      <c r="F58" s="34">
        <v>275.39999999999998</v>
      </c>
      <c r="G58" s="33">
        <f>F58</f>
        <v>275.39999999999998</v>
      </c>
      <c r="H58" s="33">
        <f t="shared" ref="H58:I58" si="37">G58</f>
        <v>275.39999999999998</v>
      </c>
      <c r="I58" s="33">
        <f t="shared" si="37"/>
        <v>275.39999999999998</v>
      </c>
    </row>
    <row r="59" spans="2:9" x14ac:dyDescent="0.3">
      <c r="B59" t="s">
        <v>36</v>
      </c>
      <c r="E59" s="34">
        <v>20.7</v>
      </c>
      <c r="F59" s="34">
        <v>24.2</v>
      </c>
      <c r="G59" s="33">
        <f>F59*(1+G38)</f>
        <v>25.408579731257007</v>
      </c>
      <c r="H59" s="33">
        <f t="shared" ref="H59:I59" si="38">G59*(1+H38)</f>
        <v>29.752770306043679</v>
      </c>
      <c r="I59" s="33">
        <f t="shared" si="38"/>
        <v>28.241928583312241</v>
      </c>
    </row>
    <row r="60" spans="2:9" x14ac:dyDescent="0.3">
      <c r="B60" t="s">
        <v>37</v>
      </c>
      <c r="E60" s="34">
        <v>9.6999999999999993</v>
      </c>
      <c r="F60" s="34">
        <v>6.2</v>
      </c>
      <c r="G60" s="33">
        <f>F60</f>
        <v>6.2</v>
      </c>
      <c r="H60" s="33">
        <f t="shared" ref="H60:I60" si="39">G60</f>
        <v>6.2</v>
      </c>
      <c r="I60" s="33">
        <f t="shared" si="39"/>
        <v>6.2</v>
      </c>
    </row>
    <row r="61" spans="2:9" x14ac:dyDescent="0.3">
      <c r="B61" t="s">
        <v>38</v>
      </c>
      <c r="E61" s="34">
        <v>22.2</v>
      </c>
      <c r="F61" s="34">
        <v>23.5</v>
      </c>
      <c r="G61" s="33">
        <f>F61</f>
        <v>23.5</v>
      </c>
      <c r="H61" s="33">
        <f t="shared" ref="H61:I61" si="40">G61</f>
        <v>23.5</v>
      </c>
      <c r="I61" s="33">
        <f t="shared" si="40"/>
        <v>23.5</v>
      </c>
    </row>
    <row r="62" spans="2:9" x14ac:dyDescent="0.3">
      <c r="B62" t="s">
        <v>39</v>
      </c>
      <c r="E62" s="34">
        <v>71</v>
      </c>
      <c r="F62" s="34">
        <v>77</v>
      </c>
      <c r="G62" s="33">
        <f>G362</f>
        <v>81.58959999999999</v>
      </c>
      <c r="H62" s="33">
        <f t="shared" ref="H62:I62" si="41">H362</f>
        <v>81.760087999999996</v>
      </c>
      <c r="I62" s="33">
        <f t="shared" si="41"/>
        <v>77.378890639999995</v>
      </c>
    </row>
    <row r="63" spans="2:9" x14ac:dyDescent="0.3">
      <c r="B63" t="s">
        <v>41</v>
      </c>
      <c r="E63" s="34">
        <v>171.5</v>
      </c>
      <c r="F63" s="34">
        <v>172.1</v>
      </c>
      <c r="G63" s="33">
        <f>G371</f>
        <v>172.65019999999998</v>
      </c>
      <c r="H63" s="33">
        <f t="shared" ref="H63:I63" si="42">H371</f>
        <v>172.73710599999998</v>
      </c>
      <c r="I63" s="33">
        <f t="shared" si="42"/>
        <v>172.34681917999998</v>
      </c>
    </row>
    <row r="64" spans="2:9" x14ac:dyDescent="0.3">
      <c r="B64" s="10" t="s">
        <v>55</v>
      </c>
      <c r="C64" s="11"/>
      <c r="D64" s="11"/>
      <c r="E64" s="49">
        <f>SUM(E54:E63)</f>
        <v>19270</v>
      </c>
      <c r="F64" s="49">
        <f t="shared" ref="F64:I64" si="43">SUM(F54:F63)</f>
        <v>19930</v>
      </c>
      <c r="G64" s="49">
        <f>SUM(G54:G63)</f>
        <v>21444.152448197499</v>
      </c>
      <c r="H64" s="49">
        <f t="shared" si="43"/>
        <v>21441.292694551281</v>
      </c>
      <c r="I64" s="49">
        <f t="shared" si="43"/>
        <v>22021.535982814938</v>
      </c>
    </row>
    <row r="65" spans="2:9" x14ac:dyDescent="0.3">
      <c r="E65" s="28"/>
      <c r="F65" s="28"/>
      <c r="G65" s="28"/>
      <c r="H65" s="28"/>
      <c r="I65" s="28"/>
    </row>
    <row r="66" spans="2:9" x14ac:dyDescent="0.3">
      <c r="E66" s="28"/>
      <c r="F66" s="28"/>
      <c r="G66" s="28"/>
      <c r="H66" s="28"/>
      <c r="I66" s="28"/>
    </row>
    <row r="67" spans="2:9" x14ac:dyDescent="0.3">
      <c r="B67" s="5" t="s">
        <v>42</v>
      </c>
      <c r="E67" s="28"/>
      <c r="F67" s="28"/>
      <c r="G67" s="28"/>
      <c r="H67" s="28"/>
      <c r="I67" s="28"/>
    </row>
    <row r="68" spans="2:9" x14ac:dyDescent="0.3">
      <c r="B68" t="s">
        <v>43</v>
      </c>
      <c r="E68" s="34">
        <v>0.4</v>
      </c>
      <c r="F68" s="34">
        <v>0.5</v>
      </c>
      <c r="G68" s="33">
        <f>G170</f>
        <v>0.5</v>
      </c>
      <c r="H68" s="33">
        <f t="shared" ref="H68:I68" si="44">H170</f>
        <v>0.5</v>
      </c>
      <c r="I68" s="33">
        <f t="shared" si="44"/>
        <v>0.5</v>
      </c>
    </row>
    <row r="69" spans="2:9" x14ac:dyDescent="0.3">
      <c r="B69" t="s">
        <v>44</v>
      </c>
      <c r="E69" s="34">
        <v>16314.7</v>
      </c>
      <c r="F69" s="34">
        <v>16270.8</v>
      </c>
      <c r="G69" s="33">
        <f>G146</f>
        <v>16433.507999999998</v>
      </c>
      <c r="H69" s="33">
        <f t="shared" ref="H69:I69" si="45">H146</f>
        <v>16597.843079999999</v>
      </c>
      <c r="I69" s="33">
        <f t="shared" si="45"/>
        <v>17095.7783724</v>
      </c>
    </row>
    <row r="70" spans="2:9" x14ac:dyDescent="0.3">
      <c r="B70" t="s">
        <v>45</v>
      </c>
      <c r="E70" s="34">
        <v>99.7</v>
      </c>
      <c r="F70" s="34">
        <v>68.2</v>
      </c>
      <c r="G70" s="33">
        <f>F70</f>
        <v>68.2</v>
      </c>
      <c r="H70" s="33">
        <f t="shared" ref="H70:I70" si="46">G70</f>
        <v>68.2</v>
      </c>
      <c r="I70" s="33">
        <f t="shared" si="46"/>
        <v>68.2</v>
      </c>
    </row>
    <row r="71" spans="2:9" x14ac:dyDescent="0.3">
      <c r="B71" t="s">
        <v>46</v>
      </c>
      <c r="E71" s="34">
        <v>0</v>
      </c>
      <c r="F71" s="34">
        <v>0</v>
      </c>
      <c r="G71" s="33">
        <f>F71</f>
        <v>0</v>
      </c>
      <c r="H71" s="33">
        <f t="shared" ref="H71:I71" si="47">G71</f>
        <v>0</v>
      </c>
      <c r="I71" s="33">
        <f t="shared" si="47"/>
        <v>0</v>
      </c>
    </row>
    <row r="72" spans="2:9" x14ac:dyDescent="0.3">
      <c r="B72" t="s">
        <v>47</v>
      </c>
      <c r="E72" s="34">
        <v>0</v>
      </c>
      <c r="F72" s="34">
        <v>499.2</v>
      </c>
      <c r="G72" s="33">
        <f>G155</f>
        <v>999.2</v>
      </c>
      <c r="H72" s="33">
        <f t="shared" ref="H72:I72" si="48">H155</f>
        <v>999.2</v>
      </c>
      <c r="I72" s="33">
        <f t="shared" si="48"/>
        <v>1000</v>
      </c>
    </row>
    <row r="73" spans="2:9" x14ac:dyDescent="0.3">
      <c r="B73" t="s">
        <v>48</v>
      </c>
      <c r="E73" s="34">
        <v>0</v>
      </c>
      <c r="F73" s="34">
        <v>0</v>
      </c>
      <c r="G73" s="33">
        <f>F73</f>
        <v>0</v>
      </c>
      <c r="H73" s="33">
        <f t="shared" ref="H73:I73" si="49">G73</f>
        <v>0</v>
      </c>
      <c r="I73" s="33">
        <f t="shared" si="49"/>
        <v>0</v>
      </c>
    </row>
    <row r="74" spans="2:9" x14ac:dyDescent="0.3">
      <c r="B74" t="s">
        <v>49</v>
      </c>
      <c r="E74" s="34">
        <v>149.9</v>
      </c>
      <c r="F74" s="34">
        <v>150.1</v>
      </c>
      <c r="G74" s="33">
        <f>G161</f>
        <v>200.00000000000003</v>
      </c>
      <c r="H74" s="33">
        <f t="shared" ref="H74:I74" si="50">H161</f>
        <v>200.00000000000003</v>
      </c>
      <c r="I74" s="33">
        <f t="shared" si="50"/>
        <v>200.00000000000003</v>
      </c>
    </row>
    <row r="75" spans="2:9" x14ac:dyDescent="0.3">
      <c r="B75" t="s">
        <v>50</v>
      </c>
      <c r="E75" s="34">
        <v>755</v>
      </c>
      <c r="F75" s="34">
        <v>950</v>
      </c>
      <c r="G75" s="33">
        <f>G168</f>
        <v>1700</v>
      </c>
      <c r="H75" s="33">
        <f t="shared" ref="H75:I75" si="51">H168</f>
        <v>1450</v>
      </c>
      <c r="I75" s="33">
        <f t="shared" si="51"/>
        <v>1450</v>
      </c>
    </row>
    <row r="76" spans="2:9" x14ac:dyDescent="0.3">
      <c r="B76" t="s">
        <v>51</v>
      </c>
      <c r="E76" s="34">
        <v>100</v>
      </c>
      <c r="F76" s="34">
        <v>100</v>
      </c>
      <c r="G76" s="33">
        <f>G169</f>
        <v>100</v>
      </c>
      <c r="H76" s="33">
        <f t="shared" ref="H76:I76" si="52">H169</f>
        <v>100</v>
      </c>
      <c r="I76" s="33">
        <f t="shared" si="52"/>
        <v>100</v>
      </c>
    </row>
    <row r="77" spans="2:9" x14ac:dyDescent="0.3">
      <c r="B77" t="s">
        <v>52</v>
      </c>
      <c r="E77" s="34">
        <v>417.4</v>
      </c>
      <c r="F77" s="34">
        <v>431.6</v>
      </c>
      <c r="G77" s="33">
        <f>F77</f>
        <v>431.6</v>
      </c>
      <c r="H77" s="33">
        <f t="shared" ref="H77:I77" si="53">G77</f>
        <v>431.6</v>
      </c>
      <c r="I77" s="33">
        <f t="shared" si="53"/>
        <v>431.6</v>
      </c>
    </row>
    <row r="78" spans="2:9" x14ac:dyDescent="0.3">
      <c r="B78" t="s">
        <v>53</v>
      </c>
      <c r="E78" s="34">
        <v>0</v>
      </c>
      <c r="F78" s="34">
        <v>25.5</v>
      </c>
      <c r="G78" s="33">
        <f>Assumptions!D67</f>
        <v>0</v>
      </c>
      <c r="H78" s="33">
        <f>Assumptions!E67</f>
        <v>0</v>
      </c>
      <c r="I78" s="33">
        <f>Assumptions!F67</f>
        <v>0</v>
      </c>
    </row>
    <row r="79" spans="2:9" x14ac:dyDescent="0.3">
      <c r="B79" t="s">
        <v>54</v>
      </c>
      <c r="E79" s="34">
        <v>13.4</v>
      </c>
      <c r="F79" s="34">
        <v>13.9</v>
      </c>
      <c r="G79" s="33">
        <f>F79</f>
        <v>13.9</v>
      </c>
      <c r="H79" s="33">
        <f t="shared" ref="H79:I79" si="54">G79</f>
        <v>13.9</v>
      </c>
      <c r="I79" s="33">
        <f t="shared" si="54"/>
        <v>13.9</v>
      </c>
    </row>
    <row r="80" spans="2:9" x14ac:dyDescent="0.3">
      <c r="B80" s="10" t="s">
        <v>56</v>
      </c>
      <c r="C80" s="11"/>
      <c r="D80" s="11"/>
      <c r="E80" s="49">
        <f>SUM(E68:E79)</f>
        <v>17850.500000000004</v>
      </c>
      <c r="F80" s="49">
        <f>SUM(F68:F79)</f>
        <v>18509.8</v>
      </c>
      <c r="G80" s="49">
        <f t="shared" ref="G80" si="55">SUM(G68:G79)</f>
        <v>19946.907999999999</v>
      </c>
      <c r="H80" s="49">
        <f t="shared" ref="H80" si="56">SUM(H68:H79)</f>
        <v>19861.24308</v>
      </c>
      <c r="I80" s="49">
        <f t="shared" ref="I80" si="57">SUM(I68:I79)</f>
        <v>20359.978372400001</v>
      </c>
    </row>
    <row r="81" spans="2:9" x14ac:dyDescent="0.3">
      <c r="E81" s="28"/>
      <c r="F81" s="28"/>
      <c r="G81" s="28"/>
      <c r="H81" s="28"/>
      <c r="I81" s="28"/>
    </row>
    <row r="82" spans="2:9" x14ac:dyDescent="0.3">
      <c r="B82" s="5" t="s">
        <v>57</v>
      </c>
      <c r="E82" s="28"/>
      <c r="F82" s="28"/>
      <c r="G82" s="28"/>
      <c r="H82" s="28"/>
      <c r="I82" s="28"/>
    </row>
    <row r="83" spans="2:9" x14ac:dyDescent="0.3">
      <c r="B83" t="s">
        <v>58</v>
      </c>
      <c r="E83" s="34">
        <v>210.6</v>
      </c>
      <c r="F83" s="34">
        <v>197.4</v>
      </c>
      <c r="G83" s="28"/>
      <c r="H83" s="28"/>
      <c r="I83" s="28"/>
    </row>
    <row r="84" spans="2:9" x14ac:dyDescent="0.3">
      <c r="B84" t="s">
        <v>59</v>
      </c>
      <c r="E84" s="34">
        <v>1274.3</v>
      </c>
      <c r="F84" s="34">
        <v>1276.5999999999999</v>
      </c>
      <c r="G84" s="28"/>
      <c r="H84" s="28"/>
      <c r="I84" s="28"/>
    </row>
    <row r="85" spans="2:9" x14ac:dyDescent="0.3">
      <c r="B85" t="s">
        <v>60</v>
      </c>
      <c r="E85" s="34">
        <v>-65.400000000000006</v>
      </c>
      <c r="F85" s="34">
        <v>-53.8</v>
      </c>
      <c r="G85" s="28"/>
      <c r="H85" s="28"/>
      <c r="I85" s="28"/>
    </row>
    <row r="86" spans="2:9" x14ac:dyDescent="0.3">
      <c r="B86" s="10" t="s">
        <v>61</v>
      </c>
      <c r="C86" s="11"/>
      <c r="D86" s="11"/>
      <c r="E86" s="49">
        <f>SUM(E83:E85)</f>
        <v>1419.4999999999998</v>
      </c>
      <c r="F86" s="49">
        <f t="shared" ref="F86" si="58">SUM(F83:F85)</f>
        <v>1420.2</v>
      </c>
      <c r="G86" s="49">
        <f>G487</f>
        <v>1497.2444481975001</v>
      </c>
      <c r="H86" s="49">
        <f t="shared" ref="H86:I86" si="59">H487</f>
        <v>1580.0496145512816</v>
      </c>
      <c r="I86" s="49">
        <f t="shared" si="59"/>
        <v>1661.5576104149363</v>
      </c>
    </row>
    <row r="87" spans="2:9" x14ac:dyDescent="0.3">
      <c r="E87" s="28"/>
      <c r="F87" s="28"/>
      <c r="G87" s="28"/>
      <c r="H87" s="28"/>
      <c r="I87" s="28"/>
    </row>
    <row r="88" spans="2:9" x14ac:dyDescent="0.3">
      <c r="B88" s="10" t="s">
        <v>62</v>
      </c>
      <c r="C88" s="11"/>
      <c r="D88" s="11"/>
      <c r="E88" s="49">
        <f>E80+E86</f>
        <v>19270.000000000004</v>
      </c>
      <c r="F88" s="49">
        <f t="shared" ref="F88:I88" si="60">F80+F86</f>
        <v>19930</v>
      </c>
      <c r="G88" s="49">
        <f t="shared" si="60"/>
        <v>21444.152448197499</v>
      </c>
      <c r="H88" s="49">
        <f t="shared" si="60"/>
        <v>21441.292694551281</v>
      </c>
      <c r="I88" s="49">
        <f t="shared" si="60"/>
        <v>22021.535982814938</v>
      </c>
    </row>
    <row r="89" spans="2:9" x14ac:dyDescent="0.3">
      <c r="B89" t="s">
        <v>281</v>
      </c>
      <c r="G89" s="27">
        <f>G88-G64</f>
        <v>0</v>
      </c>
      <c r="H89" s="27">
        <f t="shared" ref="H89:I89" si="61">H88-H64</f>
        <v>0</v>
      </c>
      <c r="I89" s="27">
        <f t="shared" si="61"/>
        <v>0</v>
      </c>
    </row>
    <row r="94" spans="2:9" ht="25.8" x14ac:dyDescent="0.5">
      <c r="B94" s="3" t="str">
        <f>Cover!$B$2</f>
        <v>Paragon Bank</v>
      </c>
      <c r="C94" s="3"/>
      <c r="D94" s="4"/>
      <c r="E94" s="4"/>
      <c r="F94" s="4"/>
      <c r="G94" s="4"/>
      <c r="H94" s="4"/>
      <c r="I94" s="4"/>
    </row>
    <row r="95" spans="2:9" x14ac:dyDescent="0.3">
      <c r="B95" s="4" t="s">
        <v>63</v>
      </c>
      <c r="C95" s="4"/>
      <c r="D95" s="4"/>
      <c r="E95" s="4"/>
      <c r="F95" s="4"/>
      <c r="G95" s="4"/>
      <c r="H95" s="4"/>
      <c r="I95" s="4"/>
    </row>
    <row r="96" spans="2:9" x14ac:dyDescent="0.3">
      <c r="B96" s="4"/>
      <c r="C96" s="4"/>
      <c r="D96" s="4"/>
      <c r="E96" s="4"/>
      <c r="F96" s="4"/>
      <c r="G96" s="4"/>
      <c r="H96" s="4"/>
      <c r="I96" s="4"/>
    </row>
    <row r="97" spans="2:9" x14ac:dyDescent="0.3">
      <c r="B97" s="4"/>
      <c r="C97" s="4"/>
      <c r="D97" s="4"/>
      <c r="E97" s="4"/>
      <c r="F97" s="4"/>
      <c r="G97" s="4"/>
      <c r="H97" s="4"/>
      <c r="I97" s="4"/>
    </row>
    <row r="99" spans="2:9" x14ac:dyDescent="0.3">
      <c r="C99" t="s">
        <v>16</v>
      </c>
      <c r="E99" s="100">
        <v>2024</v>
      </c>
      <c r="F99" s="100">
        <v>2025</v>
      </c>
      <c r="G99" s="101">
        <f>F99+1</f>
        <v>2026</v>
      </c>
      <c r="H99" s="101">
        <f t="shared" ref="H99:I99" si="62">G99+1</f>
        <v>2027</v>
      </c>
      <c r="I99" s="101">
        <f t="shared" si="62"/>
        <v>2028</v>
      </c>
    </row>
    <row r="101" spans="2:9" x14ac:dyDescent="0.3">
      <c r="B101" s="5" t="s">
        <v>69</v>
      </c>
    </row>
    <row r="103" spans="2:9" x14ac:dyDescent="0.3">
      <c r="B103" t="s">
        <v>64</v>
      </c>
      <c r="E103" s="34"/>
      <c r="F103" s="34">
        <f>E106</f>
        <v>2289.8000000000002</v>
      </c>
      <c r="G103" s="33">
        <f>F106</f>
        <v>2464.6</v>
      </c>
      <c r="H103" s="33">
        <f>G106</f>
        <v>2630.6949999999997</v>
      </c>
      <c r="I103" s="33">
        <f t="shared" ref="I103" si="63">H106</f>
        <v>2817.6846249999999</v>
      </c>
    </row>
    <row r="104" spans="2:9" x14ac:dyDescent="0.3">
      <c r="B104" s="11" t="s">
        <v>65</v>
      </c>
      <c r="C104" s="11"/>
      <c r="D104" s="11"/>
      <c r="E104" s="35"/>
      <c r="F104" s="35">
        <v>1186.2</v>
      </c>
      <c r="G104" s="36">
        <f>F104*(1+$C$128)</f>
        <v>1275.165</v>
      </c>
      <c r="H104" s="36">
        <f>G104*(1+$C$128)</f>
        <v>1370.802375</v>
      </c>
      <c r="I104" s="36">
        <f>H104*(1+$C$128)</f>
        <v>1473.612553125</v>
      </c>
    </row>
    <row r="105" spans="2:9" x14ac:dyDescent="0.3">
      <c r="B105" s="9" t="s">
        <v>66</v>
      </c>
      <c r="C105" s="9"/>
      <c r="D105" s="9"/>
      <c r="E105" s="37"/>
      <c r="F105" s="37">
        <v>-1011.4</v>
      </c>
      <c r="G105" s="38">
        <f>-G103*$C$129</f>
        <v>-1109.07</v>
      </c>
      <c r="H105" s="38">
        <f>-H103*$C$129</f>
        <v>-1183.8127499999998</v>
      </c>
      <c r="I105" s="38">
        <f>-I103*$C$129</f>
        <v>-1267.9580812500001</v>
      </c>
    </row>
    <row r="106" spans="2:9" x14ac:dyDescent="0.3">
      <c r="B106" s="39" t="s">
        <v>67</v>
      </c>
      <c r="C106" s="39"/>
      <c r="D106" s="39"/>
      <c r="E106" s="40">
        <v>2289.8000000000002</v>
      </c>
      <c r="F106" s="40">
        <v>2464.6</v>
      </c>
      <c r="G106" s="41">
        <f>SUM(G103:G105)</f>
        <v>2630.6949999999997</v>
      </c>
      <c r="H106" s="41">
        <f t="shared" ref="H106:I106" si="64">SUM(H103:H105)</f>
        <v>2817.6846249999999</v>
      </c>
      <c r="I106" s="41">
        <f t="shared" si="64"/>
        <v>3023.339096875</v>
      </c>
    </row>
    <row r="107" spans="2:9" x14ac:dyDescent="0.3">
      <c r="E107" s="34"/>
      <c r="F107" s="34"/>
      <c r="G107" s="33"/>
      <c r="H107" s="33"/>
      <c r="I107" s="33"/>
    </row>
    <row r="108" spans="2:9" x14ac:dyDescent="0.3">
      <c r="B108" t="s">
        <v>296</v>
      </c>
      <c r="C108" t="s">
        <v>108</v>
      </c>
      <c r="E108" s="34"/>
      <c r="F108" s="23">
        <f>(F106-E106)/E106</f>
        <v>7.6338544851078577E-2</v>
      </c>
      <c r="G108" s="23">
        <f>(G106-F106)/F106</f>
        <v>6.7392274608455649E-2</v>
      </c>
      <c r="H108" s="23">
        <f t="shared" ref="H108:I108" si="65">(H106-G106)/G106</f>
        <v>7.1079933249578606E-2</v>
      </c>
      <c r="I108" s="23">
        <f t="shared" si="65"/>
        <v>7.2987044061043602E-2</v>
      </c>
    </row>
    <row r="109" spans="2:9" x14ac:dyDescent="0.3">
      <c r="B109" t="s">
        <v>78</v>
      </c>
      <c r="E109" s="34"/>
      <c r="F109" s="33">
        <f>AVERAGE(F106,F103)</f>
        <v>2377.1999999999998</v>
      </c>
      <c r="G109" s="33">
        <f>AVERAGE(G106,G103)</f>
        <v>2547.6475</v>
      </c>
      <c r="H109" s="33">
        <f>AVERAGE(H106,H103)</f>
        <v>2724.1898124999998</v>
      </c>
      <c r="I109" s="33">
        <f>AVERAGE(I106,I103)</f>
        <v>2920.5118609374999</v>
      </c>
    </row>
    <row r="110" spans="2:9" x14ac:dyDescent="0.3">
      <c r="E110" s="33"/>
      <c r="F110" s="33"/>
      <c r="G110" s="33"/>
      <c r="H110" s="33"/>
      <c r="I110" s="33"/>
    </row>
    <row r="111" spans="2:9" x14ac:dyDescent="0.3">
      <c r="B111" s="5" t="s">
        <v>68</v>
      </c>
      <c r="E111" s="33"/>
      <c r="F111" s="33"/>
      <c r="G111" s="33"/>
      <c r="H111" s="33"/>
      <c r="I111" s="33"/>
    </row>
    <row r="112" spans="2:9" x14ac:dyDescent="0.3">
      <c r="B112" s="5"/>
      <c r="E112" s="33"/>
      <c r="F112" s="33"/>
      <c r="G112" s="33"/>
      <c r="H112" s="33"/>
      <c r="I112" s="33"/>
    </row>
    <row r="113" spans="2:9" x14ac:dyDescent="0.3">
      <c r="B113" t="s">
        <v>64</v>
      </c>
      <c r="E113" s="34"/>
      <c r="F113" s="34">
        <v>13415.7</v>
      </c>
      <c r="G113" s="33">
        <f>F116</f>
        <v>13876.4</v>
      </c>
      <c r="H113" s="33">
        <f>G116</f>
        <v>14369.113000000001</v>
      </c>
      <c r="I113" s="33">
        <f t="shared" ref="I113" si="66">H116</f>
        <v>14942.620835000002</v>
      </c>
    </row>
    <row r="114" spans="2:9" x14ac:dyDescent="0.3">
      <c r="B114" s="11" t="s">
        <v>65</v>
      </c>
      <c r="C114" s="11"/>
      <c r="D114" s="11"/>
      <c r="E114" s="35"/>
      <c r="F114" s="35">
        <v>1491</v>
      </c>
      <c r="G114" s="36">
        <f>F114*(1+$C$128)</f>
        <v>1602.825</v>
      </c>
      <c r="H114" s="36">
        <f>G114*(1+$C$128)</f>
        <v>1723.036875</v>
      </c>
      <c r="I114" s="36">
        <f>H114*(1+$C$128)</f>
        <v>1852.2646406249999</v>
      </c>
    </row>
    <row r="115" spans="2:9" x14ac:dyDescent="0.3">
      <c r="B115" s="9" t="s">
        <v>66</v>
      </c>
      <c r="C115" s="9"/>
      <c r="D115" s="9"/>
      <c r="E115" s="37"/>
      <c r="F115" s="37">
        <v>-1030.3</v>
      </c>
      <c r="G115" s="38">
        <f>-G113*$C$127</f>
        <v>-1110.1120000000001</v>
      </c>
      <c r="H115" s="38">
        <f>-H113*$C$127</f>
        <v>-1149.5290400000001</v>
      </c>
      <c r="I115" s="38">
        <f>-I113*$C$127</f>
        <v>-1195.4096668000002</v>
      </c>
    </row>
    <row r="116" spans="2:9" x14ac:dyDescent="0.3">
      <c r="B116" s="39" t="s">
        <v>70</v>
      </c>
      <c r="C116" s="39"/>
      <c r="D116" s="39"/>
      <c r="E116" s="40">
        <v>13415.7</v>
      </c>
      <c r="F116" s="40">
        <v>13876.4</v>
      </c>
      <c r="G116" s="41">
        <f>SUM(G113:G115)</f>
        <v>14369.113000000001</v>
      </c>
      <c r="H116" s="41">
        <f t="shared" ref="H116:I116" si="67">SUM(H113:H115)</f>
        <v>14942.620835000002</v>
      </c>
      <c r="I116" s="41">
        <f t="shared" si="67"/>
        <v>15599.475808825</v>
      </c>
    </row>
    <row r="117" spans="2:9" x14ac:dyDescent="0.3">
      <c r="E117" s="34"/>
      <c r="F117" s="34"/>
      <c r="G117" s="33"/>
      <c r="H117" s="33"/>
      <c r="I117" s="33"/>
    </row>
    <row r="118" spans="2:9" x14ac:dyDescent="0.3">
      <c r="B118" t="s">
        <v>295</v>
      </c>
      <c r="C118" t="s">
        <v>108</v>
      </c>
      <c r="E118" s="34"/>
      <c r="F118" s="44">
        <f>(F116-E116)/E116</f>
        <v>3.4340362411204702E-2</v>
      </c>
      <c r="G118" s="44">
        <f t="shared" ref="G118:I118" si="68">(G116-F116)/F116</f>
        <v>3.5507264131907523E-2</v>
      </c>
      <c r="H118" s="44">
        <f t="shared" si="68"/>
        <v>3.9912542618323089E-2</v>
      </c>
      <c r="I118" s="44">
        <f t="shared" si="68"/>
        <v>4.3958484999261409E-2</v>
      </c>
    </row>
    <row r="119" spans="2:9" x14ac:dyDescent="0.3">
      <c r="B119" t="s">
        <v>78</v>
      </c>
      <c r="E119" s="34"/>
      <c r="F119" s="33">
        <f>AVERAGE(F113,F116)</f>
        <v>13646.05</v>
      </c>
      <c r="G119" s="33">
        <f>AVERAGE(G113,G116)</f>
        <v>14122.7565</v>
      </c>
      <c r="H119" s="33">
        <f>AVERAGE(H113,H116)</f>
        <v>14655.866917500001</v>
      </c>
      <c r="I119" s="33">
        <f>AVERAGE(I113,I116)</f>
        <v>15271.048321912502</v>
      </c>
    </row>
    <row r="121" spans="2:9" x14ac:dyDescent="0.3">
      <c r="B121" s="5" t="s">
        <v>80</v>
      </c>
    </row>
    <row r="122" spans="2:9" x14ac:dyDescent="0.3">
      <c r="B122" t="s">
        <v>102</v>
      </c>
      <c r="E122" s="33">
        <f>E119+E109</f>
        <v>0</v>
      </c>
      <c r="F122" s="33">
        <f>F119+F109</f>
        <v>16023.25</v>
      </c>
      <c r="G122" s="33">
        <f>G119+G109</f>
        <v>16670.403999999999</v>
      </c>
      <c r="H122" s="33">
        <f>H119+H109</f>
        <v>17380.05673</v>
      </c>
      <c r="I122" s="33">
        <f>I119+I109</f>
        <v>18191.56018285</v>
      </c>
    </row>
    <row r="123" spans="2:9" x14ac:dyDescent="0.3">
      <c r="B123" t="s">
        <v>83</v>
      </c>
      <c r="E123" s="33">
        <f>E106+E116</f>
        <v>15705.5</v>
      </c>
      <c r="F123" s="33">
        <f t="shared" ref="F123:I123" si="69">F106+F116</f>
        <v>16341</v>
      </c>
      <c r="G123" s="33">
        <f t="shared" si="69"/>
        <v>16999.808000000001</v>
      </c>
      <c r="H123" s="33">
        <f t="shared" si="69"/>
        <v>17760.305460000003</v>
      </c>
      <c r="I123" s="33">
        <f t="shared" si="69"/>
        <v>18622.814905700001</v>
      </c>
    </row>
    <row r="125" spans="2:9" x14ac:dyDescent="0.3">
      <c r="B125" s="15" t="s">
        <v>82</v>
      </c>
      <c r="C125" s="16"/>
    </row>
    <row r="126" spans="2:9" x14ac:dyDescent="0.3">
      <c r="B126" s="17" t="s">
        <v>81</v>
      </c>
      <c r="C126" s="31">
        <f>Assumptions!D14</f>
        <v>0.05</v>
      </c>
    </row>
    <row r="127" spans="2:9" x14ac:dyDescent="0.3">
      <c r="B127" s="17" t="s">
        <v>68</v>
      </c>
      <c r="C127" s="31">
        <f>Assumptions!D16</f>
        <v>0.08</v>
      </c>
    </row>
    <row r="128" spans="2:9" x14ac:dyDescent="0.3">
      <c r="B128" s="17" t="s">
        <v>75</v>
      </c>
      <c r="C128" s="31">
        <f>Assumptions!D15</f>
        <v>7.4999999999999997E-2</v>
      </c>
    </row>
    <row r="129" spans="2:9" x14ac:dyDescent="0.3">
      <c r="B129" s="19" t="s">
        <v>69</v>
      </c>
      <c r="C129" s="32">
        <f>Assumptions!D17</f>
        <v>0.45</v>
      </c>
    </row>
    <row r="135" spans="2:9" ht="25.8" x14ac:dyDescent="0.5">
      <c r="B135" s="3" t="str">
        <f>Cover!$B$2</f>
        <v>Paragon Bank</v>
      </c>
      <c r="C135" s="3"/>
      <c r="D135" s="4"/>
      <c r="E135" s="4"/>
      <c r="F135" s="4"/>
      <c r="G135" s="4"/>
      <c r="H135" s="4"/>
      <c r="I135" s="4"/>
    </row>
    <row r="136" spans="2:9" x14ac:dyDescent="0.3">
      <c r="B136" s="4" t="s">
        <v>79</v>
      </c>
      <c r="C136" s="4"/>
      <c r="D136" s="4"/>
      <c r="E136" s="4"/>
      <c r="F136" s="4"/>
      <c r="G136" s="4"/>
      <c r="H136" s="4"/>
      <c r="I136" s="4"/>
    </row>
    <row r="137" spans="2:9" x14ac:dyDescent="0.3">
      <c r="B137" s="4"/>
      <c r="C137" s="4"/>
      <c r="D137" s="4"/>
      <c r="E137" s="4"/>
      <c r="F137" s="4"/>
      <c r="G137" s="4"/>
      <c r="H137" s="4"/>
      <c r="I137" s="4"/>
    </row>
    <row r="138" spans="2:9" x14ac:dyDescent="0.3">
      <c r="B138" s="4"/>
      <c r="C138" s="4"/>
      <c r="D138" s="4"/>
      <c r="E138" s="4"/>
      <c r="F138" s="4"/>
      <c r="G138" s="4"/>
      <c r="H138" s="4"/>
      <c r="I138" s="4"/>
    </row>
    <row r="140" spans="2:9" x14ac:dyDescent="0.3">
      <c r="C140" t="s">
        <v>16</v>
      </c>
      <c r="E140" s="100">
        <v>2024</v>
      </c>
      <c r="F140" s="100">
        <v>2025</v>
      </c>
      <c r="G140" s="101">
        <f>F140+1</f>
        <v>2026</v>
      </c>
      <c r="H140" s="101">
        <f t="shared" ref="H140:I140" si="70">G140+1</f>
        <v>2027</v>
      </c>
      <c r="I140" s="101">
        <f t="shared" si="70"/>
        <v>2028</v>
      </c>
    </row>
    <row r="142" spans="2:9" x14ac:dyDescent="0.3">
      <c r="B142" s="5" t="s">
        <v>138</v>
      </c>
    </row>
    <row r="143" spans="2:9" x14ac:dyDescent="0.3">
      <c r="B143" s="5"/>
    </row>
    <row r="144" spans="2:9" x14ac:dyDescent="0.3">
      <c r="B144" t="s">
        <v>139</v>
      </c>
      <c r="E144" s="42"/>
      <c r="F144" s="42">
        <f>E146</f>
        <v>16314.7</v>
      </c>
      <c r="G144" s="42">
        <f t="shared" ref="G144:I144" si="71">F146</f>
        <v>16270.8</v>
      </c>
      <c r="H144" s="42">
        <f t="shared" si="71"/>
        <v>16433.507999999998</v>
      </c>
      <c r="I144" s="42">
        <f t="shared" si="71"/>
        <v>16597.843079999999</v>
      </c>
    </row>
    <row r="145" spans="2:9" x14ac:dyDescent="0.3">
      <c r="B145" t="s">
        <v>140</v>
      </c>
      <c r="E145" s="42"/>
      <c r="F145" s="42">
        <f>F146-F144</f>
        <v>-43.900000000001455</v>
      </c>
      <c r="G145" s="42">
        <f t="shared" ref="G145:I145" si="72">G146-G144</f>
        <v>162.70799999999872</v>
      </c>
      <c r="H145" s="42">
        <f t="shared" si="72"/>
        <v>164.33508000000074</v>
      </c>
      <c r="I145" s="42">
        <f t="shared" si="72"/>
        <v>497.93529240000134</v>
      </c>
    </row>
    <row r="146" spans="2:9" x14ac:dyDescent="0.3">
      <c r="B146" s="11" t="s">
        <v>141</v>
      </c>
      <c r="C146" s="11"/>
      <c r="D146" s="11"/>
      <c r="E146" s="53">
        <f>E69</f>
        <v>16314.7</v>
      </c>
      <c r="F146" s="53">
        <f>F69</f>
        <v>16270.8</v>
      </c>
      <c r="G146" s="53">
        <f>F146*(1+G184)</f>
        <v>16433.507999999998</v>
      </c>
      <c r="H146" s="53">
        <f>G146*(1+H184)</f>
        <v>16597.843079999999</v>
      </c>
      <c r="I146" s="53">
        <f>H146*(1+I184)</f>
        <v>17095.7783724</v>
      </c>
    </row>
    <row r="147" spans="2:9" x14ac:dyDescent="0.3">
      <c r="B147" s="9" t="s">
        <v>142</v>
      </c>
      <c r="C147" s="9"/>
      <c r="D147" s="9"/>
      <c r="E147" s="38"/>
      <c r="F147" s="38">
        <f>AVERAGE(F144,F146)</f>
        <v>16292.75</v>
      </c>
      <c r="G147" s="38">
        <f t="shared" ref="G147:I147" si="73">AVERAGE(G144,G146)</f>
        <v>16352.153999999999</v>
      </c>
      <c r="H147" s="38">
        <f t="shared" si="73"/>
        <v>16515.675539999997</v>
      </c>
      <c r="I147" s="38">
        <f t="shared" si="73"/>
        <v>16846.810726199998</v>
      </c>
    </row>
    <row r="148" spans="2:9" x14ac:dyDescent="0.3">
      <c r="E148" s="33"/>
      <c r="F148" s="33"/>
      <c r="G148" s="33"/>
      <c r="H148" s="33"/>
      <c r="I148" s="33"/>
    </row>
    <row r="149" spans="2:9" x14ac:dyDescent="0.3">
      <c r="E149" s="33"/>
      <c r="F149" s="33"/>
      <c r="G149" s="33"/>
      <c r="H149" s="33"/>
      <c r="I149" s="33"/>
    </row>
    <row r="150" spans="2:9" x14ac:dyDescent="0.3">
      <c r="B150" s="5" t="s">
        <v>115</v>
      </c>
      <c r="E150" s="33"/>
      <c r="F150" s="33"/>
      <c r="G150" s="33"/>
      <c r="H150" s="33"/>
      <c r="I150" s="33"/>
    </row>
    <row r="151" spans="2:9" x14ac:dyDescent="0.3">
      <c r="B151" s="5"/>
      <c r="E151" s="33"/>
      <c r="F151" s="33"/>
      <c r="G151" s="33"/>
      <c r="H151" s="33"/>
      <c r="I151" s="33"/>
    </row>
    <row r="152" spans="2:9" x14ac:dyDescent="0.3">
      <c r="B152" t="s">
        <v>114</v>
      </c>
      <c r="E152" s="33"/>
      <c r="F152" s="33">
        <f>E155</f>
        <v>0</v>
      </c>
      <c r="G152" s="33">
        <f t="shared" ref="G152:I152" si="74">F155</f>
        <v>499.2</v>
      </c>
      <c r="H152" s="33">
        <f t="shared" si="74"/>
        <v>999.2</v>
      </c>
      <c r="I152" s="33">
        <f t="shared" si="74"/>
        <v>999.2</v>
      </c>
    </row>
    <row r="153" spans="2:9" x14ac:dyDescent="0.3">
      <c r="B153" s="11" t="s">
        <v>116</v>
      </c>
      <c r="C153" s="11"/>
      <c r="D153" s="11"/>
      <c r="E153" s="35">
        <v>0</v>
      </c>
      <c r="F153" s="35">
        <f>499.2</f>
        <v>499.2</v>
      </c>
      <c r="G153" s="36">
        <f>Assumptions!D22</f>
        <v>500</v>
      </c>
      <c r="H153" s="36">
        <f>Assumptions!E22</f>
        <v>0</v>
      </c>
      <c r="I153" s="36">
        <f>Assumptions!F22</f>
        <v>500</v>
      </c>
    </row>
    <row r="154" spans="2:9" x14ac:dyDescent="0.3">
      <c r="B154" s="9" t="s">
        <v>118</v>
      </c>
      <c r="C154" s="9"/>
      <c r="D154" s="9"/>
      <c r="E154" s="37">
        <v>0</v>
      </c>
      <c r="F154" s="37">
        <v>0</v>
      </c>
      <c r="G154" s="38">
        <f>-Assumptions!D23</f>
        <v>0</v>
      </c>
      <c r="H154" s="38">
        <f>-Assumptions!E23</f>
        <v>0</v>
      </c>
      <c r="I154" s="38">
        <f>-Assumptions!F23</f>
        <v>-499.2</v>
      </c>
    </row>
    <row r="155" spans="2:9" x14ac:dyDescent="0.3">
      <c r="B155" s="5" t="s">
        <v>113</v>
      </c>
      <c r="C155" s="5"/>
      <c r="D155" s="5"/>
      <c r="E155" s="47">
        <f>SUM(E153:E154)</f>
        <v>0</v>
      </c>
      <c r="F155" s="47">
        <f t="shared" ref="F155" si="75">SUM(F153:F154)</f>
        <v>499.2</v>
      </c>
      <c r="G155" s="47">
        <f>SUM(G152:G154)</f>
        <v>999.2</v>
      </c>
      <c r="H155" s="47">
        <f t="shared" ref="H155:I155" si="76">SUM(H152:H154)</f>
        <v>999.2</v>
      </c>
      <c r="I155" s="47">
        <f t="shared" si="76"/>
        <v>1000</v>
      </c>
    </row>
    <row r="156" spans="2:9" x14ac:dyDescent="0.3">
      <c r="B156" s="5" t="s">
        <v>145</v>
      </c>
      <c r="C156" s="5"/>
      <c r="D156" s="5"/>
      <c r="E156" s="47"/>
      <c r="F156" s="47">
        <f>AVERAGE(F155,F152)</f>
        <v>249.6</v>
      </c>
      <c r="G156" s="47">
        <f t="shared" ref="G156:I156" si="77">AVERAGE(G155,G152)</f>
        <v>749.2</v>
      </c>
      <c r="H156" s="47">
        <f t="shared" si="77"/>
        <v>999.2</v>
      </c>
      <c r="I156" s="47">
        <f t="shared" si="77"/>
        <v>999.6</v>
      </c>
    </row>
    <row r="157" spans="2:9" x14ac:dyDescent="0.3">
      <c r="E157" s="33"/>
      <c r="F157" s="33"/>
      <c r="G157" s="33"/>
      <c r="H157" s="33"/>
      <c r="I157" s="33"/>
    </row>
    <row r="158" spans="2:9" x14ac:dyDescent="0.3">
      <c r="B158" t="s">
        <v>155</v>
      </c>
      <c r="E158" s="33"/>
      <c r="F158" s="33"/>
      <c r="G158" s="33">
        <f>F161</f>
        <v>150.1</v>
      </c>
      <c r="H158" s="33">
        <f>G161</f>
        <v>200.00000000000003</v>
      </c>
      <c r="I158" s="33">
        <f t="shared" ref="I158" si="78">H161</f>
        <v>200.00000000000003</v>
      </c>
    </row>
    <row r="159" spans="2:9" x14ac:dyDescent="0.3">
      <c r="B159" s="11" t="s">
        <v>116</v>
      </c>
      <c r="C159" s="11"/>
      <c r="D159" s="11"/>
      <c r="E159" s="36"/>
      <c r="F159" s="36"/>
      <c r="G159" s="36">
        <f>Assumptions!D24</f>
        <v>200</v>
      </c>
      <c r="H159" s="36">
        <f>Assumptions!E24</f>
        <v>0</v>
      </c>
      <c r="I159" s="36">
        <f>Assumptions!F24</f>
        <v>0</v>
      </c>
    </row>
    <row r="160" spans="2:9" x14ac:dyDescent="0.3">
      <c r="B160" s="9" t="s">
        <v>118</v>
      </c>
      <c r="C160" s="9"/>
      <c r="D160" s="9"/>
      <c r="E160" s="38"/>
      <c r="F160" s="38"/>
      <c r="G160" s="38">
        <f>-Assumptions!D25</f>
        <v>-150.1</v>
      </c>
      <c r="H160" s="38">
        <f>-Assumptions!E25</f>
        <v>0</v>
      </c>
      <c r="I160" s="38">
        <f>-Assumptions!F25</f>
        <v>0</v>
      </c>
    </row>
    <row r="161" spans="2:9" x14ac:dyDescent="0.3">
      <c r="B161" s="5" t="s">
        <v>156</v>
      </c>
      <c r="C161" s="5"/>
      <c r="D161" s="5"/>
      <c r="E161" s="90"/>
      <c r="F161" s="90">
        <v>150.1</v>
      </c>
      <c r="G161" s="47">
        <f>SUM(G158:G160)</f>
        <v>200.00000000000003</v>
      </c>
      <c r="H161" s="47">
        <f t="shared" ref="H161:I161" si="79">SUM(H158:H160)</f>
        <v>200.00000000000003</v>
      </c>
      <c r="I161" s="47">
        <f t="shared" si="79"/>
        <v>200.00000000000003</v>
      </c>
    </row>
    <row r="162" spans="2:9" x14ac:dyDescent="0.3">
      <c r="B162" s="5" t="s">
        <v>157</v>
      </c>
      <c r="C162" s="5"/>
      <c r="D162" s="5"/>
      <c r="E162" s="47"/>
      <c r="F162" s="47"/>
      <c r="G162" s="47">
        <f t="shared" ref="G162:I162" si="80">AVERAGE(G158,G161)</f>
        <v>175.05</v>
      </c>
      <c r="H162" s="47">
        <f t="shared" si="80"/>
        <v>200.00000000000003</v>
      </c>
      <c r="I162" s="47">
        <f t="shared" si="80"/>
        <v>200.00000000000003</v>
      </c>
    </row>
    <row r="163" spans="2:9" x14ac:dyDescent="0.3">
      <c r="E163" s="33"/>
      <c r="F163" s="33"/>
      <c r="G163" s="33"/>
      <c r="H163" s="33"/>
      <c r="I163" s="33"/>
    </row>
    <row r="164" spans="2:9" x14ac:dyDescent="0.3">
      <c r="B164" s="5" t="s">
        <v>119</v>
      </c>
      <c r="E164" s="33"/>
      <c r="F164" s="33"/>
      <c r="G164" s="33"/>
      <c r="H164" s="33"/>
      <c r="I164" s="33"/>
    </row>
    <row r="165" spans="2:9" x14ac:dyDescent="0.3">
      <c r="B165" s="5"/>
      <c r="E165" s="33"/>
      <c r="F165" s="33"/>
      <c r="G165" s="33"/>
      <c r="H165" s="33"/>
      <c r="I165" s="33"/>
    </row>
    <row r="166" spans="2:9" x14ac:dyDescent="0.3">
      <c r="B166" t="s">
        <v>117</v>
      </c>
      <c r="E166" s="34">
        <v>750</v>
      </c>
      <c r="F166" s="34">
        <v>250</v>
      </c>
      <c r="G166" s="33">
        <f t="shared" ref="G166:I167" si="81">F166+G185</f>
        <v>0</v>
      </c>
      <c r="H166" s="33">
        <f t="shared" si="81"/>
        <v>0</v>
      </c>
      <c r="I166" s="33">
        <f t="shared" si="81"/>
        <v>0</v>
      </c>
    </row>
    <row r="167" spans="2:9" x14ac:dyDescent="0.3">
      <c r="B167" s="9" t="s">
        <v>121</v>
      </c>
      <c r="C167" s="9"/>
      <c r="D167" s="9"/>
      <c r="E167" s="37">
        <v>5</v>
      </c>
      <c r="F167" s="37">
        <v>700</v>
      </c>
      <c r="G167" s="38">
        <f t="shared" si="81"/>
        <v>1700</v>
      </c>
      <c r="H167" s="38">
        <f t="shared" si="81"/>
        <v>1450</v>
      </c>
      <c r="I167" s="38">
        <f t="shared" si="81"/>
        <v>1450</v>
      </c>
    </row>
    <row r="168" spans="2:9" x14ac:dyDescent="0.3">
      <c r="B168" s="5" t="s">
        <v>120</v>
      </c>
      <c r="C168" s="5"/>
      <c r="D168" s="5"/>
      <c r="E168" s="47">
        <f>E75</f>
        <v>755</v>
      </c>
      <c r="F168" s="47">
        <f>F75</f>
        <v>950</v>
      </c>
      <c r="G168" s="47">
        <f>SUM(G166:G167)</f>
        <v>1700</v>
      </c>
      <c r="H168" s="47">
        <f t="shared" ref="H168:I168" si="82">SUM(H166:H167)</f>
        <v>1450</v>
      </c>
      <c r="I168" s="47">
        <f t="shared" si="82"/>
        <v>1450</v>
      </c>
    </row>
    <row r="169" spans="2:9" x14ac:dyDescent="0.3">
      <c r="B169" t="s">
        <v>101</v>
      </c>
      <c r="E169" s="33">
        <f>E76</f>
        <v>100</v>
      </c>
      <c r="F169" s="33">
        <f>F76</f>
        <v>100</v>
      </c>
      <c r="G169" s="33">
        <f>F169*(1+G187)</f>
        <v>100</v>
      </c>
      <c r="H169" s="33">
        <f>G169*(1+H187)</f>
        <v>100</v>
      </c>
      <c r="I169" s="33">
        <f>H169*(1+I187)</f>
        <v>100</v>
      </c>
    </row>
    <row r="170" spans="2:9" x14ac:dyDescent="0.3">
      <c r="B170" t="s">
        <v>43</v>
      </c>
      <c r="E170" s="33">
        <f>E68</f>
        <v>0.4</v>
      </c>
      <c r="F170" s="33">
        <f t="shared" ref="F170" si="83">F68</f>
        <v>0.5</v>
      </c>
      <c r="G170" s="33">
        <f>F170</f>
        <v>0.5</v>
      </c>
      <c r="H170" s="33">
        <f t="shared" ref="H170:I170" si="84">G170</f>
        <v>0.5</v>
      </c>
      <c r="I170" s="33">
        <f t="shared" si="84"/>
        <v>0.5</v>
      </c>
    </row>
    <row r="171" spans="2:9" x14ac:dyDescent="0.3">
      <c r="B171" s="10" t="s">
        <v>133</v>
      </c>
      <c r="C171" s="10"/>
      <c r="D171" s="10"/>
      <c r="E171" s="49">
        <f>SUM(E168:E169)</f>
        <v>855</v>
      </c>
      <c r="F171" s="49">
        <f>SUM(F168:F169)</f>
        <v>1050</v>
      </c>
      <c r="G171" s="49">
        <f>SUM(G168:G169)</f>
        <v>1800</v>
      </c>
      <c r="H171" s="49">
        <f>SUM(H168:H169)</f>
        <v>1550</v>
      </c>
      <c r="I171" s="49">
        <f>SUM(I168:I169)</f>
        <v>1550</v>
      </c>
    </row>
    <row r="172" spans="2:9" x14ac:dyDescent="0.3">
      <c r="E172" s="33"/>
      <c r="F172" s="33"/>
      <c r="G172" s="33"/>
      <c r="H172" s="33"/>
      <c r="I172" s="33"/>
    </row>
    <row r="173" spans="2:9" x14ac:dyDescent="0.3">
      <c r="B173" s="5" t="s">
        <v>99</v>
      </c>
      <c r="C173" s="5"/>
      <c r="D173" s="5"/>
      <c r="E173" s="47">
        <f>E169+E168+E161+E155+SUM(E146:E146)</f>
        <v>17169.7</v>
      </c>
      <c r="F173" s="47">
        <f t="shared" ref="F173:I173" si="85">F169+F168+F161+F155+SUM(F146:F146)</f>
        <v>17970.099999999999</v>
      </c>
      <c r="G173" s="47">
        <f t="shared" si="85"/>
        <v>19432.707999999999</v>
      </c>
      <c r="H173" s="47">
        <f t="shared" si="85"/>
        <v>19347.043079999999</v>
      </c>
      <c r="I173" s="47">
        <f t="shared" si="85"/>
        <v>19845.7783724</v>
      </c>
    </row>
    <row r="174" spans="2:9" x14ac:dyDescent="0.3">
      <c r="B174" s="5" t="s">
        <v>112</v>
      </c>
      <c r="C174" s="5"/>
      <c r="D174" s="5"/>
      <c r="E174" s="47">
        <f>E173-E123</f>
        <v>1464.2000000000007</v>
      </c>
      <c r="F174" s="47">
        <f>F173-F123</f>
        <v>1629.0999999999985</v>
      </c>
      <c r="G174" s="47">
        <f>G173-G123</f>
        <v>2432.8999999999978</v>
      </c>
      <c r="H174" s="47">
        <f>H173-H123</f>
        <v>1586.7376199999962</v>
      </c>
      <c r="I174" s="47">
        <f>I173-I123</f>
        <v>1222.9634666999991</v>
      </c>
    </row>
    <row r="175" spans="2:9" x14ac:dyDescent="0.3">
      <c r="B175" s="5"/>
      <c r="C175" s="5"/>
      <c r="D175" s="5"/>
      <c r="E175" s="47"/>
      <c r="F175" s="47"/>
      <c r="G175" s="47"/>
      <c r="H175" s="47"/>
      <c r="I175" s="47"/>
    </row>
    <row r="176" spans="2:9" x14ac:dyDescent="0.3">
      <c r="B176" s="5" t="s">
        <v>134</v>
      </c>
      <c r="C176" s="5"/>
      <c r="D176" s="5"/>
      <c r="E176" s="47"/>
      <c r="F176" s="47"/>
      <c r="G176" s="47"/>
      <c r="H176" s="47"/>
      <c r="I176" s="47"/>
    </row>
    <row r="178" spans="2:9" x14ac:dyDescent="0.3">
      <c r="B178" t="s">
        <v>100</v>
      </c>
      <c r="F178" s="48">
        <f>(F146-E146)/E146</f>
        <v>-2.6908248389490123E-3</v>
      </c>
      <c r="G178" s="48">
        <f>(G146-F146)/F146</f>
        <v>9.9999999999999221E-3</v>
      </c>
      <c r="H178" s="48">
        <f>(H146-G146)/G146</f>
        <v>1.0000000000000047E-2</v>
      </c>
      <c r="I178" s="48">
        <f>(I146-H146)/H146</f>
        <v>3.0000000000000082E-2</v>
      </c>
    </row>
    <row r="179" spans="2:9" x14ac:dyDescent="0.3">
      <c r="B179" t="s">
        <v>109</v>
      </c>
      <c r="F179" s="48">
        <f>F146/F173</f>
        <v>0.90543736540141684</v>
      </c>
      <c r="G179" s="48">
        <f>G146/G173</f>
        <v>0.84566227208271738</v>
      </c>
      <c r="H179" s="48">
        <f>H146/H173</f>
        <v>0.85790076609474319</v>
      </c>
      <c r="I179" s="48">
        <f>I146/I173</f>
        <v>0.86143148691892624</v>
      </c>
    </row>
    <row r="180" spans="2:9" x14ac:dyDescent="0.3">
      <c r="B180" t="s">
        <v>111</v>
      </c>
      <c r="F180" s="48">
        <f>F123/F146</f>
        <v>1.00431447746884</v>
      </c>
      <c r="G180" s="48">
        <f>G123/G146</f>
        <v>1.0344600799780548</v>
      </c>
      <c r="H180" s="48">
        <f>H123/H146</f>
        <v>1.0700369544643269</v>
      </c>
      <c r="I180" s="48">
        <f>I123/I146</f>
        <v>1.0893224338802439</v>
      </c>
    </row>
    <row r="182" spans="2:9" x14ac:dyDescent="0.3">
      <c r="B182" s="15" t="s">
        <v>104</v>
      </c>
      <c r="C182" s="11" t="s">
        <v>3</v>
      </c>
      <c r="D182" s="11"/>
      <c r="E182" s="11"/>
      <c r="F182" s="11"/>
      <c r="G182" s="11"/>
      <c r="H182" s="11"/>
      <c r="I182" s="16"/>
    </row>
    <row r="183" spans="2:9" x14ac:dyDescent="0.3">
      <c r="B183" s="17"/>
      <c r="I183" s="18"/>
    </row>
    <row r="184" spans="2:9" x14ac:dyDescent="0.3">
      <c r="B184" s="17" t="s">
        <v>259</v>
      </c>
      <c r="C184" t="s">
        <v>108</v>
      </c>
      <c r="G184" s="21">
        <f>Assumptions!D21</f>
        <v>0.01</v>
      </c>
      <c r="H184" s="21">
        <f>Assumptions!E21</f>
        <v>0.01</v>
      </c>
      <c r="I184" s="22">
        <f>Assumptions!F21</f>
        <v>0.03</v>
      </c>
    </row>
    <row r="185" spans="2:9" x14ac:dyDescent="0.3">
      <c r="B185" s="17" t="s">
        <v>122</v>
      </c>
      <c r="C185" t="s">
        <v>107</v>
      </c>
      <c r="G185" s="33">
        <f>Assumptions!D26</f>
        <v>-250</v>
      </c>
      <c r="H185" s="33">
        <f>Assumptions!E26</f>
        <v>0</v>
      </c>
      <c r="I185" s="51">
        <f>Assumptions!F26</f>
        <v>0</v>
      </c>
    </row>
    <row r="186" spans="2:9" x14ac:dyDescent="0.3">
      <c r="B186" s="17" t="s">
        <v>123</v>
      </c>
      <c r="C186" t="s">
        <v>107</v>
      </c>
      <c r="G186" s="33">
        <f>Assumptions!D27</f>
        <v>1000</v>
      </c>
      <c r="H186" s="33">
        <f>Assumptions!E27</f>
        <v>-250</v>
      </c>
      <c r="I186" s="51">
        <f>Assumptions!F27</f>
        <v>0</v>
      </c>
    </row>
    <row r="187" spans="2:9" x14ac:dyDescent="0.3">
      <c r="B187" s="19" t="s">
        <v>106</v>
      </c>
      <c r="C187" s="9" t="s">
        <v>108</v>
      </c>
      <c r="D187" s="9"/>
      <c r="E187" s="9"/>
      <c r="F187" s="9"/>
      <c r="G187" s="45">
        <f>Assumptions!D28</f>
        <v>0</v>
      </c>
      <c r="H187" s="45">
        <f>Assumptions!E28</f>
        <v>0</v>
      </c>
      <c r="I187" s="46">
        <f>Assumptions!F28</f>
        <v>0</v>
      </c>
    </row>
    <row r="197" spans="2:9" ht="25.8" x14ac:dyDescent="0.5">
      <c r="B197" s="3" t="str">
        <f>Cover!$B$2</f>
        <v>Paragon Bank</v>
      </c>
      <c r="C197" s="3"/>
      <c r="D197" s="4"/>
      <c r="E197" s="4"/>
      <c r="F197" s="4"/>
      <c r="G197" s="4"/>
      <c r="H197" s="4"/>
      <c r="I197" s="4"/>
    </row>
    <row r="198" spans="2:9" x14ac:dyDescent="0.3">
      <c r="B198" s="4" t="s">
        <v>98</v>
      </c>
      <c r="C198" s="4"/>
      <c r="D198" s="4"/>
      <c r="E198" s="4"/>
      <c r="F198" s="4"/>
      <c r="G198" s="4"/>
      <c r="H198" s="4"/>
      <c r="I198" s="4"/>
    </row>
    <row r="199" spans="2:9" x14ac:dyDescent="0.3">
      <c r="B199" s="4"/>
      <c r="C199" s="4"/>
      <c r="D199" s="4"/>
      <c r="E199" s="4"/>
      <c r="F199" s="4"/>
      <c r="G199" s="4"/>
      <c r="H199" s="4"/>
      <c r="I199" s="4"/>
    </row>
    <row r="200" spans="2:9" x14ac:dyDescent="0.3">
      <c r="B200" s="4"/>
      <c r="C200" s="4"/>
      <c r="D200" s="4"/>
      <c r="E200" s="4"/>
      <c r="F200" s="4"/>
      <c r="G200" s="4"/>
      <c r="H200" s="4"/>
      <c r="I200" s="4"/>
    </row>
    <row r="202" spans="2:9" x14ac:dyDescent="0.3">
      <c r="C202" t="s">
        <v>16</v>
      </c>
      <c r="E202" s="100">
        <v>2024</v>
      </c>
      <c r="F202" s="100">
        <v>2025</v>
      </c>
      <c r="G202" s="101">
        <f>F202+1</f>
        <v>2026</v>
      </c>
      <c r="H202" s="101">
        <f t="shared" ref="H202:I202" si="86">G202+1</f>
        <v>2027</v>
      </c>
      <c r="I202" s="101">
        <f t="shared" si="86"/>
        <v>2028</v>
      </c>
    </row>
    <row r="204" spans="2:9" x14ac:dyDescent="0.3">
      <c r="B204" s="5" t="s">
        <v>84</v>
      </c>
    </row>
    <row r="206" spans="2:9" x14ac:dyDescent="0.3">
      <c r="B206" t="s">
        <v>85</v>
      </c>
      <c r="G206" s="33">
        <f>G119</f>
        <v>14122.7565</v>
      </c>
      <c r="H206" s="33">
        <f>H119</f>
        <v>14655.866917500001</v>
      </c>
      <c r="I206" s="33">
        <f>I119</f>
        <v>15271.048321912502</v>
      </c>
    </row>
    <row r="207" spans="2:9" x14ac:dyDescent="0.3">
      <c r="B207" s="9" t="s">
        <v>86</v>
      </c>
      <c r="C207" s="9"/>
      <c r="D207" s="9"/>
      <c r="E207" s="9"/>
      <c r="F207" s="9"/>
      <c r="G207" s="57">
        <f>G253</f>
        <v>6.6299999999999998E-2</v>
      </c>
      <c r="H207" s="57">
        <f t="shared" ref="H207:I207" si="87">H253</f>
        <v>7.2700000000000001E-2</v>
      </c>
      <c r="I207" s="57">
        <f t="shared" si="87"/>
        <v>6.7500000000000004E-2</v>
      </c>
    </row>
    <row r="208" spans="2:9" x14ac:dyDescent="0.3">
      <c r="B208" s="5" t="s">
        <v>87</v>
      </c>
      <c r="G208" s="61">
        <f>G207*G206</f>
        <v>936.33875594999995</v>
      </c>
      <c r="H208" s="61">
        <f t="shared" ref="H208:I208" si="88">H207*H206</f>
        <v>1065.4815249022502</v>
      </c>
      <c r="I208" s="61">
        <f t="shared" si="88"/>
        <v>1030.795761729094</v>
      </c>
    </row>
    <row r="210" spans="2:9" x14ac:dyDescent="0.3">
      <c r="B210" s="11" t="s">
        <v>88</v>
      </c>
      <c r="C210" s="11"/>
      <c r="D210" s="11"/>
      <c r="E210" s="11"/>
      <c r="F210" s="11"/>
      <c r="G210" s="36">
        <f>G109</f>
        <v>2547.6475</v>
      </c>
      <c r="H210" s="36">
        <f>H109</f>
        <v>2724.1898124999998</v>
      </c>
      <c r="I210" s="36">
        <f>I109</f>
        <v>2920.5118609374999</v>
      </c>
    </row>
    <row r="211" spans="2:9" x14ac:dyDescent="0.3">
      <c r="B211" s="9" t="s">
        <v>89</v>
      </c>
      <c r="C211" s="9"/>
      <c r="D211" s="9"/>
      <c r="E211" s="9"/>
      <c r="F211" s="9"/>
      <c r="G211" s="57">
        <f>G254</f>
        <v>0.1013</v>
      </c>
      <c r="H211" s="57">
        <f t="shared" ref="H211:I211" si="89">H254</f>
        <v>0.10769999999999999</v>
      </c>
      <c r="I211" s="57">
        <f t="shared" si="89"/>
        <v>0.10250000000000001</v>
      </c>
    </row>
    <row r="212" spans="2:9" x14ac:dyDescent="0.3">
      <c r="B212" s="5" t="s">
        <v>90</v>
      </c>
      <c r="G212" s="61">
        <f>G211*G210</f>
        <v>258.07669175000001</v>
      </c>
      <c r="H212" s="61">
        <f t="shared" ref="H212:I212" si="90">H211*H210</f>
        <v>293.39524280624994</v>
      </c>
      <c r="I212" s="61">
        <f t="shared" si="90"/>
        <v>299.35246574609374</v>
      </c>
    </row>
    <row r="214" spans="2:9" x14ac:dyDescent="0.3">
      <c r="B214" s="9" t="s">
        <v>280</v>
      </c>
      <c r="C214" s="9"/>
      <c r="D214" s="9"/>
      <c r="E214" s="9"/>
      <c r="F214" s="9"/>
      <c r="G214" s="81">
        <f>G286</f>
        <v>116.96124999999999</v>
      </c>
      <c r="H214" s="81">
        <f t="shared" ref="H214:I214" si="91">H286</f>
        <v>176.71042701251451</v>
      </c>
      <c r="I214" s="81">
        <f t="shared" si="91"/>
        <v>127.46205353956405</v>
      </c>
    </row>
    <row r="215" spans="2:9" x14ac:dyDescent="0.3">
      <c r="B215" s="5" t="s">
        <v>91</v>
      </c>
      <c r="G215" s="61">
        <f>G208+G212+G214</f>
        <v>1311.3766977</v>
      </c>
      <c r="H215" s="61">
        <f>H208+H212+H214</f>
        <v>1535.5871947210148</v>
      </c>
      <c r="I215" s="61">
        <f>I208+I212+I214</f>
        <v>1457.6102810147518</v>
      </c>
    </row>
    <row r="217" spans="2:9" x14ac:dyDescent="0.3">
      <c r="B217" s="5" t="s">
        <v>92</v>
      </c>
    </row>
    <row r="218" spans="2:9" x14ac:dyDescent="0.3">
      <c r="B218" s="5"/>
    </row>
    <row r="219" spans="2:9" x14ac:dyDescent="0.3">
      <c r="B219" t="s">
        <v>93</v>
      </c>
      <c r="G219" s="33">
        <f>G147</f>
        <v>16352.153999999999</v>
      </c>
      <c r="H219" s="33">
        <f>H147</f>
        <v>16515.675539999997</v>
      </c>
      <c r="I219" s="33">
        <f>I147</f>
        <v>16846.810726199998</v>
      </c>
    </row>
    <row r="220" spans="2:9" x14ac:dyDescent="0.3">
      <c r="B220" s="9" t="s">
        <v>94</v>
      </c>
      <c r="C220" s="9"/>
      <c r="D220" s="9"/>
      <c r="E220" s="9"/>
      <c r="F220" s="9"/>
      <c r="G220" s="58">
        <f>G255</f>
        <v>4.1300000000000003E-2</v>
      </c>
      <c r="H220" s="58">
        <f>H255</f>
        <v>4.7699999999999999E-2</v>
      </c>
      <c r="I220" s="58">
        <f>I255</f>
        <v>4.2500000000000003E-2</v>
      </c>
    </row>
    <row r="221" spans="2:9" x14ac:dyDescent="0.3">
      <c r="B221" s="5" t="s">
        <v>95</v>
      </c>
      <c r="C221" s="5"/>
      <c r="D221" s="5"/>
      <c r="E221" s="5"/>
      <c r="F221" s="5"/>
      <c r="G221" s="61">
        <f>G220*G219</f>
        <v>675.34396019999997</v>
      </c>
      <c r="H221" s="61">
        <f t="shared" ref="H221:I221" si="92">H220*H219</f>
        <v>787.79772325799979</v>
      </c>
      <c r="I221" s="61">
        <f t="shared" si="92"/>
        <v>715.98945586349998</v>
      </c>
    </row>
    <row r="223" spans="2:9" x14ac:dyDescent="0.3">
      <c r="B223" t="s">
        <v>137</v>
      </c>
      <c r="G223" s="33">
        <f>Model!G170</f>
        <v>0.5</v>
      </c>
      <c r="H223" s="33">
        <f>Model!H170</f>
        <v>0.5</v>
      </c>
      <c r="I223" s="33">
        <f>Model!I170</f>
        <v>0.5</v>
      </c>
    </row>
    <row r="224" spans="2:9" x14ac:dyDescent="0.3">
      <c r="B224" s="9" t="s">
        <v>125</v>
      </c>
      <c r="C224" s="9"/>
      <c r="D224" s="9"/>
      <c r="E224" s="9"/>
      <c r="F224" s="9"/>
      <c r="G224" s="58">
        <f>G256</f>
        <v>4.7300000000000002E-2</v>
      </c>
      <c r="H224" s="58">
        <f>H256</f>
        <v>5.3699999999999998E-2</v>
      </c>
      <c r="I224" s="58">
        <f>I256</f>
        <v>4.8500000000000001E-2</v>
      </c>
    </row>
    <row r="225" spans="2:9" x14ac:dyDescent="0.3">
      <c r="B225" s="5" t="s">
        <v>148</v>
      </c>
      <c r="C225" s="5"/>
      <c r="D225" s="5"/>
      <c r="E225" s="5"/>
      <c r="F225" s="5"/>
      <c r="G225" s="60">
        <f>G224*G223</f>
        <v>2.3650000000000001E-2</v>
      </c>
      <c r="H225" s="60">
        <f t="shared" ref="H225:I225" si="93">H224*H223</f>
        <v>2.6849999999999999E-2</v>
      </c>
      <c r="I225" s="60">
        <f t="shared" si="93"/>
        <v>2.4250000000000001E-2</v>
      </c>
    </row>
    <row r="226" spans="2:9" x14ac:dyDescent="0.3">
      <c r="G226" s="43"/>
      <c r="H226" s="43"/>
      <c r="I226" s="43"/>
    </row>
    <row r="227" spans="2:9" x14ac:dyDescent="0.3">
      <c r="B227" t="s">
        <v>146</v>
      </c>
      <c r="G227" s="43">
        <f>G156</f>
        <v>749.2</v>
      </c>
      <c r="H227" s="43">
        <f>H156</f>
        <v>999.2</v>
      </c>
      <c r="I227" s="43">
        <f>I156</f>
        <v>999.6</v>
      </c>
    </row>
    <row r="228" spans="2:9" x14ac:dyDescent="0.3">
      <c r="B228" s="9" t="s">
        <v>147</v>
      </c>
      <c r="C228" s="9"/>
      <c r="D228" s="9"/>
      <c r="E228" s="9"/>
      <c r="F228" s="9"/>
      <c r="G228" s="58">
        <f>G257</f>
        <v>4.7300000000000002E-2</v>
      </c>
      <c r="H228" s="58">
        <f>H257</f>
        <v>5.3699999999999998E-2</v>
      </c>
      <c r="I228" s="58">
        <f>I257</f>
        <v>4.8500000000000001E-2</v>
      </c>
    </row>
    <row r="229" spans="2:9" x14ac:dyDescent="0.3">
      <c r="B229" s="5" t="s">
        <v>149</v>
      </c>
      <c r="C229" s="5"/>
      <c r="D229" s="5"/>
      <c r="E229" s="5"/>
      <c r="F229" s="5"/>
      <c r="G229" s="61">
        <f>G228*G227</f>
        <v>35.437160000000006</v>
      </c>
      <c r="H229" s="61">
        <f t="shared" ref="H229:I229" si="94">H228*H227</f>
        <v>53.657040000000002</v>
      </c>
      <c r="I229" s="61">
        <f t="shared" si="94"/>
        <v>48.480600000000003</v>
      </c>
    </row>
    <row r="230" spans="2:9" x14ac:dyDescent="0.3">
      <c r="B230" s="5"/>
      <c r="C230" s="5"/>
      <c r="D230" s="5"/>
      <c r="E230" s="5"/>
      <c r="F230" s="5"/>
      <c r="G230" s="61"/>
      <c r="H230" s="61"/>
      <c r="I230" s="61"/>
    </row>
    <row r="231" spans="2:9" x14ac:dyDescent="0.3">
      <c r="B231" t="s">
        <v>269</v>
      </c>
      <c r="C231" s="5"/>
      <c r="D231" s="5"/>
      <c r="E231" s="5"/>
      <c r="F231" s="5"/>
      <c r="G231" s="42">
        <f>G162</f>
        <v>175.05</v>
      </c>
      <c r="H231" s="42">
        <f>H162</f>
        <v>200.00000000000003</v>
      </c>
      <c r="I231" s="42">
        <f>I162</f>
        <v>200.00000000000003</v>
      </c>
    </row>
    <row r="232" spans="2:9" x14ac:dyDescent="0.3">
      <c r="B232" s="9" t="s">
        <v>270</v>
      </c>
      <c r="C232" s="6"/>
      <c r="D232" s="6"/>
      <c r="E232" s="6"/>
      <c r="F232" s="6"/>
      <c r="G232" s="67">
        <f>Assumptions!D$33</f>
        <v>5.2499999999999998E-2</v>
      </c>
      <c r="H232" s="67">
        <f>Assumptions!E$33</f>
        <v>6.5000000000000002E-2</v>
      </c>
      <c r="I232" s="67">
        <f>Assumptions!F$33</f>
        <v>6.5000000000000002E-2</v>
      </c>
    </row>
    <row r="233" spans="2:9" x14ac:dyDescent="0.3">
      <c r="B233" s="5" t="s">
        <v>154</v>
      </c>
      <c r="C233" s="5"/>
      <c r="D233" s="5"/>
      <c r="E233" s="5"/>
      <c r="F233" s="5"/>
      <c r="G233" s="61">
        <f>G232*G231</f>
        <v>9.1901250000000001</v>
      </c>
      <c r="H233" s="61">
        <f t="shared" ref="H233:I233" si="95">H232*H231</f>
        <v>13.000000000000002</v>
      </c>
      <c r="I233" s="61">
        <f t="shared" si="95"/>
        <v>13.000000000000002</v>
      </c>
    </row>
    <row r="234" spans="2:9" x14ac:dyDescent="0.3">
      <c r="B234" s="5"/>
      <c r="C234" s="5"/>
      <c r="D234" s="5"/>
      <c r="E234" s="5"/>
      <c r="F234" s="5"/>
      <c r="G234" s="61"/>
      <c r="H234" s="61"/>
      <c r="I234" s="61"/>
    </row>
    <row r="235" spans="2:9" x14ac:dyDescent="0.3">
      <c r="B235" t="s">
        <v>289</v>
      </c>
      <c r="C235" s="5"/>
      <c r="D235" s="5"/>
      <c r="E235" s="5"/>
      <c r="F235" s="5"/>
      <c r="G235" s="42">
        <f>AVERAGE(G169,F169)</f>
        <v>100</v>
      </c>
      <c r="H235" s="42">
        <f t="shared" ref="H235:I235" si="96">AVERAGE(H169,G169)</f>
        <v>100</v>
      </c>
      <c r="I235" s="42">
        <f t="shared" si="96"/>
        <v>100</v>
      </c>
    </row>
    <row r="236" spans="2:9" x14ac:dyDescent="0.3">
      <c r="B236" t="s">
        <v>290</v>
      </c>
      <c r="C236" s="5"/>
      <c r="D236" s="5"/>
      <c r="E236" s="5"/>
      <c r="F236" s="5"/>
      <c r="G236" s="114">
        <f>Assumptions!D9+Assumptions!D34</f>
        <v>4.6000000000000006E-2</v>
      </c>
      <c r="H236" s="114">
        <f>Assumptions!E9+Assumptions!E34</f>
        <v>5.2400000000000002E-2</v>
      </c>
      <c r="I236" s="114">
        <f>Assumptions!F9+Assumptions!F34</f>
        <v>4.7200000000000006E-2</v>
      </c>
    </row>
    <row r="237" spans="2:9" x14ac:dyDescent="0.3">
      <c r="B237" s="10" t="s">
        <v>291</v>
      </c>
      <c r="C237" s="10"/>
      <c r="D237" s="10"/>
      <c r="E237" s="10"/>
      <c r="F237" s="10"/>
      <c r="G237" s="113">
        <f>G235*G236</f>
        <v>4.6000000000000005</v>
      </c>
      <c r="H237" s="113">
        <f t="shared" ref="H237:I237" si="97">H235*H236</f>
        <v>5.24</v>
      </c>
      <c r="I237" s="113">
        <f t="shared" si="97"/>
        <v>4.7200000000000006</v>
      </c>
    </row>
    <row r="238" spans="2:9" x14ac:dyDescent="0.3">
      <c r="G238" s="43"/>
      <c r="H238" s="43"/>
      <c r="I238" s="43"/>
    </row>
    <row r="239" spans="2:9" x14ac:dyDescent="0.3">
      <c r="B239" s="5" t="s">
        <v>105</v>
      </c>
      <c r="G239" s="43"/>
      <c r="H239" s="43"/>
      <c r="I239" s="43"/>
    </row>
    <row r="240" spans="2:9" x14ac:dyDescent="0.3">
      <c r="G240" s="43"/>
      <c r="H240" s="43"/>
      <c r="I240" s="43"/>
    </row>
    <row r="241" spans="2:9" x14ac:dyDescent="0.3">
      <c r="B241" t="s">
        <v>150</v>
      </c>
      <c r="G241" s="43">
        <f>AVERAGE(G167, F167)</f>
        <v>1200</v>
      </c>
      <c r="H241" s="43">
        <f t="shared" ref="H241:I241" si="98">AVERAGE(H167, G167)</f>
        <v>1575</v>
      </c>
      <c r="I241" s="43">
        <f t="shared" si="98"/>
        <v>1450</v>
      </c>
    </row>
    <row r="242" spans="2:9" x14ac:dyDescent="0.3">
      <c r="B242" t="s">
        <v>151</v>
      </c>
      <c r="G242" s="52">
        <f>G258</f>
        <v>3.9E-2</v>
      </c>
      <c r="H242" s="52">
        <f>H258</f>
        <v>4.65E-2</v>
      </c>
      <c r="I242" s="52">
        <f>I258</f>
        <v>4.1500000000000002E-2</v>
      </c>
    </row>
    <row r="243" spans="2:9" x14ac:dyDescent="0.3">
      <c r="B243" s="5" t="s">
        <v>152</v>
      </c>
      <c r="G243" s="61">
        <f>G242*G241</f>
        <v>46.8</v>
      </c>
      <c r="H243" s="61">
        <f t="shared" ref="H243:I243" si="99">H242*H241</f>
        <v>73.237499999999997</v>
      </c>
      <c r="I243" s="61">
        <f t="shared" si="99"/>
        <v>60.175000000000004</v>
      </c>
    </row>
    <row r="245" spans="2:9" x14ac:dyDescent="0.3">
      <c r="B245" s="5" t="s">
        <v>96</v>
      </c>
      <c r="G245" s="61">
        <f>G221+G225+G229+G243+G237 + G233</f>
        <v>771.39489519999984</v>
      </c>
      <c r="H245" s="61">
        <f t="shared" ref="H245:I245" si="100">H221+H225+H229+H243+H237 + H233</f>
        <v>932.95911325799977</v>
      </c>
      <c r="I245" s="61">
        <f t="shared" si="100"/>
        <v>842.3893058635</v>
      </c>
    </row>
    <row r="247" spans="2:9" x14ac:dyDescent="0.3">
      <c r="B247" s="5" t="s">
        <v>6</v>
      </c>
      <c r="G247" s="61">
        <f>G215-G245</f>
        <v>539.98180250000019</v>
      </c>
      <c r="H247" s="61">
        <f t="shared" ref="H247:I247" si="101">H215-H245</f>
        <v>602.62808146301506</v>
      </c>
      <c r="I247" s="61">
        <f t="shared" si="101"/>
        <v>615.22097515125176</v>
      </c>
    </row>
    <row r="248" spans="2:9" x14ac:dyDescent="0.3">
      <c r="B248" s="5" t="s">
        <v>153</v>
      </c>
      <c r="G248" s="61">
        <f>G206+G210+G282</f>
        <v>20108.052034233118</v>
      </c>
      <c r="H248" s="61">
        <f>H206+H210+H282</f>
        <v>20855.673399355735</v>
      </c>
      <c r="I248" s="61">
        <f>I206+I210+I282</f>
        <v>21145.205537328427</v>
      </c>
    </row>
    <row r="249" spans="2:9" x14ac:dyDescent="0.3">
      <c r="B249" s="5" t="s">
        <v>97</v>
      </c>
      <c r="G249" s="62">
        <f>G247/G248</f>
        <v>2.6854008612107415E-2</v>
      </c>
      <c r="H249" s="62">
        <f t="shared" ref="H249:I249" si="102">H247/H248</f>
        <v>2.8895162957511177E-2</v>
      </c>
      <c r="I249" s="62">
        <f t="shared" si="102"/>
        <v>2.90950576983127E-2</v>
      </c>
    </row>
    <row r="251" spans="2:9" x14ac:dyDescent="0.3">
      <c r="B251" s="54" t="s">
        <v>104</v>
      </c>
      <c r="C251" s="11"/>
      <c r="D251" s="11"/>
      <c r="E251" s="11"/>
      <c r="F251" s="11"/>
      <c r="G251" s="11"/>
      <c r="H251" s="11"/>
      <c r="I251" s="16"/>
    </row>
    <row r="252" spans="2:9" x14ac:dyDescent="0.3">
      <c r="B252" s="17"/>
      <c r="I252" s="18"/>
    </row>
    <row r="253" spans="2:9" x14ac:dyDescent="0.3">
      <c r="B253" s="17" t="s">
        <v>135</v>
      </c>
      <c r="G253" s="55">
        <f>Assumptions!D40</f>
        <v>6.6299999999999998E-2</v>
      </c>
      <c r="H253" s="55">
        <f>Assumptions!E40</f>
        <v>7.2700000000000001E-2</v>
      </c>
      <c r="I253" s="56">
        <f>Assumptions!F40</f>
        <v>6.7500000000000004E-2</v>
      </c>
    </row>
    <row r="254" spans="2:9" x14ac:dyDescent="0.3">
      <c r="B254" s="17" t="s">
        <v>136</v>
      </c>
      <c r="G254" s="55">
        <f>Assumptions!D42</f>
        <v>0.1013</v>
      </c>
      <c r="H254" s="55">
        <f>Assumptions!E42</f>
        <v>0.10769999999999999</v>
      </c>
      <c r="I254" s="56">
        <f>Assumptions!F42</f>
        <v>0.10250000000000001</v>
      </c>
    </row>
    <row r="255" spans="2:9" x14ac:dyDescent="0.3">
      <c r="B255" s="17" t="s">
        <v>144</v>
      </c>
      <c r="G255" s="55">
        <f>Assumptions!D9+Assumptions!D30</f>
        <v>4.1300000000000003E-2</v>
      </c>
      <c r="H255" s="55">
        <f>Assumptions!E9+Assumptions!E30</f>
        <v>4.7699999999999999E-2</v>
      </c>
      <c r="I255" s="56">
        <f>Assumptions!F9+Assumptions!F30</f>
        <v>4.2500000000000003E-2</v>
      </c>
    </row>
    <row r="256" spans="2:9" x14ac:dyDescent="0.3">
      <c r="B256" s="17" t="s">
        <v>125</v>
      </c>
      <c r="G256" s="55">
        <f>Assumptions!D9+Assumptions!D31</f>
        <v>4.7300000000000002E-2</v>
      </c>
      <c r="H256" s="55">
        <f>Assumptions!E9+Assumptions!E31</f>
        <v>5.3699999999999998E-2</v>
      </c>
      <c r="I256" s="56">
        <f>Assumptions!F9+Assumptions!F31</f>
        <v>4.8500000000000001E-2</v>
      </c>
    </row>
    <row r="257" spans="2:9" x14ac:dyDescent="0.3">
      <c r="B257" s="17" t="s">
        <v>147</v>
      </c>
      <c r="G257" s="55">
        <f>Assumptions!D9+Assumptions!D32</f>
        <v>4.7300000000000002E-2</v>
      </c>
      <c r="H257" s="55">
        <f>Assumptions!E9+Assumptions!E32</f>
        <v>5.3699999999999998E-2</v>
      </c>
      <c r="I257" s="56">
        <f>Assumptions!F9+Assumptions!F32</f>
        <v>4.8500000000000001E-2</v>
      </c>
    </row>
    <row r="258" spans="2:9" x14ac:dyDescent="0.3">
      <c r="B258" s="19" t="s">
        <v>151</v>
      </c>
      <c r="C258" s="9"/>
      <c r="D258" s="9"/>
      <c r="E258" s="9"/>
      <c r="F258" s="9"/>
      <c r="G258" s="58">
        <f>Assumptions!D35+Assumptions!D8</f>
        <v>3.9E-2</v>
      </c>
      <c r="H258" s="58">
        <f>Assumptions!E35+Assumptions!E8</f>
        <v>4.65E-2</v>
      </c>
      <c r="I258" s="59">
        <f>Assumptions!F35+Assumptions!F8</f>
        <v>4.1500000000000002E-2</v>
      </c>
    </row>
    <row r="265" spans="2:9" ht="25.8" x14ac:dyDescent="0.5">
      <c r="B265" s="3" t="str">
        <f>Cover!$B$2</f>
        <v>Paragon Bank</v>
      </c>
      <c r="C265" s="3"/>
      <c r="D265" s="4"/>
      <c r="E265" s="4"/>
      <c r="F265" s="4"/>
      <c r="G265" s="4"/>
      <c r="H265" s="4"/>
      <c r="I265" s="4"/>
    </row>
    <row r="266" spans="2:9" x14ac:dyDescent="0.3">
      <c r="B266" s="4" t="s">
        <v>170</v>
      </c>
      <c r="C266" s="4"/>
      <c r="D266" s="4"/>
      <c r="E266" s="4"/>
      <c r="F266" s="4"/>
      <c r="G266" s="4"/>
      <c r="H266" s="4"/>
      <c r="I266" s="4"/>
    </row>
    <row r="267" spans="2:9" x14ac:dyDescent="0.3">
      <c r="B267" s="4"/>
      <c r="C267" s="4"/>
      <c r="D267" s="4"/>
      <c r="E267" s="4"/>
      <c r="F267" s="4"/>
      <c r="G267" s="4"/>
      <c r="H267" s="4"/>
      <c r="I267" s="4"/>
    </row>
    <row r="268" spans="2:9" x14ac:dyDescent="0.3">
      <c r="B268" s="4"/>
      <c r="C268" s="4"/>
      <c r="D268" s="4"/>
      <c r="E268" s="4"/>
      <c r="F268" s="4"/>
      <c r="G268" s="4"/>
      <c r="H268" s="4"/>
      <c r="I268" s="4"/>
    </row>
    <row r="270" spans="2:9" x14ac:dyDescent="0.3">
      <c r="C270" t="s">
        <v>16</v>
      </c>
      <c r="E270" s="100">
        <v>2024</v>
      </c>
      <c r="F270" s="100">
        <v>2025</v>
      </c>
      <c r="G270" s="101">
        <f>F270+1</f>
        <v>2026</v>
      </c>
      <c r="H270" s="101">
        <f t="shared" ref="H270:I270" si="103">G270+1</f>
        <v>2027</v>
      </c>
      <c r="I270" s="101">
        <f t="shared" si="103"/>
        <v>2028</v>
      </c>
    </row>
    <row r="271" spans="2:9" x14ac:dyDescent="0.3">
      <c r="E271" s="5"/>
      <c r="F271" s="5"/>
      <c r="G271" s="5"/>
      <c r="H271" s="5"/>
      <c r="I271" s="5"/>
    </row>
    <row r="272" spans="2:9" x14ac:dyDescent="0.3">
      <c r="E272" s="5"/>
      <c r="F272" s="5"/>
      <c r="G272" s="5"/>
      <c r="H272" s="5"/>
      <c r="I272" s="5"/>
    </row>
    <row r="273" spans="2:9" x14ac:dyDescent="0.3">
      <c r="B273" s="54" t="s">
        <v>104</v>
      </c>
      <c r="C273" s="11"/>
      <c r="D273" s="11"/>
      <c r="E273" s="10"/>
      <c r="F273" s="10"/>
      <c r="G273" s="10"/>
      <c r="H273" s="10"/>
      <c r="I273" s="63"/>
    </row>
    <row r="274" spans="2:9" x14ac:dyDescent="0.3">
      <c r="B274" s="17" t="s">
        <v>162</v>
      </c>
      <c r="G274" s="65">
        <f>Assumptions!D8+Assumptions!D43</f>
        <v>3.6499999999999998E-2</v>
      </c>
      <c r="H274" s="65">
        <f>Assumptions!E8+Assumptions!E43</f>
        <v>4.3999999999999997E-2</v>
      </c>
      <c r="I274" s="66">
        <f>Assumptions!F8+Assumptions!F43</f>
        <v>3.9E-2</v>
      </c>
    </row>
    <row r="275" spans="2:9" x14ac:dyDescent="0.3">
      <c r="B275" s="19" t="s">
        <v>163</v>
      </c>
      <c r="C275" s="9"/>
      <c r="D275" s="9"/>
      <c r="E275" s="9"/>
      <c r="F275" s="9"/>
      <c r="G275" s="67">
        <f>Assumptions!D8+Assumptions!D44</f>
        <v>4.7500000000000001E-2</v>
      </c>
      <c r="H275" s="67">
        <f>Assumptions!E8+Assumptions!E44</f>
        <v>5.5E-2</v>
      </c>
      <c r="I275" s="68">
        <f>Assumptions!F8+Assumptions!F44</f>
        <v>0.05</v>
      </c>
    </row>
    <row r="277" spans="2:9" x14ac:dyDescent="0.3">
      <c r="B277" s="5" t="s">
        <v>159</v>
      </c>
    </row>
    <row r="278" spans="2:9" x14ac:dyDescent="0.3">
      <c r="B278" s="5"/>
    </row>
    <row r="279" spans="2:9" x14ac:dyDescent="0.3">
      <c r="B279" t="s">
        <v>158</v>
      </c>
      <c r="E279" s="42">
        <f>E54+E55</f>
        <v>2525.4</v>
      </c>
      <c r="F279" s="42">
        <f>F54+F55</f>
        <v>2389.5</v>
      </c>
      <c r="G279" s="42">
        <f>G54+G55</f>
        <v>3233.3960684662388</v>
      </c>
      <c r="H279" s="42">
        <f>H54+H55</f>
        <v>2465.437270245232</v>
      </c>
      <c r="I279" s="42">
        <f>I54+I55</f>
        <v>2189.4534387116228</v>
      </c>
    </row>
    <row r="280" spans="2:9" x14ac:dyDescent="0.3">
      <c r="B280" t="s">
        <v>33</v>
      </c>
      <c r="E280" s="42">
        <f>E56</f>
        <v>427.4</v>
      </c>
      <c r="F280" s="42">
        <f>F56</f>
        <v>626.20000000000005</v>
      </c>
      <c r="G280" s="42">
        <f>G56</f>
        <v>626.20000000000005</v>
      </c>
      <c r="H280" s="42">
        <f>H56</f>
        <v>626.20000000000005</v>
      </c>
      <c r="I280" s="42">
        <f>I56</f>
        <v>626.20000000000005</v>
      </c>
    </row>
    <row r="281" spans="2:9" x14ac:dyDescent="0.3">
      <c r="B281" s="10" t="s">
        <v>160</v>
      </c>
      <c r="C281" s="11"/>
      <c r="D281" s="11"/>
      <c r="E281" s="53">
        <f>SUM(E279:E280)</f>
        <v>2952.8</v>
      </c>
      <c r="F281" s="53">
        <f t="shared" ref="F281:I281" si="104">SUM(F279:F280)</f>
        <v>3015.7</v>
      </c>
      <c r="G281" s="53">
        <f t="shared" si="104"/>
        <v>3859.5960684662386</v>
      </c>
      <c r="H281" s="53">
        <f t="shared" si="104"/>
        <v>3091.6372702452318</v>
      </c>
      <c r="I281" s="53">
        <f t="shared" si="104"/>
        <v>2815.6534387116226</v>
      </c>
    </row>
    <row r="282" spans="2:9" x14ac:dyDescent="0.3">
      <c r="B282" t="s">
        <v>161</v>
      </c>
      <c r="F282" s="42">
        <f>AVERAGE(E281,F281)</f>
        <v>2984.25</v>
      </c>
      <c r="G282" s="42">
        <f t="shared" ref="G282:I282" si="105">AVERAGE(F281,G281)</f>
        <v>3437.6480342331192</v>
      </c>
      <c r="H282" s="42">
        <f t="shared" si="105"/>
        <v>3475.6166693557352</v>
      </c>
      <c r="I282" s="42">
        <f t="shared" si="105"/>
        <v>2953.6453544784272</v>
      </c>
    </row>
    <row r="284" spans="2:9" x14ac:dyDescent="0.3">
      <c r="B284" t="s">
        <v>164</v>
      </c>
      <c r="G284" s="42">
        <f>F279*G274</f>
        <v>87.21674999999999</v>
      </c>
      <c r="H284" s="42">
        <f>G279*H274</f>
        <v>142.26942701251451</v>
      </c>
      <c r="I284" s="42">
        <f>H279*I274</f>
        <v>96.152053539564051</v>
      </c>
    </row>
    <row r="285" spans="2:9" x14ac:dyDescent="0.3">
      <c r="B285" s="9" t="s">
        <v>165</v>
      </c>
      <c r="C285" s="9"/>
      <c r="D285" s="9"/>
      <c r="E285" s="9"/>
      <c r="F285" s="9"/>
      <c r="G285" s="81">
        <f>G275*F280</f>
        <v>29.744500000000002</v>
      </c>
      <c r="H285" s="81">
        <f>H275*G280</f>
        <v>34.441000000000003</v>
      </c>
      <c r="I285" s="81">
        <f>I275*H280</f>
        <v>31.310000000000002</v>
      </c>
    </row>
    <row r="286" spans="2:9" x14ac:dyDescent="0.3">
      <c r="B286" s="5" t="s">
        <v>166</v>
      </c>
      <c r="G286" s="42">
        <f>SUM(G284:G285)</f>
        <v>116.96124999999999</v>
      </c>
      <c r="H286" s="42">
        <f t="shared" ref="H286:I286" si="106">SUM(H284:H285)</f>
        <v>176.71042701251451</v>
      </c>
      <c r="I286" s="42">
        <f t="shared" si="106"/>
        <v>127.46205353956405</v>
      </c>
    </row>
    <row r="299" spans="2:9" ht="25.8" x14ac:dyDescent="0.5">
      <c r="B299" s="3" t="str">
        <f>Cover!$B$2</f>
        <v>Paragon Bank</v>
      </c>
      <c r="C299" s="3"/>
      <c r="D299" s="4"/>
      <c r="E299" s="4"/>
      <c r="F299" s="4"/>
      <c r="G299" s="4"/>
      <c r="H299" s="4"/>
      <c r="I299" s="4"/>
    </row>
    <row r="300" spans="2:9" x14ac:dyDescent="0.3">
      <c r="B300" s="4" t="s">
        <v>182</v>
      </c>
      <c r="C300" s="4"/>
      <c r="D300" s="4"/>
      <c r="E300" s="4"/>
      <c r="F300" s="4"/>
      <c r="G300" s="4"/>
      <c r="H300" s="4"/>
      <c r="I300" s="4"/>
    </row>
    <row r="301" spans="2:9" x14ac:dyDescent="0.3">
      <c r="B301" s="4"/>
      <c r="C301" s="4"/>
      <c r="D301" s="4"/>
      <c r="E301" s="4"/>
      <c r="F301" s="4"/>
      <c r="G301" s="4"/>
      <c r="H301" s="4"/>
      <c r="I301" s="4"/>
    </row>
    <row r="302" spans="2:9" x14ac:dyDescent="0.3">
      <c r="B302" s="4"/>
      <c r="C302" s="4"/>
      <c r="D302" s="4"/>
      <c r="E302" s="4"/>
      <c r="F302" s="4"/>
      <c r="G302" s="4"/>
      <c r="H302" s="4"/>
      <c r="I302" s="4"/>
    </row>
    <row r="304" spans="2:9" x14ac:dyDescent="0.3">
      <c r="C304" t="s">
        <v>3</v>
      </c>
      <c r="E304" s="100">
        <v>2024</v>
      </c>
      <c r="F304" s="100">
        <v>2025</v>
      </c>
      <c r="G304" s="101">
        <f>F304+1</f>
        <v>2026</v>
      </c>
      <c r="H304" s="101">
        <f t="shared" ref="H304:I304" si="107">G304+1</f>
        <v>2027</v>
      </c>
      <c r="I304" s="101">
        <f t="shared" si="107"/>
        <v>2028</v>
      </c>
    </row>
    <row r="306" spans="2:9" x14ac:dyDescent="0.3">
      <c r="B306" s="5" t="s">
        <v>171</v>
      </c>
    </row>
    <row r="308" spans="2:9" x14ac:dyDescent="0.3">
      <c r="B308" t="s">
        <v>172</v>
      </c>
      <c r="C308" t="s">
        <v>107</v>
      </c>
      <c r="G308" s="33">
        <f>G119</f>
        <v>14122.7565</v>
      </c>
      <c r="H308" s="33">
        <f>H119</f>
        <v>14655.866917500001</v>
      </c>
      <c r="I308" s="33">
        <f>I119</f>
        <v>15271.048321912502</v>
      </c>
    </row>
    <row r="309" spans="2:9" x14ac:dyDescent="0.3">
      <c r="B309" s="9" t="s">
        <v>173</v>
      </c>
      <c r="C309" s="9" t="s">
        <v>180</v>
      </c>
      <c r="D309" s="9"/>
      <c r="E309" s="9"/>
      <c r="F309" s="9"/>
      <c r="G309" s="95">
        <f>G325</f>
        <v>10</v>
      </c>
      <c r="H309" s="95">
        <f t="shared" ref="H309:I309" si="108">H325</f>
        <v>10</v>
      </c>
      <c r="I309" s="95">
        <f t="shared" si="108"/>
        <v>10</v>
      </c>
    </row>
    <row r="310" spans="2:9" x14ac:dyDescent="0.3">
      <c r="B310" s="5" t="s">
        <v>174</v>
      </c>
      <c r="C310" s="5" t="s">
        <v>107</v>
      </c>
      <c r="D310" s="5"/>
      <c r="E310" s="5"/>
      <c r="F310" s="5"/>
      <c r="G310" s="61">
        <f>G308*(G309/10000)</f>
        <v>14.122756499999999</v>
      </c>
      <c r="H310" s="61">
        <f t="shared" ref="H310:I310" si="109">H308*(H309/10000)</f>
        <v>14.655866917500001</v>
      </c>
      <c r="I310" s="61">
        <f t="shared" si="109"/>
        <v>15.271048321912502</v>
      </c>
    </row>
    <row r="312" spans="2:9" x14ac:dyDescent="0.3">
      <c r="B312" s="5" t="s">
        <v>175</v>
      </c>
    </row>
    <row r="314" spans="2:9" x14ac:dyDescent="0.3">
      <c r="B314" t="s">
        <v>176</v>
      </c>
      <c r="C314" t="s">
        <v>107</v>
      </c>
      <c r="G314" s="33">
        <f>G109</f>
        <v>2547.6475</v>
      </c>
      <c r="H314" s="33">
        <f>H109</f>
        <v>2724.1898124999998</v>
      </c>
      <c r="I314" s="33">
        <f>I109</f>
        <v>2920.5118609374999</v>
      </c>
    </row>
    <row r="315" spans="2:9" x14ac:dyDescent="0.3">
      <c r="B315" s="9" t="s">
        <v>177</v>
      </c>
      <c r="C315" s="9" t="s">
        <v>180</v>
      </c>
      <c r="D315" s="9"/>
      <c r="E315" s="9"/>
      <c r="F315" s="9"/>
      <c r="G315" s="95">
        <f>G326</f>
        <v>90</v>
      </c>
      <c r="H315" s="95">
        <f t="shared" ref="H315:I315" si="110">H326</f>
        <v>90</v>
      </c>
      <c r="I315" s="95">
        <f t="shared" si="110"/>
        <v>90</v>
      </c>
    </row>
    <row r="316" spans="2:9" x14ac:dyDescent="0.3">
      <c r="B316" s="5" t="s">
        <v>178</v>
      </c>
      <c r="C316" s="5" t="s">
        <v>107</v>
      </c>
      <c r="D316" s="5"/>
      <c r="E316" s="5"/>
      <c r="F316" s="5"/>
      <c r="G316" s="61">
        <f>G314*((G315/10000))</f>
        <v>22.928827499999997</v>
      </c>
      <c r="H316" s="61">
        <f t="shared" ref="H316:I316" si="111">H314*((H315/10000))</f>
        <v>24.517708312499995</v>
      </c>
      <c r="I316" s="61">
        <f t="shared" si="111"/>
        <v>26.284606748437497</v>
      </c>
    </row>
    <row r="317" spans="2:9" x14ac:dyDescent="0.3">
      <c r="B317" s="5"/>
      <c r="G317" s="43"/>
    </row>
    <row r="318" spans="2:9" x14ac:dyDescent="0.3">
      <c r="B318" s="5" t="s">
        <v>181</v>
      </c>
      <c r="C318" t="s">
        <v>107</v>
      </c>
      <c r="G318" s="61">
        <f>G310+G316</f>
        <v>37.051583999999998</v>
      </c>
      <c r="H318" s="61">
        <f t="shared" ref="H318:I318" si="112">H310+H316</f>
        <v>39.173575229999997</v>
      </c>
      <c r="I318" s="61">
        <f t="shared" si="112"/>
        <v>41.555655070349999</v>
      </c>
    </row>
    <row r="319" spans="2:9" x14ac:dyDescent="0.3">
      <c r="B319" s="5" t="s">
        <v>183</v>
      </c>
      <c r="C319" t="s">
        <v>107</v>
      </c>
      <c r="G319" s="61">
        <f>G122</f>
        <v>16670.403999999999</v>
      </c>
      <c r="H319" s="61">
        <f>H122</f>
        <v>17380.05673</v>
      </c>
      <c r="I319" s="61">
        <f>I122</f>
        <v>18191.56018285</v>
      </c>
    </row>
    <row r="320" spans="2:9" x14ac:dyDescent="0.3">
      <c r="B320" s="5"/>
      <c r="G320" s="61"/>
      <c r="H320" s="61"/>
      <c r="I320" s="61"/>
    </row>
    <row r="321" spans="2:9" x14ac:dyDescent="0.3">
      <c r="B321" s="5" t="s">
        <v>184</v>
      </c>
      <c r="C321" t="s">
        <v>180</v>
      </c>
      <c r="G321" s="69">
        <f>(G318/G319)*10000</f>
        <v>22.225966449283415</v>
      </c>
      <c r="H321" s="69">
        <f t="shared" ref="H321:I321" si="113">(H318/H319)*10000</f>
        <v>22.539382833188256</v>
      </c>
      <c r="I321" s="69">
        <f t="shared" si="113"/>
        <v>22.843370581005132</v>
      </c>
    </row>
    <row r="323" spans="2:9" x14ac:dyDescent="0.3">
      <c r="B323" s="54" t="s">
        <v>104</v>
      </c>
      <c r="C323" s="11"/>
      <c r="D323" s="11"/>
      <c r="E323" s="11"/>
      <c r="F323" s="11"/>
      <c r="G323" s="11"/>
      <c r="H323" s="11"/>
      <c r="I323" s="16"/>
    </row>
    <row r="324" spans="2:9" x14ac:dyDescent="0.3">
      <c r="B324" s="17"/>
      <c r="I324" s="18"/>
    </row>
    <row r="325" spans="2:9" x14ac:dyDescent="0.3">
      <c r="B325" s="17" t="s">
        <v>173</v>
      </c>
      <c r="C325" t="s">
        <v>180</v>
      </c>
      <c r="G325" s="96">
        <f>Assumptions!D48</f>
        <v>10</v>
      </c>
      <c r="H325" s="96">
        <f>Assumptions!E48</f>
        <v>10</v>
      </c>
      <c r="I325" s="97">
        <f>Assumptions!F48</f>
        <v>10</v>
      </c>
    </row>
    <row r="326" spans="2:9" x14ac:dyDescent="0.3">
      <c r="B326" s="19" t="s">
        <v>177</v>
      </c>
      <c r="C326" s="9" t="s">
        <v>180</v>
      </c>
      <c r="D326" s="9"/>
      <c r="E326" s="9"/>
      <c r="F326" s="9"/>
      <c r="G326" s="95">
        <f>Assumptions!D49</f>
        <v>90</v>
      </c>
      <c r="H326" s="95">
        <f>Assumptions!E49</f>
        <v>90</v>
      </c>
      <c r="I326" s="98">
        <f>Assumptions!F49</f>
        <v>90</v>
      </c>
    </row>
    <row r="333" spans="2:9" ht="25.8" x14ac:dyDescent="0.5">
      <c r="B333" s="3" t="str">
        <f>Cover!$B$2</f>
        <v>Paragon Bank</v>
      </c>
      <c r="C333" s="3"/>
      <c r="D333" s="4"/>
      <c r="E333" s="4"/>
      <c r="F333" s="4"/>
      <c r="G333" s="4"/>
      <c r="H333" s="4"/>
      <c r="I333" s="4"/>
    </row>
    <row r="334" spans="2:9" x14ac:dyDescent="0.3">
      <c r="B334" s="4" t="s">
        <v>201</v>
      </c>
      <c r="C334" s="4"/>
      <c r="D334" s="4"/>
      <c r="E334" s="4"/>
      <c r="F334" s="4"/>
      <c r="G334" s="4"/>
      <c r="H334" s="4"/>
      <c r="I334" s="4"/>
    </row>
    <row r="335" spans="2:9" x14ac:dyDescent="0.3">
      <c r="B335" s="4"/>
      <c r="C335" s="4"/>
      <c r="D335" s="4"/>
      <c r="E335" s="4"/>
      <c r="F335" s="4"/>
      <c r="G335" s="4"/>
      <c r="H335" s="4"/>
      <c r="I335" s="4"/>
    </row>
    <row r="336" spans="2:9" x14ac:dyDescent="0.3">
      <c r="B336" s="4"/>
      <c r="C336" s="4"/>
      <c r="D336" s="4"/>
      <c r="E336" s="4"/>
      <c r="F336" s="4"/>
      <c r="G336" s="4"/>
      <c r="H336" s="4"/>
      <c r="I336" s="4"/>
    </row>
    <row r="338" spans="2:9" x14ac:dyDescent="0.3">
      <c r="C338" t="s">
        <v>16</v>
      </c>
      <c r="E338" s="100">
        <v>2024</v>
      </c>
      <c r="F338" s="100">
        <v>2025</v>
      </c>
      <c r="G338" s="101">
        <f>F338+1</f>
        <v>2026</v>
      </c>
      <c r="H338" s="101">
        <f t="shared" ref="H338:I338" si="114">G338+1</f>
        <v>2027</v>
      </c>
      <c r="I338" s="101">
        <f t="shared" si="114"/>
        <v>2028</v>
      </c>
    </row>
    <row r="340" spans="2:9" x14ac:dyDescent="0.3">
      <c r="B340" s="5" t="s">
        <v>213</v>
      </c>
    </row>
    <row r="341" spans="2:9" x14ac:dyDescent="0.3">
      <c r="B341" s="5"/>
    </row>
    <row r="342" spans="2:9" x14ac:dyDescent="0.3">
      <c r="B342" t="s">
        <v>225</v>
      </c>
      <c r="E342" s="28"/>
      <c r="G342" s="33">
        <f>$F$362/$G$376</f>
        <v>15.4</v>
      </c>
      <c r="H342" s="33">
        <f>$F$362/$G$376</f>
        <v>15.4</v>
      </c>
      <c r="I342" s="33">
        <f>$F$362/$G$376</f>
        <v>15.4</v>
      </c>
    </row>
    <row r="343" spans="2:9" x14ac:dyDescent="0.3">
      <c r="B343" t="s">
        <v>219</v>
      </c>
      <c r="G343" s="33">
        <f>$G359/$G$376*0.5</f>
        <v>2.5544000000000002</v>
      </c>
      <c r="H343" s="33">
        <f t="shared" ref="H343:I343" si="115">$G359/$G$376</f>
        <v>5.1088000000000005</v>
      </c>
      <c r="I343" s="33">
        <f t="shared" si="115"/>
        <v>5.1088000000000005</v>
      </c>
    </row>
    <row r="344" spans="2:9" x14ac:dyDescent="0.3">
      <c r="B344" t="s">
        <v>221</v>
      </c>
      <c r="G344" s="33"/>
      <c r="H344" s="33">
        <f>$H$359/$G$376*0.5</f>
        <v>2.6310320000000003</v>
      </c>
      <c r="I344" s="33">
        <f>$H$359/$G$376</f>
        <v>5.2620640000000005</v>
      </c>
    </row>
    <row r="345" spans="2:9" x14ac:dyDescent="0.3">
      <c r="B345" t="s">
        <v>220</v>
      </c>
      <c r="G345" s="28"/>
      <c r="H345" s="28"/>
      <c r="I345" s="33">
        <f>I359/I376*0.5</f>
        <v>2.7099629599999999</v>
      </c>
    </row>
    <row r="346" spans="2:9" x14ac:dyDescent="0.3">
      <c r="B346" s="10" t="s">
        <v>222</v>
      </c>
      <c r="C346" s="10"/>
      <c r="D346" s="10"/>
      <c r="E346" s="10"/>
      <c r="F346" s="10"/>
      <c r="G346" s="49">
        <f>SUM(G342:G345)</f>
        <v>17.9544</v>
      </c>
      <c r="H346" s="49">
        <f t="shared" ref="H346:I346" si="116">SUM(H342:H345)</f>
        <v>23.139832000000002</v>
      </c>
      <c r="I346" s="49">
        <f t="shared" si="116"/>
        <v>28.480826960000002</v>
      </c>
    </row>
    <row r="347" spans="2:9" x14ac:dyDescent="0.3">
      <c r="B347" s="5"/>
      <c r="C347" s="5"/>
      <c r="D347" s="5"/>
      <c r="E347" s="5"/>
      <c r="F347" s="5"/>
      <c r="G347" s="30"/>
      <c r="H347" s="30"/>
      <c r="I347" s="30"/>
    </row>
    <row r="348" spans="2:9" x14ac:dyDescent="0.3">
      <c r="B348" s="5" t="s">
        <v>226</v>
      </c>
      <c r="C348" s="5"/>
      <c r="D348" s="5"/>
      <c r="E348" s="5"/>
      <c r="F348" s="5"/>
      <c r="G348" s="30"/>
      <c r="H348" s="30"/>
      <c r="I348" s="30"/>
    </row>
    <row r="349" spans="2:9" x14ac:dyDescent="0.3">
      <c r="B349" s="5"/>
      <c r="C349" s="5"/>
      <c r="D349" s="5"/>
      <c r="E349" s="5"/>
      <c r="F349" s="5"/>
      <c r="G349" s="30"/>
      <c r="H349" s="30"/>
      <c r="I349" s="30"/>
    </row>
    <row r="350" spans="2:9" x14ac:dyDescent="0.3">
      <c r="B350" t="s">
        <v>230</v>
      </c>
      <c r="C350" s="5"/>
      <c r="D350" s="5"/>
      <c r="E350" s="5"/>
      <c r="F350" s="5"/>
      <c r="G350" s="33">
        <f>$G$368/G376</f>
        <v>1.8599999999999965</v>
      </c>
      <c r="H350" s="33">
        <f t="shared" ref="H350:I350" si="117">$G$368/H376</f>
        <v>1.8599999999999965</v>
      </c>
      <c r="I350" s="33">
        <f t="shared" si="117"/>
        <v>1.8599999999999965</v>
      </c>
    </row>
    <row r="351" spans="2:9" x14ac:dyDescent="0.3">
      <c r="B351" t="s">
        <v>227</v>
      </c>
      <c r="C351" s="5"/>
      <c r="D351" s="5"/>
      <c r="E351" s="5"/>
      <c r="F351" s="5"/>
      <c r="G351" s="33">
        <f>$G$369/G376 * 0.5</f>
        <v>0.26780000000000004</v>
      </c>
      <c r="H351" s="33">
        <f t="shared" ref="H351:I351" si="118">$G$369/H376</f>
        <v>0.53560000000000008</v>
      </c>
      <c r="I351" s="33">
        <f t="shared" si="118"/>
        <v>0.53560000000000008</v>
      </c>
    </row>
    <row r="352" spans="2:9" x14ac:dyDescent="0.3">
      <c r="B352" t="s">
        <v>229</v>
      </c>
      <c r="C352" s="5"/>
      <c r="D352" s="5"/>
      <c r="E352" s="5"/>
      <c r="F352" s="5"/>
      <c r="G352" s="33"/>
      <c r="H352" s="33">
        <f>$H$369/H376 * 0.5</f>
        <v>0.27583400000000002</v>
      </c>
      <c r="I352" s="33">
        <f t="shared" ref="I352" si="119">$H$369/I376</f>
        <v>0.55166800000000005</v>
      </c>
    </row>
    <row r="353" spans="2:9" x14ac:dyDescent="0.3">
      <c r="B353" t="s">
        <v>228</v>
      </c>
      <c r="C353" s="5"/>
      <c r="D353" s="5"/>
      <c r="E353" s="5"/>
      <c r="F353" s="5"/>
      <c r="G353" s="33"/>
      <c r="H353" s="33"/>
      <c r="I353" s="33">
        <f>I369/I376 * 0.5</f>
        <v>0.28410902000000005</v>
      </c>
    </row>
    <row r="354" spans="2:9" x14ac:dyDescent="0.3">
      <c r="B354" s="10" t="s">
        <v>231</v>
      </c>
      <c r="C354" s="10"/>
      <c r="D354" s="10"/>
      <c r="E354" s="10"/>
      <c r="F354" s="10"/>
      <c r="G354" s="49">
        <f t="shared" ref="G354:H354" si="120">SUM(G350:G353)</f>
        <v>2.1277999999999966</v>
      </c>
      <c r="H354" s="49">
        <f t="shared" si="120"/>
        <v>2.6714339999999965</v>
      </c>
      <c r="I354" s="49">
        <f>SUM(I350:I353)</f>
        <v>3.2313770199999965</v>
      </c>
    </row>
    <row r="356" spans="2:9" x14ac:dyDescent="0.3">
      <c r="B356" s="5" t="s">
        <v>205</v>
      </c>
      <c r="E356" s="5"/>
      <c r="F356" s="5"/>
      <c r="G356" s="5"/>
      <c r="H356" s="5"/>
      <c r="I356" s="5"/>
    </row>
    <row r="358" spans="2:9" x14ac:dyDescent="0.3">
      <c r="B358" t="s">
        <v>202</v>
      </c>
      <c r="E358" s="38">
        <v>74.7</v>
      </c>
      <c r="F358" s="38">
        <f>E362</f>
        <v>71</v>
      </c>
      <c r="G358" s="38">
        <f t="shared" ref="G358:I358" si="121">F362</f>
        <v>77</v>
      </c>
      <c r="H358" s="38">
        <f t="shared" si="121"/>
        <v>81.58959999999999</v>
      </c>
      <c r="I358" s="38">
        <f t="shared" si="121"/>
        <v>81.760087999999996</v>
      </c>
    </row>
    <row r="359" spans="2:9" x14ac:dyDescent="0.3">
      <c r="B359" s="11" t="s">
        <v>208</v>
      </c>
      <c r="C359" s="11"/>
      <c r="D359" s="11"/>
      <c r="E359" s="33">
        <v>16.399999999999999</v>
      </c>
      <c r="F359" s="33">
        <v>24.8</v>
      </c>
      <c r="G359" s="33">
        <f>F359*(1+G377)</f>
        <v>25.544</v>
      </c>
      <c r="H359" s="33">
        <f>G359*(1+H377)</f>
        <v>26.310320000000001</v>
      </c>
      <c r="I359" s="33">
        <f>H359*(1+I377)</f>
        <v>27.0996296</v>
      </c>
    </row>
    <row r="360" spans="2:9" x14ac:dyDescent="0.3">
      <c r="B360" t="s">
        <v>223</v>
      </c>
      <c r="E360" s="33">
        <v>-3.1</v>
      </c>
      <c r="F360" s="33">
        <v>-3</v>
      </c>
      <c r="G360" s="33">
        <f>F360</f>
        <v>-3</v>
      </c>
      <c r="H360" s="33">
        <f t="shared" ref="H360:I360" si="122">G360</f>
        <v>-3</v>
      </c>
      <c r="I360" s="33">
        <f t="shared" si="122"/>
        <v>-3</v>
      </c>
    </row>
    <row r="361" spans="2:9" x14ac:dyDescent="0.3">
      <c r="B361" s="9" t="s">
        <v>203</v>
      </c>
      <c r="C361" s="9"/>
      <c r="D361" s="9"/>
      <c r="E361" s="38">
        <v>-17</v>
      </c>
      <c r="F361" s="38">
        <v>-15.8</v>
      </c>
      <c r="G361" s="38">
        <f>-G346</f>
        <v>-17.9544</v>
      </c>
      <c r="H361" s="38">
        <f>-H346</f>
        <v>-23.139832000000002</v>
      </c>
      <c r="I361" s="38">
        <f>-I346</f>
        <v>-28.480826960000002</v>
      </c>
    </row>
    <row r="362" spans="2:9" x14ac:dyDescent="0.3">
      <c r="B362" s="5" t="s">
        <v>204</v>
      </c>
      <c r="C362" s="5"/>
      <c r="D362" s="5"/>
      <c r="E362" s="47">
        <f>SUM(E358:E361)</f>
        <v>71</v>
      </c>
      <c r="F362" s="47">
        <f t="shared" ref="F362:I362" si="123">SUM(F358:F361)</f>
        <v>77</v>
      </c>
      <c r="G362" s="47">
        <f t="shared" si="123"/>
        <v>81.58959999999999</v>
      </c>
      <c r="H362" s="47">
        <f t="shared" si="123"/>
        <v>81.760087999999996</v>
      </c>
      <c r="I362" s="47">
        <f t="shared" si="123"/>
        <v>77.378890639999995</v>
      </c>
    </row>
    <row r="364" spans="2:9" x14ac:dyDescent="0.3">
      <c r="B364" s="5" t="s">
        <v>40</v>
      </c>
    </row>
    <row r="366" spans="2:9" x14ac:dyDescent="0.3">
      <c r="B366" t="s">
        <v>206</v>
      </c>
      <c r="E366" s="8">
        <v>168.2</v>
      </c>
      <c r="F366">
        <f>E371</f>
        <v>171.5</v>
      </c>
      <c r="G366">
        <f t="shared" ref="G366:I366" si="124">F371</f>
        <v>172.1</v>
      </c>
      <c r="H366" s="25">
        <f t="shared" si="124"/>
        <v>172.65019999999998</v>
      </c>
      <c r="I366" s="25">
        <f t="shared" si="124"/>
        <v>172.73710599999998</v>
      </c>
    </row>
    <row r="367" spans="2:9" x14ac:dyDescent="0.3">
      <c r="B367" t="s">
        <v>207</v>
      </c>
      <c r="E367" s="8">
        <v>162.80000000000001</v>
      </c>
      <c r="F367" s="8">
        <f>E367</f>
        <v>162.80000000000001</v>
      </c>
      <c r="G367" s="25">
        <f>F367+G378</f>
        <v>162.80000000000001</v>
      </c>
      <c r="H367" s="25">
        <f>G367+H378</f>
        <v>162.80000000000001</v>
      </c>
      <c r="I367" s="25">
        <f>H367+I378</f>
        <v>162.80000000000001</v>
      </c>
    </row>
    <row r="368" spans="2:9" x14ac:dyDescent="0.3">
      <c r="B368" s="5" t="s">
        <v>212</v>
      </c>
      <c r="C368" s="5"/>
      <c r="D368" s="5"/>
      <c r="E368" s="5">
        <f>E366-E367</f>
        <v>5.3999999999999773</v>
      </c>
      <c r="F368" s="5">
        <f t="shared" ref="F368:I368" si="125">F366-F367</f>
        <v>8.6999999999999886</v>
      </c>
      <c r="G368" s="73">
        <f t="shared" si="125"/>
        <v>9.2999999999999829</v>
      </c>
      <c r="H368" s="73">
        <f t="shared" si="125"/>
        <v>9.8501999999999725</v>
      </c>
      <c r="I368" s="73">
        <f t="shared" si="125"/>
        <v>9.9371059999999716</v>
      </c>
    </row>
    <row r="369" spans="2:9" x14ac:dyDescent="0.3">
      <c r="B369" s="11" t="s">
        <v>209</v>
      </c>
      <c r="C369" s="11"/>
      <c r="D369" s="11"/>
      <c r="E369" s="74">
        <v>4.5</v>
      </c>
      <c r="F369" s="74">
        <v>2.6</v>
      </c>
      <c r="G369" s="26">
        <f>F369*(1+G377)</f>
        <v>2.6780000000000004</v>
      </c>
      <c r="H369" s="26">
        <f t="shared" ref="H369:I369" si="126">G369*(1+H377)</f>
        <v>2.7583400000000005</v>
      </c>
      <c r="I369" s="26">
        <f t="shared" si="126"/>
        <v>2.8410902000000005</v>
      </c>
    </row>
    <row r="370" spans="2:9" x14ac:dyDescent="0.3">
      <c r="B370" s="9" t="s">
        <v>210</v>
      </c>
      <c r="C370" s="9"/>
      <c r="D370" s="9"/>
      <c r="E370" s="75">
        <v>-1.2</v>
      </c>
      <c r="F370" s="75">
        <v>-2</v>
      </c>
      <c r="G370" s="72">
        <f>-G354</f>
        <v>-2.1277999999999966</v>
      </c>
      <c r="H370" s="72">
        <f t="shared" ref="H370:I370" si="127">-H354</f>
        <v>-2.6714339999999965</v>
      </c>
      <c r="I370" s="72">
        <f t="shared" si="127"/>
        <v>-3.2313770199999965</v>
      </c>
    </row>
    <row r="371" spans="2:9" x14ac:dyDescent="0.3">
      <c r="B371" t="s">
        <v>211</v>
      </c>
      <c r="E371" s="5">
        <f>SUM(E367:E370)</f>
        <v>171.5</v>
      </c>
      <c r="F371" s="5">
        <f>SUM(F367:F370)</f>
        <v>172.1</v>
      </c>
      <c r="G371" s="73">
        <f>SUM(G367:G370)</f>
        <v>172.65019999999998</v>
      </c>
      <c r="H371" s="73">
        <f>SUM(H367:H370)</f>
        <v>172.73710599999998</v>
      </c>
      <c r="I371" s="73">
        <f>SUM(I367:I370)</f>
        <v>172.34681917999998</v>
      </c>
    </row>
    <row r="374" spans="2:9" x14ac:dyDescent="0.3">
      <c r="B374" s="54" t="s">
        <v>104</v>
      </c>
      <c r="C374" s="11"/>
      <c r="D374" s="11"/>
      <c r="E374" s="11"/>
      <c r="F374" s="11"/>
      <c r="G374" s="11"/>
      <c r="H374" s="11"/>
      <c r="I374" s="16"/>
    </row>
    <row r="375" spans="2:9" x14ac:dyDescent="0.3">
      <c r="B375" s="17"/>
      <c r="I375" s="18"/>
    </row>
    <row r="376" spans="2:9" x14ac:dyDescent="0.3">
      <c r="B376" s="17" t="s">
        <v>232</v>
      </c>
      <c r="G376" s="76">
        <f>Assumptions!D53</f>
        <v>5</v>
      </c>
      <c r="H376" s="76">
        <f>Assumptions!E53</f>
        <v>5</v>
      </c>
      <c r="I376" s="86">
        <f>Assumptions!F53</f>
        <v>5</v>
      </c>
    </row>
    <row r="377" spans="2:9" x14ac:dyDescent="0.3">
      <c r="B377" s="17" t="s">
        <v>218</v>
      </c>
      <c r="G377" s="55">
        <f>Assumptions!D54</f>
        <v>0.03</v>
      </c>
      <c r="H377" s="55">
        <f>Assumptions!E54</f>
        <v>0.03</v>
      </c>
      <c r="I377" s="56">
        <f>Assumptions!F54</f>
        <v>0.03</v>
      </c>
    </row>
    <row r="378" spans="2:9" x14ac:dyDescent="0.3">
      <c r="B378" s="17" t="s">
        <v>217</v>
      </c>
      <c r="G378" s="87">
        <f>Assumptions!D55</f>
        <v>0</v>
      </c>
      <c r="H378" s="87">
        <f>Assumptions!E55</f>
        <v>0</v>
      </c>
      <c r="I378" s="88">
        <f>Assumptions!F55</f>
        <v>0</v>
      </c>
    </row>
    <row r="379" spans="2:9" x14ac:dyDescent="0.3">
      <c r="B379" s="19" t="s">
        <v>224</v>
      </c>
      <c r="C379" s="9"/>
      <c r="D379" s="9"/>
      <c r="E379" s="9"/>
      <c r="F379" s="9"/>
      <c r="G379" s="9"/>
      <c r="H379" s="9"/>
      <c r="I379" s="20"/>
    </row>
    <row r="392" spans="2:9" ht="25.8" x14ac:dyDescent="0.5">
      <c r="B392" s="3" t="str">
        <f>Cover!$B$2</f>
        <v>Paragon Bank</v>
      </c>
      <c r="C392" s="3"/>
      <c r="D392" s="4"/>
      <c r="E392" s="4"/>
      <c r="F392" s="4"/>
      <c r="G392" s="4"/>
      <c r="H392" s="4"/>
      <c r="I392" s="4"/>
    </row>
    <row r="393" spans="2:9" x14ac:dyDescent="0.3">
      <c r="B393" s="4" t="s">
        <v>185</v>
      </c>
      <c r="C393" s="4"/>
      <c r="D393" s="4"/>
      <c r="E393" s="4"/>
      <c r="F393" s="4"/>
      <c r="G393" s="4"/>
      <c r="H393" s="4"/>
      <c r="I393" s="4"/>
    </row>
    <row r="394" spans="2:9" x14ac:dyDescent="0.3">
      <c r="B394" s="4"/>
      <c r="C394" s="4"/>
      <c r="D394" s="4"/>
      <c r="E394" s="4"/>
      <c r="F394" s="4"/>
      <c r="G394" s="4"/>
      <c r="H394" s="4"/>
      <c r="I394" s="4"/>
    </row>
    <row r="395" spans="2:9" x14ac:dyDescent="0.3">
      <c r="B395" s="4"/>
      <c r="C395" s="4"/>
      <c r="D395" s="4"/>
      <c r="E395" s="4"/>
      <c r="F395" s="4"/>
      <c r="G395" s="4"/>
      <c r="H395" s="4"/>
      <c r="I395" s="4"/>
    </row>
    <row r="397" spans="2:9" x14ac:dyDescent="0.3">
      <c r="C397" t="s">
        <v>16</v>
      </c>
      <c r="E397" s="100">
        <v>2024</v>
      </c>
      <c r="F397" s="100">
        <v>2025</v>
      </c>
      <c r="G397" s="101">
        <f>F397+1</f>
        <v>2026</v>
      </c>
      <c r="H397" s="101">
        <f t="shared" ref="H397:I397" si="128">G397+1</f>
        <v>2027</v>
      </c>
      <c r="I397" s="101">
        <f t="shared" si="128"/>
        <v>2028</v>
      </c>
    </row>
    <row r="399" spans="2:9" x14ac:dyDescent="0.3">
      <c r="B399" s="5" t="s">
        <v>11</v>
      </c>
    </row>
    <row r="400" spans="2:9" x14ac:dyDescent="0.3">
      <c r="B400" s="5"/>
    </row>
    <row r="401" spans="2:9" x14ac:dyDescent="0.3">
      <c r="B401" t="s">
        <v>186</v>
      </c>
      <c r="E401" s="28">
        <f>E13</f>
        <v>30.4</v>
      </c>
      <c r="F401">
        <f>F13</f>
        <v>31.7</v>
      </c>
      <c r="G401" s="25">
        <f>F401*(1+G420)</f>
        <v>32.651000000000003</v>
      </c>
      <c r="H401" s="25">
        <f t="shared" ref="H401:I401" si="129">G401*(1+H420)</f>
        <v>33.630530000000007</v>
      </c>
      <c r="I401" s="25">
        <f t="shared" si="129"/>
        <v>34.639445900000005</v>
      </c>
    </row>
    <row r="402" spans="2:9" x14ac:dyDescent="0.3">
      <c r="B402" t="s">
        <v>192</v>
      </c>
      <c r="E402">
        <f>E14</f>
        <v>-24.2</v>
      </c>
      <c r="F402">
        <f>F14</f>
        <v>-25.6</v>
      </c>
      <c r="G402" s="25">
        <f>F402*(1+G420)</f>
        <v>-26.368000000000002</v>
      </c>
      <c r="H402" s="25">
        <f t="shared" ref="H402:I402" si="130">G402*(1+H420)</f>
        <v>-27.159040000000005</v>
      </c>
      <c r="I402" s="25">
        <f t="shared" si="130"/>
        <v>-27.973811200000004</v>
      </c>
    </row>
    <row r="403" spans="2:9" x14ac:dyDescent="0.3">
      <c r="B403" s="10" t="s">
        <v>9</v>
      </c>
      <c r="C403" s="11"/>
      <c r="D403" s="11"/>
      <c r="E403" s="29">
        <f>SUM(E401:E402)</f>
        <v>6.1999999999999993</v>
      </c>
      <c r="F403" s="13">
        <f t="shared" ref="F403:I403" si="131">SUM(F401:F402)</f>
        <v>6.0999999999999979</v>
      </c>
      <c r="G403" s="13">
        <f t="shared" si="131"/>
        <v>6.2830000000000013</v>
      </c>
      <c r="H403" s="13">
        <f t="shared" si="131"/>
        <v>6.4714900000000029</v>
      </c>
      <c r="I403" s="13">
        <f t="shared" si="131"/>
        <v>6.6656347000000018</v>
      </c>
    </row>
    <row r="404" spans="2:9" x14ac:dyDescent="0.3">
      <c r="B404" s="9" t="s">
        <v>10</v>
      </c>
      <c r="C404" s="9"/>
      <c r="D404" s="9"/>
      <c r="E404" s="70">
        <f>E16</f>
        <v>7</v>
      </c>
      <c r="F404" s="72">
        <f>F16</f>
        <v>6.7</v>
      </c>
      <c r="G404" s="72">
        <f>F404*(1+G421)</f>
        <v>6.7</v>
      </c>
      <c r="H404" s="72">
        <f t="shared" ref="H404:I404" si="132">G404*(1+H421)</f>
        <v>6.7</v>
      </c>
      <c r="I404" s="72">
        <f t="shared" si="132"/>
        <v>6.7</v>
      </c>
    </row>
    <row r="405" spans="2:9" x14ac:dyDescent="0.3">
      <c r="B405" s="5" t="s">
        <v>187</v>
      </c>
      <c r="E405" s="30">
        <f>SUM(E403:E404)</f>
        <v>13.2</v>
      </c>
      <c r="F405" s="73">
        <f t="shared" ref="F405:I405" si="133">SUM(F403:F404)</f>
        <v>12.799999999999997</v>
      </c>
      <c r="G405" s="73">
        <f t="shared" si="133"/>
        <v>12.983000000000001</v>
      </c>
      <c r="H405" s="73">
        <f t="shared" si="133"/>
        <v>13.171490000000002</v>
      </c>
      <c r="I405" s="73">
        <f t="shared" si="133"/>
        <v>13.365634700000001</v>
      </c>
    </row>
    <row r="407" spans="2:9" x14ac:dyDescent="0.3">
      <c r="B407" s="5" t="s">
        <v>12</v>
      </c>
    </row>
    <row r="409" spans="2:9" x14ac:dyDescent="0.3">
      <c r="B409" t="s">
        <v>188</v>
      </c>
      <c r="E409" s="8">
        <v>111.1</v>
      </c>
      <c r="F409" s="8">
        <v>110.2</v>
      </c>
      <c r="G409" s="25">
        <f>F409*(1+G422) * (1+G423)</f>
        <v>114.09005999999999</v>
      </c>
      <c r="H409" s="25">
        <f t="shared" ref="H409:I409" si="134">G409*(1+H422) * (1+H423)</f>
        <v>118.11743911799998</v>
      </c>
      <c r="I409" s="25">
        <f t="shared" si="134"/>
        <v>122.28698471886537</v>
      </c>
    </row>
    <row r="410" spans="2:9" x14ac:dyDescent="0.3">
      <c r="B410" t="s">
        <v>195</v>
      </c>
      <c r="E410" s="8">
        <v>3.6</v>
      </c>
      <c r="F410" s="71">
        <v>4</v>
      </c>
      <c r="G410" s="25">
        <f>F410*(1+Assumptions!D10)</f>
        <v>4.1500000000000004</v>
      </c>
      <c r="H410" s="25">
        <f>G410*(1+Assumptions!E10)</f>
        <v>4.2952500000000002</v>
      </c>
      <c r="I410" s="25">
        <f>H410*(1+Assumptions!F10)</f>
        <v>4.4026312499999998</v>
      </c>
    </row>
    <row r="411" spans="2:9" x14ac:dyDescent="0.3">
      <c r="B411" t="s">
        <v>196</v>
      </c>
      <c r="E411" s="8">
        <v>2.1</v>
      </c>
      <c r="F411" s="8">
        <v>2.7</v>
      </c>
      <c r="G411" s="25">
        <f>F411*(1+Assumptions!D10)</f>
        <v>2.8012500000000005</v>
      </c>
      <c r="H411" s="25">
        <f>G411*(1+Assumptions!E10)</f>
        <v>2.8992937500000004</v>
      </c>
      <c r="I411" s="25">
        <f>H411*(1+Assumptions!F10)</f>
        <v>2.9717760937500004</v>
      </c>
    </row>
    <row r="412" spans="2:9" x14ac:dyDescent="0.3">
      <c r="B412" t="s">
        <v>197</v>
      </c>
      <c r="E412" s="25">
        <f>-E370</f>
        <v>1.2</v>
      </c>
      <c r="F412" s="25">
        <f>-F370</f>
        <v>2</v>
      </c>
      <c r="G412" s="25">
        <f>-G370</f>
        <v>2.1277999999999966</v>
      </c>
      <c r="H412" s="25">
        <f>-H370</f>
        <v>2.6714339999999965</v>
      </c>
      <c r="I412" s="25">
        <f>-I370</f>
        <v>3.2313770199999965</v>
      </c>
    </row>
    <row r="413" spans="2:9" x14ac:dyDescent="0.3">
      <c r="B413" t="s">
        <v>198</v>
      </c>
      <c r="E413" s="25">
        <f>-E361</f>
        <v>17</v>
      </c>
      <c r="F413" s="25">
        <f>-F361</f>
        <v>15.8</v>
      </c>
      <c r="G413" s="25">
        <f>-G361</f>
        <v>17.9544</v>
      </c>
      <c r="H413" s="25">
        <f>-H361</f>
        <v>23.139832000000002</v>
      </c>
      <c r="I413" s="25">
        <f>-I361</f>
        <v>28.480826960000002</v>
      </c>
    </row>
    <row r="414" spans="2:9" x14ac:dyDescent="0.3">
      <c r="B414" s="9" t="s">
        <v>189</v>
      </c>
      <c r="C414" s="9"/>
      <c r="D414" s="9"/>
      <c r="E414" s="12">
        <v>55.8</v>
      </c>
      <c r="F414" s="12">
        <v>56.9</v>
      </c>
      <c r="G414" s="72">
        <f>F414*(1+Assumptions!D14)</f>
        <v>59.745000000000005</v>
      </c>
      <c r="H414" s="72">
        <f>G414*(1+Assumptions!E14)</f>
        <v>62.732250000000008</v>
      </c>
      <c r="I414" s="72">
        <f>H414*(1+Assumptions!F14)</f>
        <v>65.868862500000006</v>
      </c>
    </row>
    <row r="415" spans="2:9" x14ac:dyDescent="0.3">
      <c r="B415" s="5" t="s">
        <v>190</v>
      </c>
      <c r="E415" s="30">
        <f>-E21</f>
        <v>179.2</v>
      </c>
      <c r="F415" s="30">
        <f>-F21</f>
        <v>179.3</v>
      </c>
      <c r="G415" s="73">
        <f>SUM(G409:G414)</f>
        <v>200.86850999999999</v>
      </c>
      <c r="H415" s="73">
        <f t="shared" ref="H415:I415" si="135">SUM(H409:H414)</f>
        <v>213.85549886799998</v>
      </c>
      <c r="I415" s="73">
        <f t="shared" si="135"/>
        <v>227.24245854261537</v>
      </c>
    </row>
    <row r="418" spans="2:9" x14ac:dyDescent="0.3">
      <c r="B418" s="54" t="s">
        <v>104</v>
      </c>
      <c r="C418" s="11"/>
      <c r="D418" s="11"/>
      <c r="E418" s="11"/>
      <c r="F418" s="11"/>
      <c r="G418" s="11"/>
      <c r="H418" s="11"/>
      <c r="I418" s="16"/>
    </row>
    <row r="419" spans="2:9" x14ac:dyDescent="0.3">
      <c r="B419" s="17"/>
      <c r="I419" s="18"/>
    </row>
    <row r="420" spans="2:9" x14ac:dyDescent="0.3">
      <c r="B420" s="17" t="s">
        <v>193</v>
      </c>
      <c r="C420" t="s">
        <v>108</v>
      </c>
      <c r="G420" s="55">
        <f>Assumptions!D59</f>
        <v>0.03</v>
      </c>
      <c r="H420" s="55">
        <f>Assumptions!E59</f>
        <v>0.03</v>
      </c>
      <c r="I420" s="56">
        <f>Assumptions!F59</f>
        <v>0.03</v>
      </c>
    </row>
    <row r="421" spans="2:9" x14ac:dyDescent="0.3">
      <c r="B421" s="17" t="s">
        <v>194</v>
      </c>
      <c r="C421" t="s">
        <v>108</v>
      </c>
      <c r="G421" s="55">
        <f>Assumptions!D60</f>
        <v>0</v>
      </c>
      <c r="H421" s="55">
        <f>Assumptions!E60</f>
        <v>0</v>
      </c>
      <c r="I421" s="56">
        <f>Assumptions!F60</f>
        <v>0</v>
      </c>
    </row>
    <row r="422" spans="2:9" x14ac:dyDescent="0.3">
      <c r="B422" s="17" t="s">
        <v>199</v>
      </c>
      <c r="C422" t="s">
        <v>108</v>
      </c>
      <c r="G422" s="55">
        <f>Assumptions!D62</f>
        <v>1.4999999999999999E-2</v>
      </c>
      <c r="H422" s="55">
        <f>Assumptions!E62</f>
        <v>1.4999999999999999E-2</v>
      </c>
      <c r="I422" s="56">
        <f>Assumptions!F62</f>
        <v>1.4999999999999999E-2</v>
      </c>
    </row>
    <row r="423" spans="2:9" x14ac:dyDescent="0.3">
      <c r="B423" s="19" t="s">
        <v>200</v>
      </c>
      <c r="C423" s="9" t="s">
        <v>108</v>
      </c>
      <c r="D423" s="9"/>
      <c r="E423" s="9"/>
      <c r="F423" s="9"/>
      <c r="G423" s="58">
        <f>Assumptions!D63</f>
        <v>0.02</v>
      </c>
      <c r="H423" s="58">
        <f>Assumptions!E63</f>
        <v>0.02</v>
      </c>
      <c r="I423" s="59">
        <f>Assumptions!F63</f>
        <v>0.02</v>
      </c>
    </row>
    <row r="424" spans="2:9" x14ac:dyDescent="0.3">
      <c r="G424" s="55"/>
      <c r="H424" s="55"/>
      <c r="I424" s="55"/>
    </row>
    <row r="425" spans="2:9" x14ac:dyDescent="0.3">
      <c r="G425" s="55"/>
      <c r="H425" s="55"/>
      <c r="I425" s="55"/>
    </row>
    <row r="426" spans="2:9" x14ac:dyDescent="0.3">
      <c r="G426" s="55"/>
      <c r="H426" s="55"/>
      <c r="I426" s="55"/>
    </row>
    <row r="430" spans="2:9" ht="25.8" x14ac:dyDescent="0.5">
      <c r="B430" s="3" t="str">
        <f>Cover!$B$2</f>
        <v>Paragon Bank</v>
      </c>
      <c r="C430" s="3"/>
      <c r="D430" s="4"/>
      <c r="E430" s="4"/>
      <c r="F430" s="4"/>
      <c r="G430" s="4"/>
      <c r="H430" s="4"/>
      <c r="I430" s="4"/>
    </row>
    <row r="431" spans="2:9" x14ac:dyDescent="0.3">
      <c r="B431" s="4" t="s">
        <v>233</v>
      </c>
      <c r="C431" s="4"/>
      <c r="D431" s="4"/>
      <c r="E431" s="4"/>
      <c r="F431" s="4"/>
      <c r="G431" s="4"/>
      <c r="H431" s="4"/>
      <c r="I431" s="4"/>
    </row>
    <row r="432" spans="2:9" x14ac:dyDescent="0.3">
      <c r="B432" s="4"/>
      <c r="C432" s="4"/>
      <c r="D432" s="4"/>
      <c r="E432" s="4"/>
      <c r="F432" s="4"/>
      <c r="G432" s="4"/>
      <c r="H432" s="4"/>
      <c r="I432" s="4"/>
    </row>
    <row r="433" spans="2:9" x14ac:dyDescent="0.3">
      <c r="B433" s="4"/>
      <c r="C433" s="4"/>
      <c r="D433" s="4"/>
      <c r="E433" s="4"/>
      <c r="F433" s="4"/>
      <c r="G433" s="4"/>
      <c r="H433" s="4"/>
      <c r="I433" s="4"/>
    </row>
    <row r="435" spans="2:9" x14ac:dyDescent="0.3">
      <c r="C435" t="s">
        <v>3</v>
      </c>
      <c r="E435" s="100">
        <v>2024</v>
      </c>
      <c r="F435" s="100">
        <v>2025</v>
      </c>
      <c r="G435" s="101">
        <f>F435+1</f>
        <v>2026</v>
      </c>
      <c r="H435" s="101">
        <f t="shared" ref="H435:I435" si="136">G435+1</f>
        <v>2027</v>
      </c>
      <c r="I435" s="101">
        <f t="shared" si="136"/>
        <v>2028</v>
      </c>
    </row>
    <row r="437" spans="2:9" x14ac:dyDescent="0.3">
      <c r="B437" s="5" t="s">
        <v>234</v>
      </c>
    </row>
    <row r="439" spans="2:9" x14ac:dyDescent="0.3">
      <c r="B439" t="s">
        <v>235</v>
      </c>
      <c r="C439" t="s">
        <v>107</v>
      </c>
      <c r="G439" s="33">
        <f>G116</f>
        <v>14369.113000000001</v>
      </c>
      <c r="H439" s="33">
        <f>H116</f>
        <v>14942.620835000002</v>
      </c>
      <c r="I439" s="33">
        <f>I116</f>
        <v>15599.475808825</v>
      </c>
    </row>
    <row r="440" spans="2:9" x14ac:dyDescent="0.3">
      <c r="B440" t="s">
        <v>236</v>
      </c>
      <c r="C440" t="s">
        <v>108</v>
      </c>
      <c r="G440" s="7">
        <f>Assumptions!$D$73</f>
        <v>0.35</v>
      </c>
      <c r="H440" s="7">
        <f>Assumptions!$D$73</f>
        <v>0.35</v>
      </c>
      <c r="I440" s="7">
        <f>Assumptions!$D$73</f>
        <v>0.35</v>
      </c>
    </row>
    <row r="441" spans="2:9" x14ac:dyDescent="0.3">
      <c r="B441" s="5" t="s">
        <v>237</v>
      </c>
      <c r="C441" t="s">
        <v>107</v>
      </c>
      <c r="G441" s="42">
        <f>G440*G439</f>
        <v>5029.1895500000001</v>
      </c>
      <c r="H441" s="42">
        <f t="shared" ref="H441:I441" si="137">H440*H439</f>
        <v>5229.9172922500002</v>
      </c>
      <c r="I441" s="42">
        <f t="shared" si="137"/>
        <v>5459.8165330887496</v>
      </c>
    </row>
    <row r="443" spans="2:9" x14ac:dyDescent="0.3">
      <c r="B443" t="s">
        <v>238</v>
      </c>
      <c r="C443" t="s">
        <v>107</v>
      </c>
      <c r="G443" s="33">
        <f>G106</f>
        <v>2630.6949999999997</v>
      </c>
      <c r="H443" s="33">
        <f>H106</f>
        <v>2817.6846249999999</v>
      </c>
      <c r="I443" s="33">
        <f>I106</f>
        <v>3023.339096875</v>
      </c>
    </row>
    <row r="444" spans="2:9" x14ac:dyDescent="0.3">
      <c r="B444" s="9" t="s">
        <v>239</v>
      </c>
      <c r="C444" s="9" t="s">
        <v>108</v>
      </c>
      <c r="D444" s="9"/>
      <c r="E444" s="9"/>
      <c r="F444" s="9"/>
      <c r="G444" s="45">
        <f>Assumptions!$D$74</f>
        <v>0.9</v>
      </c>
      <c r="H444" s="45">
        <f>Assumptions!$D$74</f>
        <v>0.9</v>
      </c>
      <c r="I444" s="45">
        <f>Assumptions!$D$74</f>
        <v>0.9</v>
      </c>
    </row>
    <row r="445" spans="2:9" x14ac:dyDescent="0.3">
      <c r="B445" s="5" t="s">
        <v>240</v>
      </c>
      <c r="C445" t="s">
        <v>107</v>
      </c>
      <c r="G445" s="42">
        <f>G444*G443</f>
        <v>2367.6254999999996</v>
      </c>
      <c r="H445" s="42">
        <f t="shared" ref="H445:I445" si="138">H444*H443</f>
        <v>2535.9161625000002</v>
      </c>
      <c r="I445" s="42">
        <f t="shared" si="138"/>
        <v>2721.0051871875003</v>
      </c>
    </row>
    <row r="447" spans="2:9" x14ac:dyDescent="0.3">
      <c r="B447" s="5" t="s">
        <v>241</v>
      </c>
      <c r="C447" t="s">
        <v>107</v>
      </c>
      <c r="G447" s="42">
        <f>G441+G445</f>
        <v>7396.8150499999992</v>
      </c>
      <c r="H447" s="42">
        <f t="shared" ref="H447:I447" si="139">H441+H445</f>
        <v>7765.8334547499999</v>
      </c>
      <c r="I447" s="42">
        <f t="shared" si="139"/>
        <v>8180.8217202762498</v>
      </c>
    </row>
    <row r="448" spans="2:9" x14ac:dyDescent="0.3">
      <c r="B448" s="10" t="s">
        <v>242</v>
      </c>
      <c r="C448" s="11" t="s">
        <v>107</v>
      </c>
      <c r="D448" s="11"/>
      <c r="E448" s="11"/>
      <c r="F448" s="82">
        <v>928.3</v>
      </c>
      <c r="G448" s="53">
        <f>F448*(1+Assumptions!$D$75)</f>
        <v>974.71500000000003</v>
      </c>
      <c r="H448" s="53">
        <f>G448*(1+Assumptions!$D$75)</f>
        <v>1023.4507500000001</v>
      </c>
      <c r="I448" s="53">
        <f>H448*(1+Assumptions!$D$75)</f>
        <v>1074.6232875000001</v>
      </c>
    </row>
    <row r="449" spans="2:9" x14ac:dyDescent="0.3">
      <c r="B449" s="6" t="s">
        <v>243</v>
      </c>
      <c r="C449" s="9" t="s">
        <v>107</v>
      </c>
      <c r="D449" s="9"/>
      <c r="E449" s="9"/>
      <c r="F449" s="83">
        <v>16.7</v>
      </c>
      <c r="G449" s="81">
        <f>F449</f>
        <v>16.7</v>
      </c>
      <c r="H449" s="9">
        <f t="shared" ref="H449:I449" si="140">G449</f>
        <v>16.7</v>
      </c>
      <c r="I449" s="9">
        <f t="shared" si="140"/>
        <v>16.7</v>
      </c>
    </row>
    <row r="450" spans="2:9" x14ac:dyDescent="0.3">
      <c r="B450" s="5" t="s">
        <v>244</v>
      </c>
      <c r="C450" t="s">
        <v>107</v>
      </c>
      <c r="G450" s="42">
        <f>SUM(G447:G449)</f>
        <v>8388.2300500000001</v>
      </c>
      <c r="H450" s="42">
        <f t="shared" ref="H450:I450" si="141">SUM(H447:H449)</f>
        <v>8805.9842047500006</v>
      </c>
      <c r="I450" s="42">
        <f t="shared" si="141"/>
        <v>9272.1450077762511</v>
      </c>
    </row>
    <row r="451" spans="2:9" x14ac:dyDescent="0.3">
      <c r="B451" s="5"/>
      <c r="G451" s="42"/>
      <c r="H451" s="42"/>
      <c r="I451" s="42"/>
    </row>
    <row r="452" spans="2:9" x14ac:dyDescent="0.3">
      <c r="B452" s="5"/>
      <c r="G452" s="42"/>
      <c r="H452" s="42"/>
      <c r="I452" s="42"/>
    </row>
    <row r="453" spans="2:9" x14ac:dyDescent="0.3">
      <c r="B453" s="5" t="s">
        <v>247</v>
      </c>
      <c r="G453" s="42"/>
      <c r="H453" s="42"/>
      <c r="I453" s="42"/>
    </row>
    <row r="454" spans="2:9" x14ac:dyDescent="0.3">
      <c r="B454" s="5"/>
      <c r="G454" s="42"/>
      <c r="H454" s="42"/>
      <c r="I454" s="42"/>
    </row>
    <row r="455" spans="2:9" x14ac:dyDescent="0.3">
      <c r="B455" s="5" t="s">
        <v>248</v>
      </c>
      <c r="C455" t="s">
        <v>107</v>
      </c>
      <c r="G455" s="42">
        <f>F460</f>
        <v>1172.4000000000001</v>
      </c>
      <c r="H455" s="42">
        <f t="shared" ref="H455:I455" si="142">G460</f>
        <v>1249.4444481975002</v>
      </c>
      <c r="I455" s="42">
        <f t="shared" si="142"/>
        <v>1332.2496145512819</v>
      </c>
    </row>
    <row r="456" spans="2:9" x14ac:dyDescent="0.3">
      <c r="B456" s="11" t="s">
        <v>249</v>
      </c>
      <c r="C456" s="11" t="s">
        <v>107</v>
      </c>
      <c r="D456" s="11"/>
      <c r="E456" s="11"/>
      <c r="F456" s="11"/>
      <c r="G456" s="53">
        <f>G28</f>
        <v>228.40741366250012</v>
      </c>
      <c r="H456" s="53">
        <f>H28</f>
        <v>263.00861058963591</v>
      </c>
      <c r="I456" s="53">
        <f>I28</f>
        <v>260.84665977275762</v>
      </c>
    </row>
    <row r="457" spans="2:9" x14ac:dyDescent="0.3">
      <c r="B457" t="s">
        <v>250</v>
      </c>
      <c r="C457" t="s">
        <v>107</v>
      </c>
      <c r="G457" s="42">
        <f>-G456*Assumptions!$D$80</f>
        <v>-91.362965465000059</v>
      </c>
      <c r="H457" s="42">
        <f>-H456*Assumptions!$D$80</f>
        <v>-105.20344423585436</v>
      </c>
      <c r="I457" s="42">
        <f>-I456*Assumptions!$D$80</f>
        <v>-104.33866390910305</v>
      </c>
    </row>
    <row r="458" spans="2:9" x14ac:dyDescent="0.3">
      <c r="B458" t="s">
        <v>251</v>
      </c>
      <c r="C458" t="s">
        <v>107</v>
      </c>
      <c r="G458" s="42">
        <f>-Assumptions!D81</f>
        <v>-60</v>
      </c>
      <c r="H458" s="42">
        <f>-Assumptions!E81</f>
        <v>-75</v>
      </c>
      <c r="I458" s="42">
        <f>-Assumptions!F81</f>
        <v>-75</v>
      </c>
    </row>
    <row r="459" spans="2:9" x14ac:dyDescent="0.3">
      <c r="B459" s="9" t="s">
        <v>252</v>
      </c>
      <c r="C459" t="s">
        <v>107</v>
      </c>
      <c r="D459" s="9"/>
      <c r="E459" s="9"/>
      <c r="F459" s="9"/>
      <c r="G459" s="81"/>
      <c r="H459" s="81"/>
      <c r="I459" s="81"/>
    </row>
    <row r="460" spans="2:9" x14ac:dyDescent="0.3">
      <c r="B460" s="5" t="s">
        <v>253</v>
      </c>
      <c r="C460" s="11" t="s">
        <v>107</v>
      </c>
      <c r="F460" s="99">
        <v>1172.4000000000001</v>
      </c>
      <c r="G460" s="42">
        <f>SUM(G455:G459)</f>
        <v>1249.4444481975002</v>
      </c>
      <c r="H460" s="42">
        <f>SUM(H455:H459)</f>
        <v>1332.2496145512819</v>
      </c>
      <c r="I460" s="42">
        <f>SUM(I455:I459)</f>
        <v>1413.7576104149366</v>
      </c>
    </row>
    <row r="461" spans="2:9" x14ac:dyDescent="0.3">
      <c r="B461" s="5" t="s">
        <v>277</v>
      </c>
      <c r="C461" t="s">
        <v>107</v>
      </c>
      <c r="F461" s="42">
        <f>F161</f>
        <v>150.1</v>
      </c>
      <c r="G461" s="42">
        <f>G161</f>
        <v>200.00000000000003</v>
      </c>
      <c r="H461" s="42">
        <f>H161</f>
        <v>200.00000000000003</v>
      </c>
      <c r="I461" s="42">
        <f>I161</f>
        <v>200.00000000000003</v>
      </c>
    </row>
    <row r="462" spans="2:9" x14ac:dyDescent="0.3">
      <c r="B462" s="10" t="s">
        <v>278</v>
      </c>
      <c r="C462" s="11" t="s">
        <v>107</v>
      </c>
      <c r="D462" s="11"/>
      <c r="E462" s="11"/>
      <c r="F462" s="53">
        <f>SUM(F460:F461)</f>
        <v>1322.5</v>
      </c>
      <c r="G462" s="53">
        <f>SUM(G460:G461)</f>
        <v>1449.4444481975002</v>
      </c>
      <c r="H462" s="53">
        <f>SUM(H460:H461)</f>
        <v>1532.2496145512819</v>
      </c>
      <c r="I462" s="53">
        <f>SUM(I460:I461)</f>
        <v>1613.7576104149366</v>
      </c>
    </row>
    <row r="463" spans="2:9" x14ac:dyDescent="0.3">
      <c r="B463" s="5"/>
      <c r="G463" s="42"/>
      <c r="H463" s="42"/>
      <c r="I463" s="42"/>
    </row>
    <row r="464" spans="2:9" x14ac:dyDescent="0.3">
      <c r="B464" s="6" t="s">
        <v>257</v>
      </c>
      <c r="C464" s="6" t="s">
        <v>108</v>
      </c>
      <c r="D464" s="6"/>
      <c r="E464" s="6"/>
      <c r="F464" s="6"/>
      <c r="G464" s="64">
        <f>G460/G450</f>
        <v>0.1489520960619696</v>
      </c>
      <c r="H464" s="64">
        <f>H460/H450</f>
        <v>0.15128912153086288</v>
      </c>
      <c r="I464" s="64">
        <f>I460/I450</f>
        <v>0.15247363034435543</v>
      </c>
    </row>
    <row r="465" spans="2:9" x14ac:dyDescent="0.3">
      <c r="B465" t="s">
        <v>256</v>
      </c>
      <c r="C465" t="s">
        <v>108</v>
      </c>
      <c r="G465" s="48">
        <f>Assumptions!$D$76</f>
        <v>9.0999999999999998E-2</v>
      </c>
      <c r="H465" s="48">
        <f>Assumptions!$D$76</f>
        <v>9.0999999999999998E-2</v>
      </c>
      <c r="I465" s="48">
        <f>Assumptions!$D$76</f>
        <v>9.0999999999999998E-2</v>
      </c>
    </row>
    <row r="466" spans="2:9" x14ac:dyDescent="0.3">
      <c r="B466" t="s">
        <v>258</v>
      </c>
      <c r="C466" t="s">
        <v>108</v>
      </c>
      <c r="G466" s="48">
        <f>G464-G465</f>
        <v>5.7952096061969605E-2</v>
      </c>
      <c r="H466" s="48">
        <f t="shared" ref="H466:I466" si="143">H464-H465</f>
        <v>6.0289121530862883E-2</v>
      </c>
      <c r="I466" s="48">
        <f t="shared" si="143"/>
        <v>6.1473630344355434E-2</v>
      </c>
    </row>
    <row r="468" spans="2:9" x14ac:dyDescent="0.3">
      <c r="B468" s="5" t="s">
        <v>279</v>
      </c>
      <c r="C468" s="5" t="s">
        <v>108</v>
      </c>
      <c r="D468" s="5"/>
      <c r="E468" s="5"/>
      <c r="F468" s="5"/>
      <c r="G468" s="85">
        <f>G462/G450</f>
        <v>0.17279502821903414</v>
      </c>
      <c r="H468" s="85">
        <f>H462/H450</f>
        <v>0.17400094968655261</v>
      </c>
      <c r="I468" s="85">
        <f>I462/I450</f>
        <v>0.17404361224522802</v>
      </c>
    </row>
    <row r="470" spans="2:9" x14ac:dyDescent="0.3">
      <c r="B470" s="5"/>
    </row>
    <row r="472" spans="2:9" x14ac:dyDescent="0.3">
      <c r="D472" s="84"/>
    </row>
    <row r="473" spans="2:9" x14ac:dyDescent="0.3">
      <c r="D473" s="84"/>
    </row>
    <row r="474" spans="2:9" x14ac:dyDescent="0.3">
      <c r="D474" s="84"/>
    </row>
    <row r="475" spans="2:9" ht="25.8" x14ac:dyDescent="0.5">
      <c r="B475" s="3" t="str">
        <f>Cover!$B$2</f>
        <v>Paragon Bank</v>
      </c>
      <c r="C475" s="3"/>
      <c r="D475" s="4"/>
      <c r="E475" s="4"/>
      <c r="F475" s="4"/>
      <c r="G475" s="4"/>
      <c r="H475" s="4"/>
      <c r="I475" s="4"/>
    </row>
    <row r="476" spans="2:9" x14ac:dyDescent="0.3">
      <c r="B476" s="4" t="s">
        <v>272</v>
      </c>
      <c r="C476" s="4"/>
      <c r="D476" s="4"/>
      <c r="E476" s="4"/>
      <c r="F476" s="4"/>
      <c r="G476" s="4"/>
      <c r="H476" s="4"/>
      <c r="I476" s="4"/>
    </row>
    <row r="477" spans="2:9" x14ac:dyDescent="0.3">
      <c r="B477" s="4"/>
      <c r="C477" s="4"/>
      <c r="D477" s="4"/>
      <c r="E477" s="4"/>
      <c r="F477" s="4"/>
      <c r="G477" s="4"/>
      <c r="H477" s="4"/>
      <c r="I477" s="4"/>
    </row>
    <row r="478" spans="2:9" x14ac:dyDescent="0.3">
      <c r="B478" s="4"/>
      <c r="C478" s="4"/>
      <c r="D478" s="4"/>
      <c r="E478" s="4"/>
      <c r="F478" s="4"/>
      <c r="G478" s="4"/>
      <c r="H478" s="4"/>
      <c r="I478" s="4"/>
    </row>
    <row r="480" spans="2:9" x14ac:dyDescent="0.3">
      <c r="C480" t="s">
        <v>16</v>
      </c>
      <c r="E480" s="100">
        <v>2024</v>
      </c>
      <c r="F480" s="100">
        <v>2025</v>
      </c>
      <c r="G480" s="101">
        <f>F480+1</f>
        <v>2026</v>
      </c>
      <c r="H480" s="101">
        <f t="shared" ref="H480:I480" si="144">G480+1</f>
        <v>2027</v>
      </c>
      <c r="I480" s="101">
        <f t="shared" si="144"/>
        <v>2028</v>
      </c>
    </row>
    <row r="483" spans="2:9" x14ac:dyDescent="0.3">
      <c r="B483" t="s">
        <v>273</v>
      </c>
      <c r="C483" t="s">
        <v>107</v>
      </c>
      <c r="G483" s="33">
        <f>F487</f>
        <v>1420.2</v>
      </c>
      <c r="H483" s="33">
        <f>G487</f>
        <v>1497.2444481975001</v>
      </c>
      <c r="I483" s="33">
        <f t="shared" ref="I483" si="145">H487</f>
        <v>1580.0496145512816</v>
      </c>
    </row>
    <row r="484" spans="2:9" x14ac:dyDescent="0.3">
      <c r="B484" s="11" t="s">
        <v>249</v>
      </c>
      <c r="C484" s="11" t="s">
        <v>107</v>
      </c>
      <c r="D484" s="11"/>
      <c r="E484" s="11"/>
      <c r="F484" s="11"/>
      <c r="G484" s="36">
        <f>G28</f>
        <v>228.40741366250012</v>
      </c>
      <c r="H484" s="36">
        <f>H28</f>
        <v>263.00861058963591</v>
      </c>
      <c r="I484" s="36">
        <f>I28</f>
        <v>260.84665977275762</v>
      </c>
    </row>
    <row r="485" spans="2:9" x14ac:dyDescent="0.3">
      <c r="B485" t="s">
        <v>274</v>
      </c>
      <c r="C485" t="s">
        <v>107</v>
      </c>
      <c r="G485" s="42">
        <f>G457</f>
        <v>-91.362965465000059</v>
      </c>
      <c r="H485" s="42">
        <f t="shared" ref="H485:I485" si="146">H457</f>
        <v>-105.20344423585436</v>
      </c>
      <c r="I485" s="42">
        <f t="shared" si="146"/>
        <v>-104.33866390910305</v>
      </c>
    </row>
    <row r="486" spans="2:9" x14ac:dyDescent="0.3">
      <c r="B486" t="s">
        <v>275</v>
      </c>
      <c r="C486" t="s">
        <v>107</v>
      </c>
      <c r="G486" s="42">
        <f>-Assumptions!D81</f>
        <v>-60</v>
      </c>
      <c r="H486" s="42">
        <f>-Assumptions!E81</f>
        <v>-75</v>
      </c>
      <c r="I486" s="42">
        <f>-Assumptions!F81</f>
        <v>-75</v>
      </c>
    </row>
    <row r="487" spans="2:9" x14ac:dyDescent="0.3">
      <c r="B487" s="10" t="s">
        <v>276</v>
      </c>
      <c r="C487" s="10" t="s">
        <v>107</v>
      </c>
      <c r="D487" s="10"/>
      <c r="E487" s="10"/>
      <c r="F487" s="49">
        <f>F86</f>
        <v>1420.2</v>
      </c>
      <c r="G487" s="49">
        <f>SUM(G483:G486)</f>
        <v>1497.2444481975001</v>
      </c>
      <c r="H487" s="49">
        <f>SUM(H483:H486)</f>
        <v>1580.0496145512816</v>
      </c>
      <c r="I487" s="49">
        <f>SUM(I483:I486)</f>
        <v>1661.5576104149363</v>
      </c>
    </row>
    <row r="488" spans="2:9" x14ac:dyDescent="0.3">
      <c r="B488" s="10" t="s">
        <v>287</v>
      </c>
      <c r="C488" s="10" t="s">
        <v>107</v>
      </c>
      <c r="D488" s="10"/>
      <c r="E488" s="10"/>
      <c r="F488" s="49"/>
      <c r="G488" s="49">
        <f>AVERAGE(G483,G487)</f>
        <v>1458.7222240987501</v>
      </c>
      <c r="H488" s="49">
        <f t="shared" ref="H488:I488" si="147">AVERAGE(H483,H487)</f>
        <v>1538.6470313743907</v>
      </c>
      <c r="I488" s="49">
        <f t="shared" si="147"/>
        <v>1620.803612483109</v>
      </c>
    </row>
    <row r="489" spans="2:9" x14ac:dyDescent="0.3">
      <c r="B489" s="10"/>
      <c r="C489" s="10"/>
      <c r="D489" s="10"/>
      <c r="E489" s="10"/>
      <c r="F489" s="49"/>
      <c r="G489" s="49"/>
      <c r="H489" s="49"/>
      <c r="I489" s="49"/>
    </row>
    <row r="490" spans="2:9" x14ac:dyDescent="0.3">
      <c r="B490" s="9" t="s">
        <v>41</v>
      </c>
      <c r="C490" s="9" t="s">
        <v>107</v>
      </c>
      <c r="D490" s="9"/>
      <c r="E490" s="9"/>
      <c r="F490" s="38">
        <f>F371</f>
        <v>172.1</v>
      </c>
      <c r="G490" s="38">
        <f t="shared" ref="G490:I490" si="148">G371</f>
        <v>172.65019999999998</v>
      </c>
      <c r="H490" s="38">
        <f t="shared" si="148"/>
        <v>172.73710599999998</v>
      </c>
      <c r="I490" s="38">
        <f t="shared" si="148"/>
        <v>172.34681917999998</v>
      </c>
    </row>
    <row r="491" spans="2:9" x14ac:dyDescent="0.3">
      <c r="B491" s="102" t="s">
        <v>283</v>
      </c>
      <c r="C491" s="102" t="s">
        <v>107</v>
      </c>
      <c r="D491" s="102"/>
      <c r="E491" s="102"/>
      <c r="F491" s="103">
        <f>F487-F490</f>
        <v>1248.1000000000001</v>
      </c>
      <c r="G491" s="103">
        <f t="shared" ref="G491:I491" si="149">G487-G490</f>
        <v>1324.5942481975001</v>
      </c>
      <c r="H491" s="103">
        <f t="shared" si="149"/>
        <v>1407.3125085512816</v>
      </c>
      <c r="I491" s="103">
        <f t="shared" si="149"/>
        <v>1489.2107912349363</v>
      </c>
    </row>
    <row r="492" spans="2:9" x14ac:dyDescent="0.3">
      <c r="B492" s="5" t="s">
        <v>288</v>
      </c>
      <c r="C492" s="5" t="s">
        <v>107</v>
      </c>
      <c r="D492" s="5"/>
      <c r="E492" s="5"/>
      <c r="F492" s="61"/>
      <c r="G492" s="61">
        <f>AVERAGE(F491,G491)</f>
        <v>1286.3471240987501</v>
      </c>
      <c r="H492" s="61">
        <f t="shared" ref="H492:I492" si="150">AVERAGE(G491,H491)</f>
        <v>1365.9533783743909</v>
      </c>
      <c r="I492" s="61">
        <f t="shared" si="150"/>
        <v>1448.2616498931088</v>
      </c>
    </row>
    <row r="494" spans="2:9" x14ac:dyDescent="0.3">
      <c r="B494" t="s">
        <v>284</v>
      </c>
      <c r="C494" t="s">
        <v>107</v>
      </c>
      <c r="F494" s="33">
        <f>F28</f>
        <v>180.2999999999999</v>
      </c>
      <c r="G494" s="33">
        <f>G28</f>
        <v>228.40741366250012</v>
      </c>
      <c r="H494" s="33">
        <f>H28</f>
        <v>263.00861058963591</v>
      </c>
      <c r="I494" s="33">
        <f>I28</f>
        <v>260.84665977275762</v>
      </c>
    </row>
    <row r="495" spans="2:9" x14ac:dyDescent="0.3">
      <c r="B495" s="5"/>
      <c r="F495" s="33"/>
      <c r="G495" s="33"/>
      <c r="H495" s="33"/>
      <c r="I495" s="33"/>
    </row>
    <row r="496" spans="2:9" x14ac:dyDescent="0.3">
      <c r="B496" t="s">
        <v>286</v>
      </c>
      <c r="C496" t="s">
        <v>108</v>
      </c>
      <c r="F496" s="48"/>
      <c r="G496" s="48">
        <f>G494/G488</f>
        <v>0.15658047151754217</v>
      </c>
      <c r="H496" s="48">
        <f t="shared" ref="H496:I496" si="151">H494/H488</f>
        <v>0.17093498718462052</v>
      </c>
      <c r="I496" s="48">
        <f t="shared" si="151"/>
        <v>0.16093662289728886</v>
      </c>
    </row>
    <row r="497" spans="2:9" x14ac:dyDescent="0.3">
      <c r="B497" t="s">
        <v>285</v>
      </c>
      <c r="C497" t="s">
        <v>108</v>
      </c>
      <c r="F497" s="48"/>
      <c r="G497" s="48">
        <f>G494/G492</f>
        <v>0.1775628128546784</v>
      </c>
      <c r="H497" s="48">
        <f t="shared" ref="H497:I497" si="152">H494/H492</f>
        <v>0.19254581800049439</v>
      </c>
      <c r="I497" s="48">
        <f t="shared" si="152"/>
        <v>0.18011017538993027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Assumptions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Hopkinson</dc:creator>
  <cp:lastModifiedBy>Peter Hopkinson</cp:lastModifiedBy>
  <dcterms:created xsi:type="dcterms:W3CDTF">2026-09-25T20:35:53Z</dcterms:created>
  <dcterms:modified xsi:type="dcterms:W3CDTF">2026-09-29T19:03:03Z</dcterms:modified>
</cp:coreProperties>
</file>