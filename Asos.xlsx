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https://d.docs.live.net/b4a63f789af4ef06/Documents/Career/Career Development/Financial Statements/3 Statement Model/"/>
    </mc:Choice>
  </mc:AlternateContent>
  <xr:revisionPtr revIDLastSave="3552" documentId="8_{8B7479BD-CF16-405B-9E54-99D78F102801}" xr6:coauthVersionLast="47" xr6:coauthVersionMax="47" xr10:uidLastSave="{53D2A4C8-B04D-4862-95A0-98232EBA1E2D}"/>
  <bookViews>
    <workbookView xWindow="-108" yWindow="-108" windowWidth="23256" windowHeight="13896" activeTab="1" xr2:uid="{C4FDF26E-8D02-42E6-9BA6-E8E4AB263931}"/>
  </bookViews>
  <sheets>
    <sheet name="Cover" sheetId="1" r:id="rId1"/>
    <sheet name="Assumptions" sheetId="3" r:id="rId2"/>
    <sheet name="Model" sheetId="2" r:id="rId3"/>
  </sheets>
  <definedNames>
    <definedName name="_xlnm.Print_Area" localSheetId="2">Model!$A$2:$M$854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169" i="2" l="1"/>
  <c r="F169" i="2"/>
  <c r="H68" i="2"/>
  <c r="H65" i="2"/>
  <c r="I65" i="2" s="1"/>
  <c r="J65" i="2" s="1"/>
  <c r="K65" i="2" s="1"/>
  <c r="L65" i="2" s="1"/>
  <c r="H680" i="2"/>
  <c r="G24" i="2"/>
  <c r="F24" i="2"/>
  <c r="G275" i="2"/>
  <c r="G274" i="2" s="1"/>
  <c r="F275" i="2"/>
  <c r="F274" i="2" s="1"/>
  <c r="K501" i="2"/>
  <c r="L501" i="2"/>
  <c r="J501" i="2"/>
  <c r="I501" i="2"/>
  <c r="H501" i="2"/>
  <c r="H499" i="2"/>
  <c r="H597" i="2"/>
  <c r="H603" i="2"/>
  <c r="H28" i="2" s="1"/>
  <c r="H556" i="2"/>
  <c r="H38" i="2"/>
  <c r="I38" i="2" s="1"/>
  <c r="J38" i="2" s="1"/>
  <c r="K38" i="2" s="1"/>
  <c r="L38" i="2" s="1"/>
  <c r="F306" i="2"/>
  <c r="G306" i="2"/>
  <c r="F624" i="2"/>
  <c r="G624" i="2" s="1"/>
  <c r="H624" i="2" s="1"/>
  <c r="I624" i="2" s="1"/>
  <c r="J624" i="2" s="1"/>
  <c r="K624" i="2" s="1"/>
  <c r="L624" i="2" s="1"/>
  <c r="L621" i="2"/>
  <c r="B620" i="2"/>
  <c r="K547" i="2"/>
  <c r="L24" i="3"/>
  <c r="L240" i="2" s="1"/>
  <c r="K24" i="3"/>
  <c r="K240" i="2" s="1"/>
  <c r="J24" i="3"/>
  <c r="J240" i="2" s="1"/>
  <c r="I24" i="3"/>
  <c r="I240" i="2" s="1"/>
  <c r="H24" i="3"/>
  <c r="H240" i="2" s="1"/>
  <c r="H241" i="2" s="1"/>
  <c r="G162" i="2"/>
  <c r="F162" i="2"/>
  <c r="G161" i="2"/>
  <c r="F161" i="2"/>
  <c r="G160" i="2"/>
  <c r="F160" i="2"/>
  <c r="L37" i="3"/>
  <c r="L198" i="2" s="1"/>
  <c r="K37" i="3"/>
  <c r="K198" i="2" s="1"/>
  <c r="J37" i="3"/>
  <c r="J198" i="2" s="1"/>
  <c r="I37" i="3"/>
  <c r="I198" i="2" s="1"/>
  <c r="H37" i="3"/>
  <c r="H198" i="2" s="1"/>
  <c r="L32" i="3"/>
  <c r="L197" i="2" s="1"/>
  <c r="K32" i="3"/>
  <c r="K197" i="2" s="1"/>
  <c r="J32" i="3"/>
  <c r="J197" i="2" s="1"/>
  <c r="I32" i="3"/>
  <c r="I197" i="2" s="1"/>
  <c r="H32" i="3"/>
  <c r="H197" i="2" s="1"/>
  <c r="H17" i="2"/>
  <c r="I17" i="2" s="1"/>
  <c r="J17" i="2" s="1"/>
  <c r="K17" i="2" s="1"/>
  <c r="L17" i="2" s="1"/>
  <c r="L419" i="2"/>
  <c r="F78" i="2"/>
  <c r="H64" i="2"/>
  <c r="I64" i="2" s="1"/>
  <c r="J64" i="2" s="1"/>
  <c r="K64" i="2" s="1"/>
  <c r="L64" i="2" s="1"/>
  <c r="F326" i="2"/>
  <c r="G326" i="2"/>
  <c r="G325" i="2"/>
  <c r="H322" i="2"/>
  <c r="L290" i="2"/>
  <c r="K290" i="2"/>
  <c r="J290" i="2"/>
  <c r="I290" i="2"/>
  <c r="H290" i="2"/>
  <c r="G318" i="2"/>
  <c r="F318" i="2"/>
  <c r="L312" i="2"/>
  <c r="B311" i="2"/>
  <c r="H144" i="2"/>
  <c r="L565" i="2"/>
  <c r="K565" i="2"/>
  <c r="J565" i="2"/>
  <c r="I565" i="2"/>
  <c r="H565" i="2"/>
  <c r="H74" i="2"/>
  <c r="I74" i="2" s="1"/>
  <c r="J74" i="2" s="1"/>
  <c r="K74" i="2" s="1"/>
  <c r="L74" i="2" s="1"/>
  <c r="H85" i="2"/>
  <c r="I85" i="2" s="1"/>
  <c r="J85" i="2" s="1"/>
  <c r="K85" i="2" s="1"/>
  <c r="L85" i="2" s="1"/>
  <c r="H54" i="2"/>
  <c r="I54" i="2" s="1"/>
  <c r="J54" i="2" s="1"/>
  <c r="K54" i="2" s="1"/>
  <c r="L54" i="2" s="1"/>
  <c r="H67" i="2"/>
  <c r="I67" i="2" s="1"/>
  <c r="J67" i="2" s="1"/>
  <c r="K67" i="2" s="1"/>
  <c r="L67" i="2" s="1"/>
  <c r="H66" i="2"/>
  <c r="I66" i="2" s="1"/>
  <c r="J66" i="2" s="1"/>
  <c r="K66" i="2" s="1"/>
  <c r="L66" i="2" s="1"/>
  <c r="F252" i="2"/>
  <c r="G258" i="2"/>
  <c r="G256" i="2"/>
  <c r="F258" i="2"/>
  <c r="G254" i="2" s="1"/>
  <c r="G252" i="2" s="1"/>
  <c r="H93" i="2"/>
  <c r="I93" i="2" s="1"/>
  <c r="J93" i="2" s="1"/>
  <c r="K93" i="2" s="1"/>
  <c r="L93" i="2" s="1"/>
  <c r="H92" i="2"/>
  <c r="I92" i="2" s="1"/>
  <c r="J92" i="2" s="1"/>
  <c r="K92" i="2" s="1"/>
  <c r="L92" i="2" s="1"/>
  <c r="H91" i="2"/>
  <c r="G707" i="2"/>
  <c r="H702" i="2" s="1"/>
  <c r="H667" i="2"/>
  <c r="H666" i="2"/>
  <c r="L681" i="2"/>
  <c r="K681" i="2"/>
  <c r="J681" i="2"/>
  <c r="I681" i="2"/>
  <c r="H681" i="2"/>
  <c r="G302" i="2"/>
  <c r="F302" i="2"/>
  <c r="L547" i="2"/>
  <c r="J547" i="2"/>
  <c r="I547" i="2"/>
  <c r="H547" i="2"/>
  <c r="L541" i="2"/>
  <c r="K541" i="2"/>
  <c r="J541" i="2"/>
  <c r="I541" i="2"/>
  <c r="H541" i="2"/>
  <c r="L529" i="2"/>
  <c r="K529" i="2"/>
  <c r="J529" i="2"/>
  <c r="I529" i="2"/>
  <c r="L535" i="2"/>
  <c r="K535" i="2"/>
  <c r="J535" i="2"/>
  <c r="I535" i="2"/>
  <c r="H535" i="2"/>
  <c r="H52" i="2"/>
  <c r="I52" i="2" s="1"/>
  <c r="J52" i="2" s="1"/>
  <c r="L586" i="2"/>
  <c r="K586" i="2"/>
  <c r="J586" i="2"/>
  <c r="I586" i="2"/>
  <c r="H586" i="2"/>
  <c r="L585" i="2"/>
  <c r="K585" i="2"/>
  <c r="J585" i="2"/>
  <c r="I585" i="2"/>
  <c r="H585" i="2"/>
  <c r="L584" i="2"/>
  <c r="K584" i="2"/>
  <c r="J584" i="2"/>
  <c r="I584" i="2"/>
  <c r="H584" i="2"/>
  <c r="L583" i="2"/>
  <c r="K583" i="2"/>
  <c r="J583" i="2"/>
  <c r="I583" i="2"/>
  <c r="H583" i="2"/>
  <c r="L582" i="2"/>
  <c r="K582" i="2"/>
  <c r="J582" i="2"/>
  <c r="I582" i="2"/>
  <c r="H582" i="2"/>
  <c r="H546" i="2"/>
  <c r="H540" i="2"/>
  <c r="H534" i="2"/>
  <c r="H527" i="2"/>
  <c r="L291" i="2"/>
  <c r="K291" i="2"/>
  <c r="J291" i="2"/>
  <c r="I291" i="2"/>
  <c r="H291" i="2"/>
  <c r="L451" i="2"/>
  <c r="K451" i="2"/>
  <c r="J451" i="2"/>
  <c r="I451" i="2"/>
  <c r="H451" i="2"/>
  <c r="H486" i="2"/>
  <c r="I486" i="2" s="1"/>
  <c r="J486" i="2" s="1"/>
  <c r="K486" i="2" s="1"/>
  <c r="L486" i="2" s="1"/>
  <c r="G462" i="2"/>
  <c r="F462" i="2"/>
  <c r="F651" i="2"/>
  <c r="F410" i="2"/>
  <c r="G410" i="2"/>
  <c r="G295" i="2"/>
  <c r="F295" i="2"/>
  <c r="G280" i="2"/>
  <c r="G284" i="2" s="1"/>
  <c r="F280" i="2"/>
  <c r="F284" i="2" s="1"/>
  <c r="L265" i="2"/>
  <c r="B264" i="2"/>
  <c r="F238" i="2"/>
  <c r="F235" i="2"/>
  <c r="G233" i="2"/>
  <c r="F233" i="2"/>
  <c r="L225" i="2"/>
  <c r="B224" i="2"/>
  <c r="G200" i="2"/>
  <c r="F200" i="2"/>
  <c r="G203" i="2"/>
  <c r="H203" i="2" s="1"/>
  <c r="L216" i="2"/>
  <c r="K216" i="2"/>
  <c r="J216" i="2"/>
  <c r="I216" i="2"/>
  <c r="H216" i="2"/>
  <c r="G216" i="2"/>
  <c r="G220" i="2" s="1"/>
  <c r="H196" i="2"/>
  <c r="G196" i="2"/>
  <c r="F46" i="2"/>
  <c r="G78" i="2"/>
  <c r="B42" i="2"/>
  <c r="G57" i="2"/>
  <c r="F57" i="2"/>
  <c r="F69" i="2" s="1"/>
  <c r="B5" i="1"/>
  <c r="G30" i="2"/>
  <c r="F30" i="2"/>
  <c r="G7" i="2"/>
  <c r="H7" i="2" s="1"/>
  <c r="I7" i="2" s="1"/>
  <c r="J7" i="2" s="1"/>
  <c r="K7" i="2" s="1"/>
  <c r="L7" i="2" s="1"/>
  <c r="G6" i="3"/>
  <c r="H6" i="3" s="1"/>
  <c r="I6" i="3" s="1"/>
  <c r="J6" i="3" s="1"/>
  <c r="K6" i="3" s="1"/>
  <c r="L6" i="3" s="1"/>
  <c r="H517" i="2"/>
  <c r="H412" i="2"/>
  <c r="H408" i="2" s="1"/>
  <c r="H410" i="2" s="1"/>
  <c r="H414" i="2" s="1"/>
  <c r="H418" i="2" s="1"/>
  <c r="H136" i="2" s="1"/>
  <c r="L413" i="2"/>
  <c r="K413" i="2"/>
  <c r="J413" i="2"/>
  <c r="I413" i="2"/>
  <c r="H413" i="2"/>
  <c r="F340" i="2"/>
  <c r="G340" i="2" s="1"/>
  <c r="H340" i="2" s="1"/>
  <c r="I340" i="2" s="1"/>
  <c r="J340" i="2" s="1"/>
  <c r="K340" i="2" s="1"/>
  <c r="L340" i="2" s="1"/>
  <c r="F380" i="2"/>
  <c r="G380" i="2" s="1"/>
  <c r="H380" i="2" s="1"/>
  <c r="F429" i="2"/>
  <c r="G429" i="2" s="1"/>
  <c r="H429" i="2" s="1"/>
  <c r="F494" i="2"/>
  <c r="G494" i="2" s="1"/>
  <c r="H494" i="2" s="1"/>
  <c r="I494" i="2" s="1"/>
  <c r="J494" i="2" s="1"/>
  <c r="K494" i="2" s="1"/>
  <c r="L494" i="2" s="1"/>
  <c r="I478" i="2"/>
  <c r="H447" i="2"/>
  <c r="I401" i="2"/>
  <c r="H401" i="2"/>
  <c r="H400" i="2"/>
  <c r="H397" i="2" s="1"/>
  <c r="G82" i="2"/>
  <c r="G87" i="2" s="1"/>
  <c r="F82" i="2"/>
  <c r="F87" i="2" s="1"/>
  <c r="L3" i="3"/>
  <c r="L688" i="2"/>
  <c r="L648" i="2"/>
  <c r="L491" i="2"/>
  <c r="L426" i="2"/>
  <c r="L377" i="2"/>
  <c r="L337" i="2"/>
  <c r="L188" i="2"/>
  <c r="L152" i="2"/>
  <c r="L104" i="2"/>
  <c r="L43" i="2"/>
  <c r="L4" i="2"/>
  <c r="L19" i="3"/>
  <c r="K19" i="3"/>
  <c r="J19" i="3"/>
  <c r="I19" i="3"/>
  <c r="H19" i="3"/>
  <c r="H42" i="3"/>
  <c r="H200" i="2" s="1"/>
  <c r="L42" i="3"/>
  <c r="L200" i="2" s="1"/>
  <c r="K42" i="3"/>
  <c r="K200" i="2" s="1"/>
  <c r="J42" i="3"/>
  <c r="J200" i="2" s="1"/>
  <c r="I42" i="3"/>
  <c r="I200" i="2" s="1"/>
  <c r="L14" i="3"/>
  <c r="K14" i="3"/>
  <c r="J14" i="3"/>
  <c r="I14" i="3"/>
  <c r="H14" i="3"/>
  <c r="H305" i="2" s="1"/>
  <c r="I305" i="2" s="1"/>
  <c r="J305" i="2" s="1"/>
  <c r="K305" i="2" s="1"/>
  <c r="L305" i="2" s="1"/>
  <c r="B2" i="3"/>
  <c r="L705" i="2"/>
  <c r="L138" i="2" s="1"/>
  <c r="K705" i="2"/>
  <c r="K138" i="2" s="1"/>
  <c r="J705" i="2"/>
  <c r="J138" i="2" s="1"/>
  <c r="I705" i="2"/>
  <c r="I138" i="2" s="1"/>
  <c r="H705" i="2"/>
  <c r="H138" i="2" s="1"/>
  <c r="L706" i="2"/>
  <c r="K706" i="2"/>
  <c r="J706" i="2"/>
  <c r="I706" i="2"/>
  <c r="H706" i="2"/>
  <c r="B687" i="2"/>
  <c r="B647" i="2"/>
  <c r="I580" i="2"/>
  <c r="I579" i="2"/>
  <c r="H523" i="2"/>
  <c r="G524" i="2"/>
  <c r="H590" i="2" s="1"/>
  <c r="G362" i="2"/>
  <c r="F362" i="2"/>
  <c r="G361" i="2"/>
  <c r="F361" i="2"/>
  <c r="G351" i="2"/>
  <c r="F351" i="2"/>
  <c r="G348" i="2"/>
  <c r="F348" i="2"/>
  <c r="G347" i="2"/>
  <c r="F347" i="2"/>
  <c r="B336" i="2"/>
  <c r="B490" i="2"/>
  <c r="H477" i="2"/>
  <c r="G435" i="2"/>
  <c r="F435" i="2"/>
  <c r="B425" i="2"/>
  <c r="B376" i="2"/>
  <c r="B187" i="2"/>
  <c r="B151" i="2"/>
  <c r="B103" i="2"/>
  <c r="B3" i="2"/>
  <c r="G12" i="2"/>
  <c r="G18" i="2" s="1"/>
  <c r="F12" i="2"/>
  <c r="L273" i="2" l="1"/>
  <c r="L297" i="2"/>
  <c r="K273" i="2"/>
  <c r="K297" i="2"/>
  <c r="J273" i="2"/>
  <c r="J297" i="2"/>
  <c r="I273" i="2"/>
  <c r="I297" i="2"/>
  <c r="H273" i="2"/>
  <c r="H297" i="2"/>
  <c r="G299" i="2"/>
  <c r="H274" i="2"/>
  <c r="F299" i="2"/>
  <c r="H299" i="2"/>
  <c r="I299" i="2" s="1"/>
  <c r="G651" i="2"/>
  <c r="H651" i="2" s="1"/>
  <c r="I651" i="2" s="1"/>
  <c r="J651" i="2" s="1"/>
  <c r="K651" i="2" s="1"/>
  <c r="L651" i="2" s="1"/>
  <c r="F691" i="2"/>
  <c r="G691" i="2" s="1"/>
  <c r="H691" i="2" s="1"/>
  <c r="I691" i="2" s="1"/>
  <c r="J691" i="2" s="1"/>
  <c r="K691" i="2" s="1"/>
  <c r="L691" i="2" s="1"/>
  <c r="H592" i="2"/>
  <c r="H596" i="2"/>
  <c r="H595" i="2"/>
  <c r="H594" i="2"/>
  <c r="H593" i="2"/>
  <c r="H204" i="2"/>
  <c r="I203" i="2"/>
  <c r="G89" i="2"/>
  <c r="G95" i="2" s="1"/>
  <c r="H199" i="2"/>
  <c r="H160" i="2" s="1"/>
  <c r="H562" i="2"/>
  <c r="F89" i="2"/>
  <c r="F95" i="2" s="1"/>
  <c r="F96" i="2" s="1"/>
  <c r="I322" i="2"/>
  <c r="H325" i="2"/>
  <c r="G327" i="2"/>
  <c r="G330" i="2" s="1"/>
  <c r="G319" i="2"/>
  <c r="F327" i="2"/>
  <c r="F319" i="2"/>
  <c r="J580" i="2"/>
  <c r="H254" i="2"/>
  <c r="G255" i="2"/>
  <c r="G251" i="2" s="1"/>
  <c r="H668" i="2"/>
  <c r="I91" i="2"/>
  <c r="J91" i="2" s="1"/>
  <c r="K91" i="2" s="1"/>
  <c r="L91" i="2" s="1"/>
  <c r="J579" i="2"/>
  <c r="H543" i="2"/>
  <c r="H549" i="2"/>
  <c r="G372" i="2"/>
  <c r="F372" i="2"/>
  <c r="G371" i="2"/>
  <c r="K52" i="2"/>
  <c r="H537" i="2"/>
  <c r="F371" i="2"/>
  <c r="H531" i="2"/>
  <c r="H631" i="2" s="1"/>
  <c r="G370" i="2"/>
  <c r="F370" i="2"/>
  <c r="L456" i="2"/>
  <c r="L289" i="2"/>
  <c r="K456" i="2"/>
  <c r="K289" i="2"/>
  <c r="J456" i="2"/>
  <c r="J289" i="2"/>
  <c r="I456" i="2"/>
  <c r="I289" i="2"/>
  <c r="H456" i="2"/>
  <c r="H289" i="2"/>
  <c r="G364" i="2"/>
  <c r="F364" i="2"/>
  <c r="J478" i="2"/>
  <c r="F352" i="2"/>
  <c r="I241" i="2"/>
  <c r="F107" i="2"/>
  <c r="F315" i="2" s="1"/>
  <c r="G315" i="2" s="1"/>
  <c r="H315" i="2" s="1"/>
  <c r="I315" i="2" s="1"/>
  <c r="J315" i="2" s="1"/>
  <c r="K315" i="2" s="1"/>
  <c r="L315" i="2" s="1"/>
  <c r="G46" i="2"/>
  <c r="H46" i="2" s="1"/>
  <c r="I46" i="2" s="1"/>
  <c r="J46" i="2" s="1"/>
  <c r="K46" i="2" s="1"/>
  <c r="L46" i="2" s="1"/>
  <c r="F13" i="2"/>
  <c r="F167" i="2" s="1"/>
  <c r="F18" i="2"/>
  <c r="H479" i="2"/>
  <c r="H474" i="2" s="1"/>
  <c r="G352" i="2"/>
  <c r="J401" i="2"/>
  <c r="I523" i="2"/>
  <c r="G366" i="2"/>
  <c r="F366" i="2"/>
  <c r="G365" i="2"/>
  <c r="F365" i="2"/>
  <c r="G349" i="2"/>
  <c r="F349" i="2"/>
  <c r="H453" i="2"/>
  <c r="I429" i="2"/>
  <c r="H416" i="2"/>
  <c r="G69" i="2"/>
  <c r="I380" i="2"/>
  <c r="G13" i="2"/>
  <c r="G167" i="2" s="1"/>
  <c r="I274" i="2" l="1"/>
  <c r="J299" i="2"/>
  <c r="I527" i="2"/>
  <c r="I593" i="2" s="1"/>
  <c r="J203" i="2"/>
  <c r="K203" i="2" s="1"/>
  <c r="L203" i="2" s="1"/>
  <c r="I204" i="2"/>
  <c r="H201" i="2"/>
  <c r="H161" i="2" s="1"/>
  <c r="I196" i="2"/>
  <c r="I199" i="2" s="1"/>
  <c r="I160" i="2" s="1"/>
  <c r="G331" i="2"/>
  <c r="H331" i="2" s="1"/>
  <c r="H330" i="2"/>
  <c r="I325" i="2"/>
  <c r="J322" i="2"/>
  <c r="H670" i="2"/>
  <c r="H56" i="2"/>
  <c r="I667" i="2" s="1"/>
  <c r="K580" i="2"/>
  <c r="I546" i="2"/>
  <c r="H257" i="2"/>
  <c r="H292" i="2" s="1"/>
  <c r="I540" i="2"/>
  <c r="I595" i="2" s="1"/>
  <c r="K579" i="2"/>
  <c r="L52" i="2"/>
  <c r="I534" i="2"/>
  <c r="K478" i="2"/>
  <c r="F354" i="2"/>
  <c r="F228" i="2"/>
  <c r="G228" i="2" s="1"/>
  <c r="H228" i="2" s="1"/>
  <c r="I228" i="2" s="1"/>
  <c r="J228" i="2" s="1"/>
  <c r="K228" i="2" s="1"/>
  <c r="L228" i="2" s="1"/>
  <c r="F268" i="2"/>
  <c r="G268" i="2" s="1"/>
  <c r="H268" i="2" s="1"/>
  <c r="I268" i="2" s="1"/>
  <c r="J268" i="2" s="1"/>
  <c r="K268" i="2" s="1"/>
  <c r="L268" i="2" s="1"/>
  <c r="J241" i="2"/>
  <c r="G107" i="2"/>
  <c r="H107" i="2" s="1"/>
  <c r="I107" i="2" s="1"/>
  <c r="J107" i="2" s="1"/>
  <c r="K107" i="2" s="1"/>
  <c r="L107" i="2" s="1"/>
  <c r="F191" i="2"/>
  <c r="G191" i="2" s="1"/>
  <c r="H191" i="2" s="1"/>
  <c r="I191" i="2" s="1"/>
  <c r="J191" i="2" s="1"/>
  <c r="K191" i="2" s="1"/>
  <c r="L191" i="2" s="1"/>
  <c r="F155" i="2"/>
  <c r="G155" i="2" s="1"/>
  <c r="H155" i="2" s="1"/>
  <c r="I155" i="2" s="1"/>
  <c r="J155" i="2" s="1"/>
  <c r="K155" i="2" s="1"/>
  <c r="L155" i="2" s="1"/>
  <c r="G96" i="2"/>
  <c r="G25" i="2"/>
  <c r="G354" i="2"/>
  <c r="I474" i="2"/>
  <c r="I397" i="2"/>
  <c r="K401" i="2"/>
  <c r="F32" i="2"/>
  <c r="I412" i="2"/>
  <c r="I408" i="2" s="1"/>
  <c r="I410" i="2" s="1"/>
  <c r="I414" i="2" s="1"/>
  <c r="H419" i="2" s="1"/>
  <c r="H75" i="2" s="1"/>
  <c r="F25" i="2"/>
  <c r="J523" i="2"/>
  <c r="J380" i="2"/>
  <c r="J429" i="2"/>
  <c r="I447" i="2"/>
  <c r="J447" i="2" s="1"/>
  <c r="K447" i="2" s="1"/>
  <c r="L447" i="2" s="1"/>
  <c r="G19" i="2"/>
  <c r="G168" i="2" s="1"/>
  <c r="G32" i="2"/>
  <c r="F19" i="2"/>
  <c r="F168" i="2" s="1"/>
  <c r="J274" i="2" l="1"/>
  <c r="K299" i="2"/>
  <c r="J204" i="2"/>
  <c r="K204" i="2" s="1"/>
  <c r="I549" i="2"/>
  <c r="J546" i="2" s="1"/>
  <c r="I596" i="2"/>
  <c r="I537" i="2"/>
  <c r="J534" i="2" s="1"/>
  <c r="I594" i="2"/>
  <c r="J527" i="2"/>
  <c r="J593" i="2" s="1"/>
  <c r="I531" i="2"/>
  <c r="H205" i="2"/>
  <c r="H233" i="2"/>
  <c r="H275" i="2" s="1"/>
  <c r="H15" i="2" s="1"/>
  <c r="I201" i="2"/>
  <c r="I161" i="2" s="1"/>
  <c r="J196" i="2"/>
  <c r="J199" i="2" s="1"/>
  <c r="J160" i="2" s="1"/>
  <c r="I543" i="2"/>
  <c r="I331" i="2"/>
  <c r="I330" i="2"/>
  <c r="J325" i="2"/>
  <c r="K322" i="2"/>
  <c r="L580" i="2"/>
  <c r="L579" i="2"/>
  <c r="L478" i="2"/>
  <c r="K241" i="2"/>
  <c r="I418" i="2"/>
  <c r="I136" i="2" s="1"/>
  <c r="I416" i="2"/>
  <c r="J412" i="2" s="1"/>
  <c r="J474" i="2"/>
  <c r="K474" i="2" s="1"/>
  <c r="L474" i="2" s="1"/>
  <c r="J397" i="2"/>
  <c r="K397" i="2" s="1"/>
  <c r="L397" i="2" s="1"/>
  <c r="C390" i="2" a="1"/>
  <c r="L401" i="2"/>
  <c r="K380" i="2"/>
  <c r="F26" i="2"/>
  <c r="G26" i="2"/>
  <c r="G34" i="2"/>
  <c r="G656" i="2"/>
  <c r="G658" i="2" s="1"/>
  <c r="F34" i="2"/>
  <c r="F35" i="2" s="1"/>
  <c r="F170" i="2" s="1"/>
  <c r="F656" i="2"/>
  <c r="F658" i="2" s="1"/>
  <c r="K523" i="2"/>
  <c r="K429" i="2"/>
  <c r="K274" i="2" l="1"/>
  <c r="L299" i="2"/>
  <c r="H235" i="2"/>
  <c r="H238" i="2" s="1"/>
  <c r="H242" i="2" s="1"/>
  <c r="H245" i="2" s="1"/>
  <c r="H246" i="2" s="1"/>
  <c r="H300" i="2"/>
  <c r="J594" i="2"/>
  <c r="J537" i="2"/>
  <c r="K534" i="2" s="1"/>
  <c r="J549" i="2"/>
  <c r="K546" i="2" s="1"/>
  <c r="J596" i="2"/>
  <c r="I631" i="2"/>
  <c r="J531" i="2"/>
  <c r="K527" i="2"/>
  <c r="K593" i="2" s="1"/>
  <c r="G35" i="2"/>
  <c r="G170" i="2" s="1"/>
  <c r="G176" i="2"/>
  <c r="H208" i="2"/>
  <c r="H162" i="2"/>
  <c r="I205" i="2"/>
  <c r="I233" i="2"/>
  <c r="I275" i="2" s="1"/>
  <c r="I15" i="2" s="1"/>
  <c r="K196" i="2"/>
  <c r="K199" i="2" s="1"/>
  <c r="K160" i="2" s="1"/>
  <c r="J201" i="2"/>
  <c r="J161" i="2" s="1"/>
  <c r="J540" i="2"/>
  <c r="J331" i="2"/>
  <c r="J330" i="2"/>
  <c r="K325" i="2"/>
  <c r="L322" i="2"/>
  <c r="L325" i="2" s="1"/>
  <c r="L241" i="2"/>
  <c r="L204" i="2"/>
  <c r="L380" i="2"/>
  <c r="B390" i="2" s="1" a="1"/>
  <c r="J408" i="2"/>
  <c r="J410" i="2" s="1"/>
  <c r="J414" i="2" s="1"/>
  <c r="I419" i="2" s="1"/>
  <c r="I75" i="2" s="1"/>
  <c r="H420" i="2"/>
  <c r="H86" i="2" s="1"/>
  <c r="L523" i="2"/>
  <c r="L429" i="2"/>
  <c r="H256" i="2" l="1"/>
  <c r="H255" i="2" s="1"/>
  <c r="H258" i="2" s="1"/>
  <c r="H11" i="2"/>
  <c r="L274" i="2"/>
  <c r="K537" i="2"/>
  <c r="L534" i="2" s="1"/>
  <c r="L594" i="2" s="1"/>
  <c r="K594" i="2"/>
  <c r="I235" i="2"/>
  <c r="I238" i="2" s="1"/>
  <c r="I242" i="2" s="1"/>
  <c r="I245" i="2" s="1"/>
  <c r="I246" i="2" s="1"/>
  <c r="I11" i="2" s="1"/>
  <c r="I256" i="2" s="1"/>
  <c r="I255" i="2" s="1"/>
  <c r="I300" i="2"/>
  <c r="J543" i="2"/>
  <c r="J595" i="2"/>
  <c r="K549" i="2"/>
  <c r="L546" i="2" s="1"/>
  <c r="K596" i="2"/>
  <c r="L527" i="2"/>
  <c r="K531" i="2"/>
  <c r="K631" i="2" s="1"/>
  <c r="J631" i="2"/>
  <c r="H434" i="2"/>
  <c r="H127" i="2" s="1"/>
  <c r="H220" i="2"/>
  <c r="H461" i="2"/>
  <c r="I208" i="2"/>
  <c r="I162" i="2"/>
  <c r="K201" i="2"/>
  <c r="K161" i="2" s="1"/>
  <c r="L196" i="2"/>
  <c r="L199" i="2" s="1"/>
  <c r="J233" i="2"/>
  <c r="J275" i="2" s="1"/>
  <c r="J15" i="2" s="1"/>
  <c r="J205" i="2"/>
  <c r="K540" i="2"/>
  <c r="K595" i="2" s="1"/>
  <c r="K331" i="2"/>
  <c r="K330" i="2"/>
  <c r="L537" i="2"/>
  <c r="J418" i="2"/>
  <c r="J136" i="2" s="1"/>
  <c r="J416" i="2"/>
  <c r="K412" i="2" s="1"/>
  <c r="L394" i="2"/>
  <c r="J392" i="2"/>
  <c r="K392" i="2" s="1"/>
  <c r="L392" i="2" s="1"/>
  <c r="I391" i="2"/>
  <c r="H390" i="2"/>
  <c r="H396" i="2" s="1"/>
  <c r="H398" i="2" s="1"/>
  <c r="H402" i="2" s="1"/>
  <c r="K393" i="2"/>
  <c r="L393" i="2" s="1"/>
  <c r="B440" i="2" a="1"/>
  <c r="B467" i="2" a="1"/>
  <c r="H51" i="2" l="1"/>
  <c r="H348" i="2"/>
  <c r="I254" i="2"/>
  <c r="I257" i="2" s="1"/>
  <c r="J235" i="2"/>
  <c r="J238" i="2" s="1"/>
  <c r="J242" i="2" s="1"/>
  <c r="J245" i="2" s="1"/>
  <c r="J246" i="2" s="1"/>
  <c r="J11" i="2" s="1"/>
  <c r="J256" i="2" s="1"/>
  <c r="J255" i="2" s="1"/>
  <c r="J300" i="2"/>
  <c r="L531" i="2"/>
  <c r="L631" i="2" s="1"/>
  <c r="L593" i="2"/>
  <c r="L549" i="2"/>
  <c r="L596" i="2"/>
  <c r="K543" i="2"/>
  <c r="H481" i="2"/>
  <c r="H128" i="2"/>
  <c r="H130" i="2" s="1"/>
  <c r="I220" i="2"/>
  <c r="I434" i="2"/>
  <c r="I127" i="2" s="1"/>
  <c r="I461" i="2"/>
  <c r="H10" i="2"/>
  <c r="H221" i="2"/>
  <c r="H163" i="2" s="1"/>
  <c r="L201" i="2"/>
  <c r="L160" i="2"/>
  <c r="J208" i="2"/>
  <c r="J162" i="2"/>
  <c r="K205" i="2"/>
  <c r="K233" i="2"/>
  <c r="K275" i="2" s="1"/>
  <c r="K15" i="2" s="1"/>
  <c r="L331" i="2"/>
  <c r="L330" i="2"/>
  <c r="I258" i="2"/>
  <c r="I348" i="2" s="1"/>
  <c r="I292" i="2"/>
  <c r="J391" i="2"/>
  <c r="K408" i="2"/>
  <c r="K410" i="2" s="1"/>
  <c r="K414" i="2" s="1"/>
  <c r="J419" i="2" s="1"/>
  <c r="H114" i="2"/>
  <c r="I390" i="2"/>
  <c r="I396" i="2" s="1"/>
  <c r="I420" i="2"/>
  <c r="I86" i="2" s="1"/>
  <c r="K235" i="2" l="1"/>
  <c r="K238" i="2" s="1"/>
  <c r="K242" i="2" s="1"/>
  <c r="K245" i="2" s="1"/>
  <c r="K246" i="2" s="1"/>
  <c r="K11" i="2" s="1"/>
  <c r="K256" i="2" s="1"/>
  <c r="K255" i="2" s="1"/>
  <c r="K300" i="2"/>
  <c r="L540" i="2"/>
  <c r="L161" i="2"/>
  <c r="L233" i="2"/>
  <c r="L275" i="2" s="1"/>
  <c r="L15" i="2" s="1"/>
  <c r="L205" i="2"/>
  <c r="J220" i="2"/>
  <c r="J461" i="2"/>
  <c r="J434" i="2"/>
  <c r="J127" i="2" s="1"/>
  <c r="I10" i="2"/>
  <c r="I221" i="2"/>
  <c r="I163" i="2" s="1"/>
  <c r="I481" i="2"/>
  <c r="I128" i="2"/>
  <c r="I130" i="2" s="1"/>
  <c r="H303" i="2"/>
  <c r="H306" i="2" s="1"/>
  <c r="K208" i="2"/>
  <c r="K162" i="2"/>
  <c r="I51" i="2"/>
  <c r="J254" i="2"/>
  <c r="J257" i="2" s="1"/>
  <c r="J258" i="2" s="1"/>
  <c r="K254" i="2" s="1"/>
  <c r="J292" i="2"/>
  <c r="H288" i="2"/>
  <c r="H22" i="2"/>
  <c r="K418" i="2"/>
  <c r="K136" i="2" s="1"/>
  <c r="J75" i="2"/>
  <c r="K391" i="2"/>
  <c r="K416" i="2"/>
  <c r="L412" i="2" s="1"/>
  <c r="L408" i="2" s="1"/>
  <c r="L410" i="2" s="1"/>
  <c r="L414" i="2" s="1"/>
  <c r="K419" i="2" s="1"/>
  <c r="H404" i="2"/>
  <c r="H63" i="2" s="1"/>
  <c r="H318" i="2" s="1"/>
  <c r="I398" i="2"/>
  <c r="I114" i="2" s="1"/>
  <c r="J390" i="2"/>
  <c r="J396" i="2" s="1"/>
  <c r="H361" i="2"/>
  <c r="L235" i="2" l="1"/>
  <c r="L238" i="2" s="1"/>
  <c r="L242" i="2" s="1"/>
  <c r="L245" i="2" s="1"/>
  <c r="L246" i="2" s="1"/>
  <c r="L11" i="2" s="1"/>
  <c r="L256" i="2" s="1"/>
  <c r="L255" i="2" s="1"/>
  <c r="L300" i="2"/>
  <c r="L543" i="2"/>
  <c r="L595" i="2"/>
  <c r="L208" i="2"/>
  <c r="L162" i="2"/>
  <c r="J10" i="2"/>
  <c r="J221" i="2"/>
  <c r="J163" i="2" s="1"/>
  <c r="J128" i="2"/>
  <c r="J130" i="2" s="1"/>
  <c r="J481" i="2"/>
  <c r="I303" i="2"/>
  <c r="I306" i="2" s="1"/>
  <c r="K220" i="2"/>
  <c r="K434" i="2"/>
  <c r="K127" i="2" s="1"/>
  <c r="K461" i="2"/>
  <c r="J51" i="2"/>
  <c r="J348" i="2"/>
  <c r="H320" i="2"/>
  <c r="H326" i="2" s="1"/>
  <c r="K257" i="2"/>
  <c r="I288" i="2"/>
  <c r="I22" i="2"/>
  <c r="L418" i="2"/>
  <c r="L136" i="2" s="1"/>
  <c r="L391" i="2"/>
  <c r="I400" i="2"/>
  <c r="J420" i="2"/>
  <c r="J86" i="2" s="1"/>
  <c r="I402" i="2"/>
  <c r="L416" i="2"/>
  <c r="H347" i="2"/>
  <c r="H53" i="2" s="1"/>
  <c r="J398" i="2"/>
  <c r="J114" i="2" s="1"/>
  <c r="K390" i="2"/>
  <c r="K396" i="2" s="1"/>
  <c r="H454" i="2"/>
  <c r="I361" i="2"/>
  <c r="L461" i="2" l="1"/>
  <c r="L220" i="2"/>
  <c r="L434" i="2"/>
  <c r="L127" i="2" s="1"/>
  <c r="J303" i="2"/>
  <c r="J306" i="2" s="1"/>
  <c r="K221" i="2"/>
  <c r="K163" i="2" s="1"/>
  <c r="K10" i="2"/>
  <c r="K128" i="2"/>
  <c r="K130" i="2" s="1"/>
  <c r="K481" i="2"/>
  <c r="H327" i="2"/>
  <c r="H328" i="2" s="1"/>
  <c r="H121" i="2" s="1"/>
  <c r="H293" i="2"/>
  <c r="K258" i="2"/>
  <c r="K292" i="2"/>
  <c r="L75" i="2"/>
  <c r="K75" i="2"/>
  <c r="H370" i="2"/>
  <c r="J288" i="2"/>
  <c r="J22" i="2"/>
  <c r="I404" i="2"/>
  <c r="I63" i="2" s="1"/>
  <c r="I318" i="2" s="1"/>
  <c r="J402" i="2"/>
  <c r="K420" i="2"/>
  <c r="K86" i="2" s="1"/>
  <c r="L390" i="2"/>
  <c r="L396" i="2" s="1"/>
  <c r="L398" i="2" s="1"/>
  <c r="L114" i="2" s="1"/>
  <c r="K398" i="2"/>
  <c r="K114" i="2" s="1"/>
  <c r="I347" i="2"/>
  <c r="I454" i="2"/>
  <c r="J361" i="2"/>
  <c r="L481" i="2" l="1"/>
  <c r="C467" i="2" a="1"/>
  <c r="L128" i="2"/>
  <c r="L130" i="2" s="1"/>
  <c r="L221" i="2"/>
  <c r="L163" i="2" s="1"/>
  <c r="L10" i="2"/>
  <c r="K303" i="2"/>
  <c r="K306" i="2" s="1"/>
  <c r="H333" i="2"/>
  <c r="H84" i="2" s="1"/>
  <c r="H332" i="2"/>
  <c r="H76" i="2" s="1"/>
  <c r="K51" i="2"/>
  <c r="K348" i="2"/>
  <c r="L254" i="2"/>
  <c r="L257" i="2" s="1"/>
  <c r="I320" i="2"/>
  <c r="I326" i="2" s="1"/>
  <c r="L288" i="2"/>
  <c r="L22" i="2"/>
  <c r="K288" i="2"/>
  <c r="K22" i="2"/>
  <c r="I370" i="2"/>
  <c r="I53" i="2"/>
  <c r="J400" i="2"/>
  <c r="J404" i="2" s="1"/>
  <c r="J63" i="2" s="1"/>
  <c r="J318" i="2" s="1"/>
  <c r="L420" i="2"/>
  <c r="L86" i="2" s="1"/>
  <c r="L402" i="2"/>
  <c r="K402" i="2"/>
  <c r="J347" i="2"/>
  <c r="J454" i="2"/>
  <c r="K361" i="2"/>
  <c r="L303" i="2" l="1"/>
  <c r="L306" i="2" s="1"/>
  <c r="I327" i="2"/>
  <c r="I328" i="2" s="1"/>
  <c r="I121" i="2" s="1"/>
  <c r="I293" i="2"/>
  <c r="J320" i="2"/>
  <c r="J326" i="2" s="1"/>
  <c r="L258" i="2"/>
  <c r="L292" i="2"/>
  <c r="J370" i="2"/>
  <c r="J53" i="2"/>
  <c r="L361" i="2"/>
  <c r="K400" i="2"/>
  <c r="K404" i="2" s="1"/>
  <c r="K63" i="2" s="1"/>
  <c r="K318" i="2" s="1"/>
  <c r="K347" i="2"/>
  <c r="K454" i="2"/>
  <c r="L51" i="2" l="1"/>
  <c r="L348" i="2"/>
  <c r="I332" i="2"/>
  <c r="I76" i="2" s="1"/>
  <c r="I333" i="2"/>
  <c r="I84" i="2" s="1"/>
  <c r="J327" i="2"/>
  <c r="J328" i="2" s="1"/>
  <c r="J121" i="2" s="1"/>
  <c r="J293" i="2"/>
  <c r="K320" i="2"/>
  <c r="K326" i="2" s="1"/>
  <c r="K370" i="2"/>
  <c r="K53" i="2"/>
  <c r="L347" i="2"/>
  <c r="L454" i="2"/>
  <c r="C440" i="2" a="1"/>
  <c r="L400" i="2"/>
  <c r="L404" i="2" s="1"/>
  <c r="L63" i="2" s="1"/>
  <c r="L318" i="2" s="1"/>
  <c r="J332" i="2" l="1"/>
  <c r="J76" i="2" s="1"/>
  <c r="J333" i="2"/>
  <c r="J84" i="2" s="1"/>
  <c r="K327" i="2"/>
  <c r="K328" i="2" s="1"/>
  <c r="K121" i="2" s="1"/>
  <c r="K293" i="2"/>
  <c r="L320" i="2"/>
  <c r="L326" i="2" s="1"/>
  <c r="L370" i="2"/>
  <c r="L53" i="2"/>
  <c r="I468" i="2"/>
  <c r="J468" i="2" s="1"/>
  <c r="K468" i="2" s="1"/>
  <c r="L468" i="2" s="1"/>
  <c r="K470" i="2"/>
  <c r="L470" i="2" s="1"/>
  <c r="J469" i="2"/>
  <c r="K469" i="2" s="1"/>
  <c r="L469" i="2" s="1"/>
  <c r="L471" i="2"/>
  <c r="H467" i="2"/>
  <c r="K443" i="2"/>
  <c r="L443" i="2" s="1"/>
  <c r="I441" i="2"/>
  <c r="J441" i="2" s="1"/>
  <c r="K441" i="2" s="1"/>
  <c r="L441" i="2" s="1"/>
  <c r="H440" i="2"/>
  <c r="J442" i="2"/>
  <c r="K442" i="2" s="1"/>
  <c r="L442" i="2" s="1"/>
  <c r="L444" i="2"/>
  <c r="K333" i="2" l="1"/>
  <c r="K84" i="2" s="1"/>
  <c r="K332" i="2"/>
  <c r="K76" i="2" s="1"/>
  <c r="L327" i="2"/>
  <c r="L328" i="2" s="1"/>
  <c r="L121" i="2" s="1"/>
  <c r="L293" i="2"/>
  <c r="H473" i="2"/>
  <c r="H475" i="2" s="1"/>
  <c r="H115" i="2" s="1"/>
  <c r="I467" i="2"/>
  <c r="H446" i="2"/>
  <c r="H448" i="2" s="1"/>
  <c r="H113" i="2" s="1"/>
  <c r="I440" i="2"/>
  <c r="L333" i="2" l="1"/>
  <c r="L84" i="2" s="1"/>
  <c r="L332" i="2"/>
  <c r="L76" i="2" s="1"/>
  <c r="H287" i="2"/>
  <c r="H23" i="2"/>
  <c r="H286" i="2"/>
  <c r="H21" i="2"/>
  <c r="I473" i="2"/>
  <c r="I475" i="2" s="1"/>
  <c r="I115" i="2" s="1"/>
  <c r="J467" i="2"/>
  <c r="H482" i="2"/>
  <c r="H483" i="2" s="1"/>
  <c r="H487" i="2" s="1"/>
  <c r="J440" i="2"/>
  <c r="I446" i="2"/>
  <c r="I448" i="2" s="1"/>
  <c r="I113" i="2" s="1"/>
  <c r="H455" i="2"/>
  <c r="H457" i="2" s="1"/>
  <c r="H61" i="2" s="1"/>
  <c r="H295" i="2" l="1"/>
  <c r="H307" i="2" s="1"/>
  <c r="H308" i="2" s="1"/>
  <c r="H16" i="2" s="1"/>
  <c r="H24" i="2"/>
  <c r="I287" i="2"/>
  <c r="I23" i="2"/>
  <c r="I477" i="2"/>
  <c r="I479" i="2" s="1"/>
  <c r="H62" i="2"/>
  <c r="I286" i="2"/>
  <c r="I21" i="2"/>
  <c r="I482" i="2"/>
  <c r="K467" i="2"/>
  <c r="J473" i="2"/>
  <c r="J475" i="2" s="1"/>
  <c r="J115" i="2" s="1"/>
  <c r="J446" i="2"/>
  <c r="J448" i="2" s="1"/>
  <c r="J113" i="2" s="1"/>
  <c r="K440" i="2"/>
  <c r="I455" i="2"/>
  <c r="I453" i="2"/>
  <c r="I295" i="2" l="1"/>
  <c r="I307" i="2" s="1"/>
  <c r="I308" i="2" s="1"/>
  <c r="I16" i="2" s="1"/>
  <c r="I24" i="2"/>
  <c r="I483" i="2"/>
  <c r="I487" i="2" s="1"/>
  <c r="J287" i="2"/>
  <c r="J23" i="2"/>
  <c r="J286" i="2"/>
  <c r="J21" i="2"/>
  <c r="I457" i="2"/>
  <c r="I61" i="2" s="1"/>
  <c r="L467" i="2"/>
  <c r="L473" i="2" s="1"/>
  <c r="L475" i="2" s="1"/>
  <c r="K473" i="2"/>
  <c r="K475" i="2" s="1"/>
  <c r="J482" i="2"/>
  <c r="L440" i="2"/>
  <c r="L446" i="2" s="1"/>
  <c r="L448" i="2" s="1"/>
  <c r="L113" i="2" s="1"/>
  <c r="K446" i="2"/>
  <c r="K448" i="2" s="1"/>
  <c r="K113" i="2" s="1"/>
  <c r="J455" i="2"/>
  <c r="H362" i="2"/>
  <c r="H12" i="2"/>
  <c r="H18" i="2" s="1"/>
  <c r="H371" i="2" l="1"/>
  <c r="H365" i="2"/>
  <c r="H25" i="2"/>
  <c r="J295" i="2"/>
  <c r="J307" i="2" s="1"/>
  <c r="J308" i="2" s="1"/>
  <c r="J16" i="2" s="1"/>
  <c r="L23" i="2"/>
  <c r="L115" i="2"/>
  <c r="K23" i="2"/>
  <c r="K115" i="2"/>
  <c r="J24" i="2"/>
  <c r="I62" i="2"/>
  <c r="J477" i="2"/>
  <c r="J479" i="2" s="1"/>
  <c r="J483" i="2" s="1"/>
  <c r="J487" i="2" s="1"/>
  <c r="L286" i="2"/>
  <c r="L21" i="2"/>
  <c r="K286" i="2"/>
  <c r="K21" i="2"/>
  <c r="L482" i="2"/>
  <c r="L287" i="2"/>
  <c r="K482" i="2"/>
  <c r="K287" i="2"/>
  <c r="L455" i="2"/>
  <c r="K455" i="2"/>
  <c r="J453" i="2"/>
  <c r="J457" i="2" s="1"/>
  <c r="J61" i="2" s="1"/>
  <c r="H13" i="2"/>
  <c r="H167" i="2" s="1"/>
  <c r="I12" i="2"/>
  <c r="I18" i="2" s="1"/>
  <c r="I362" i="2"/>
  <c r="I371" i="2" s="1"/>
  <c r="H351" i="2"/>
  <c r="I25" i="2" l="1"/>
  <c r="K295" i="2"/>
  <c r="K307" i="2" s="1"/>
  <c r="K308" i="2" s="1"/>
  <c r="K16" i="2" s="1"/>
  <c r="L295" i="2"/>
  <c r="L307" i="2" s="1"/>
  <c r="L308" i="2" s="1"/>
  <c r="L16" i="2" s="1"/>
  <c r="L24" i="2"/>
  <c r="K24" i="2"/>
  <c r="H372" i="2"/>
  <c r="H73" i="2"/>
  <c r="K477" i="2"/>
  <c r="K479" i="2" s="1"/>
  <c r="K483" i="2" s="1"/>
  <c r="K487" i="2" s="1"/>
  <c r="J62" i="2"/>
  <c r="K453" i="2"/>
  <c r="K457" i="2" s="1"/>
  <c r="K61" i="2" s="1"/>
  <c r="H352" i="2"/>
  <c r="H19" i="2"/>
  <c r="H168" i="2" s="1"/>
  <c r="L12" i="2"/>
  <c r="L362" i="2"/>
  <c r="L371" i="2" s="1"/>
  <c r="I13" i="2"/>
  <c r="I167" i="2" s="1"/>
  <c r="I351" i="2"/>
  <c r="K12" i="2"/>
  <c r="K362" i="2"/>
  <c r="K371" i="2" s="1"/>
  <c r="J12" i="2"/>
  <c r="J18" i="2" s="1"/>
  <c r="J362" i="2"/>
  <c r="J371" i="2" s="1"/>
  <c r="J25" i="2" l="1"/>
  <c r="K18" i="2"/>
  <c r="L18" i="2"/>
  <c r="I372" i="2"/>
  <c r="I73" i="2"/>
  <c r="L477" i="2"/>
  <c r="L479" i="2" s="1"/>
  <c r="L483" i="2" s="1"/>
  <c r="L487" i="2" s="1"/>
  <c r="L62" i="2" s="1"/>
  <c r="K62" i="2"/>
  <c r="L453" i="2"/>
  <c r="L457" i="2" s="1"/>
  <c r="L61" i="2" s="1"/>
  <c r="I352" i="2"/>
  <c r="H26" i="2"/>
  <c r="H169" i="2" s="1"/>
  <c r="L13" i="2"/>
  <c r="L167" i="2" s="1"/>
  <c r="L351" i="2"/>
  <c r="I19" i="2"/>
  <c r="I168" i="2" s="1"/>
  <c r="K13" i="2"/>
  <c r="K167" i="2" s="1"/>
  <c r="K351" i="2"/>
  <c r="J13" i="2"/>
  <c r="J167" i="2" s="1"/>
  <c r="J351" i="2"/>
  <c r="K25" i="2" l="1"/>
  <c r="L25" i="2"/>
  <c r="L372" i="2"/>
  <c r="L73" i="2"/>
  <c r="K372" i="2"/>
  <c r="K73" i="2"/>
  <c r="J372" i="2"/>
  <c r="J73" i="2"/>
  <c r="L352" i="2"/>
  <c r="K352" i="2"/>
  <c r="J352" i="2"/>
  <c r="I26" i="2"/>
  <c r="I169" i="2" s="1"/>
  <c r="L19" i="2"/>
  <c r="L168" i="2" s="1"/>
  <c r="K19" i="2"/>
  <c r="K168" i="2" s="1"/>
  <c r="J19" i="2"/>
  <c r="J168" i="2" s="1"/>
  <c r="K26" i="2" l="1"/>
  <c r="K169" i="2" s="1"/>
  <c r="J26" i="2"/>
  <c r="J169" i="2" s="1"/>
  <c r="L26" i="2"/>
  <c r="L169" i="2" s="1"/>
  <c r="H349" i="2" l="1"/>
  <c r="H354" i="2" s="1"/>
  <c r="H355" i="2" s="1"/>
  <c r="H117" i="2" s="1"/>
  <c r="I365" i="2"/>
  <c r="K365" i="2"/>
  <c r="L365" i="2"/>
  <c r="I349" i="2"/>
  <c r="I354" i="2" s="1"/>
  <c r="J365" i="2"/>
  <c r="J349" i="2"/>
  <c r="J354" i="2" s="1"/>
  <c r="L349" i="2"/>
  <c r="L354" i="2" s="1"/>
  <c r="K349" i="2"/>
  <c r="K354" i="2" s="1"/>
  <c r="L355" i="2" l="1"/>
  <c r="L117" i="2" s="1"/>
  <c r="K355" i="2"/>
  <c r="K117" i="2" s="1"/>
  <c r="I355" i="2"/>
  <c r="I117" i="2" s="1"/>
  <c r="J355" i="2"/>
  <c r="J117" i="2" s="1"/>
  <c r="I680" i="2" l="1"/>
  <c r="H601" i="2" l="1"/>
  <c r="H636" i="2" s="1"/>
  <c r="H599" i="2"/>
  <c r="H600" i="2"/>
  <c r="H635" i="2" l="1"/>
  <c r="H29" i="2"/>
  <c r="H30" i="2" s="1"/>
  <c r="H32" i="2" s="1"/>
  <c r="H656" i="2" s="1"/>
  <c r="H659" i="2" l="1"/>
  <c r="H682" i="2"/>
  <c r="H33" i="2" l="1"/>
  <c r="H662" i="2"/>
  <c r="H671" i="2"/>
  <c r="H118" i="2" l="1"/>
  <c r="H34" i="2"/>
  <c r="H672" i="2"/>
  <c r="H673" i="2" s="1"/>
  <c r="H119" i="2"/>
  <c r="H112" i="2" l="1"/>
  <c r="H123" i="2" s="1"/>
  <c r="H703" i="2"/>
  <c r="H35" i="2"/>
  <c r="H170" i="2" s="1"/>
  <c r="H697" i="2"/>
  <c r="H698" i="2" s="1"/>
  <c r="H37" i="2"/>
  <c r="H676" i="2"/>
  <c r="H77" i="2" s="1"/>
  <c r="H675" i="2"/>
  <c r="H180" i="2" l="1"/>
  <c r="H181" i="2" s="1"/>
  <c r="H182" i="2" s="1"/>
  <c r="H704" i="2"/>
  <c r="H707" i="2" s="1"/>
  <c r="H137" i="2"/>
  <c r="H500" i="2" s="1"/>
  <c r="H502" i="2" s="1"/>
  <c r="H505" i="2" s="1"/>
  <c r="I666" i="2"/>
  <c r="I668" i="2" s="1"/>
  <c r="H78" i="2"/>
  <c r="H518" i="2" l="1"/>
  <c r="H552" i="2" s="1"/>
  <c r="H508" i="2"/>
  <c r="I702" i="2"/>
  <c r="H94" i="2"/>
  <c r="I56" i="2"/>
  <c r="J667" i="2" s="1"/>
  <c r="I670" i="2"/>
  <c r="H509" i="2" l="1"/>
  <c r="H510" i="2" s="1"/>
  <c r="H511" i="2" s="1"/>
  <c r="G174" i="2"/>
  <c r="H553" i="2" l="1"/>
  <c r="H557" i="2" s="1"/>
  <c r="H559" i="2" l="1"/>
  <c r="H563" i="2"/>
  <c r="H519" i="2"/>
  <c r="H564" i="2" s="1"/>
  <c r="H135" i="2" s="1"/>
  <c r="H512" i="2"/>
  <c r="I597" i="2" l="1"/>
  <c r="I556" i="2"/>
  <c r="H520" i="2"/>
  <c r="H524" i="2" s="1"/>
  <c r="H134" i="2"/>
  <c r="I517" i="2" l="1"/>
  <c r="I590" i="2"/>
  <c r="H140" i="2"/>
  <c r="H145" i="2" s="1"/>
  <c r="H146" i="2" s="1"/>
  <c r="H566" i="2"/>
  <c r="H629" i="2" l="1"/>
  <c r="H82" i="2"/>
  <c r="H87" i="2" s="1"/>
  <c r="H89" i="2" s="1"/>
  <c r="H95" i="2" s="1"/>
  <c r="I562" i="2"/>
  <c r="I592" i="2"/>
  <c r="H55" i="2"/>
  <c r="I499" i="2" s="1"/>
  <c r="I144" i="2"/>
  <c r="I600" i="2" l="1"/>
  <c r="I601" i="2"/>
  <c r="I636" i="2" s="1"/>
  <c r="I599" i="2"/>
  <c r="I603" i="2"/>
  <c r="I28" i="2" s="1"/>
  <c r="H57" i="2"/>
  <c r="H69" i="2" s="1"/>
  <c r="H96" i="2" s="1"/>
  <c r="H630" i="2"/>
  <c r="H641" i="2" s="1"/>
  <c r="H640" i="2"/>
  <c r="I635" i="2" l="1"/>
  <c r="I29" i="2"/>
  <c r="I30" i="2" s="1"/>
  <c r="I32" i="2" s="1"/>
  <c r="I656" i="2" s="1"/>
  <c r="H176" i="2"/>
  <c r="I659" i="2" l="1"/>
  <c r="I33" i="2" s="1"/>
  <c r="I682" i="2"/>
  <c r="I68" i="2" s="1"/>
  <c r="J680" i="2" s="1"/>
  <c r="I671" i="2" l="1"/>
  <c r="I662" i="2"/>
  <c r="I34" i="2" l="1"/>
  <c r="I118" i="2"/>
  <c r="I672" i="2"/>
  <c r="I673" i="2" s="1"/>
  <c r="I119" i="2"/>
  <c r="I697" i="2" l="1"/>
  <c r="I698" i="2" s="1"/>
  <c r="I37" i="2"/>
  <c r="I703" i="2"/>
  <c r="I35" i="2"/>
  <c r="I170" i="2" s="1"/>
  <c r="I112" i="2"/>
  <c r="I123" i="2" s="1"/>
  <c r="I180" i="2" s="1"/>
  <c r="I181" i="2" s="1"/>
  <c r="I182" i="2" s="1"/>
  <c r="I676" i="2"/>
  <c r="I77" i="2" s="1"/>
  <c r="I675" i="2"/>
  <c r="I704" i="2" l="1"/>
  <c r="I707" i="2" s="1"/>
  <c r="I137" i="2"/>
  <c r="I500" i="2" s="1"/>
  <c r="I502" i="2" s="1"/>
  <c r="I505" i="2" s="1"/>
  <c r="I78" i="2"/>
  <c r="J666" i="2"/>
  <c r="J668" i="2" s="1"/>
  <c r="J702" i="2" l="1"/>
  <c r="I94" i="2"/>
  <c r="I508" i="2"/>
  <c r="I519" i="2" s="1"/>
  <c r="I518" i="2"/>
  <c r="J670" i="2"/>
  <c r="J56" i="2"/>
  <c r="K667" i="2" s="1"/>
  <c r="H174" i="2" l="1"/>
  <c r="I552" i="2"/>
  <c r="I553" i="2" s="1"/>
  <c r="I557" i="2" s="1"/>
  <c r="I509" i="2"/>
  <c r="I510" i="2" s="1"/>
  <c r="I564" i="2"/>
  <c r="I520" i="2"/>
  <c r="I563" i="2" l="1"/>
  <c r="I559" i="2"/>
  <c r="I511" i="2"/>
  <c r="I512" i="2" s="1"/>
  <c r="I135" i="2"/>
  <c r="J517" i="2"/>
  <c r="I524" i="2"/>
  <c r="J590" i="2" s="1"/>
  <c r="J556" i="2" l="1"/>
  <c r="J597" i="2"/>
  <c r="I134" i="2"/>
  <c r="I140" i="2" s="1"/>
  <c r="I145" i="2" s="1"/>
  <c r="I146" i="2" s="1"/>
  <c r="I566" i="2"/>
  <c r="I629" i="2" s="1"/>
  <c r="J592" i="2"/>
  <c r="I55" i="2" l="1"/>
  <c r="J499" i="2" s="1"/>
  <c r="J144" i="2"/>
  <c r="J562" i="2"/>
  <c r="I82" i="2"/>
  <c r="I87" i="2" s="1"/>
  <c r="I89" i="2" s="1"/>
  <c r="I95" i="2" s="1"/>
  <c r="J601" i="2"/>
  <c r="J636" i="2" s="1"/>
  <c r="J599" i="2"/>
  <c r="J600" i="2"/>
  <c r="I57" i="2" l="1"/>
  <c r="I69" i="2" s="1"/>
  <c r="J603" i="2"/>
  <c r="J28" i="2" s="1"/>
  <c r="I640" i="2"/>
  <c r="I630" i="2"/>
  <c r="I641" i="2" s="1"/>
  <c r="J29" i="2"/>
  <c r="J635" i="2"/>
  <c r="J30" i="2" l="1"/>
  <c r="J32" i="2" s="1"/>
  <c r="J656" i="2" s="1"/>
  <c r="I176" i="2"/>
  <c r="I96" i="2"/>
  <c r="J659" i="2" l="1"/>
  <c r="J682" i="2"/>
  <c r="J68" i="2" s="1"/>
  <c r="K680" i="2" s="1"/>
  <c r="J671" i="2" l="1"/>
  <c r="J33" i="2"/>
  <c r="J662" i="2"/>
  <c r="J672" i="2" l="1"/>
  <c r="J673" i="2" s="1"/>
  <c r="J119" i="2"/>
  <c r="J118" i="2"/>
  <c r="J34" i="2"/>
  <c r="J112" i="2" s="1"/>
  <c r="J123" i="2" l="1"/>
  <c r="J180" i="2" s="1"/>
  <c r="J181" i="2" s="1"/>
  <c r="J182" i="2" s="1"/>
  <c r="J676" i="2"/>
  <c r="J77" i="2" s="1"/>
  <c r="J675" i="2"/>
  <c r="J697" i="2"/>
  <c r="J698" i="2" s="1"/>
  <c r="J703" i="2"/>
  <c r="J35" i="2"/>
  <c r="J170" i="2" s="1"/>
  <c r="J37" i="2"/>
  <c r="J78" i="2" l="1"/>
  <c r="K666" i="2"/>
  <c r="K668" i="2" s="1"/>
  <c r="J704" i="2"/>
  <c r="J707" i="2" s="1"/>
  <c r="J137" i="2"/>
  <c r="J500" i="2" s="1"/>
  <c r="J502" i="2" s="1"/>
  <c r="J505" i="2" s="1"/>
  <c r="K670" i="2" l="1"/>
  <c r="K56" i="2"/>
  <c r="L667" i="2" s="1"/>
  <c r="J94" i="2"/>
  <c r="I174" i="2" s="1"/>
  <c r="K702" i="2"/>
  <c r="J508" i="2"/>
  <c r="J518" i="2"/>
  <c r="J509" i="2" l="1"/>
  <c r="J510" i="2" s="1"/>
  <c r="J511" i="2" s="1"/>
  <c r="J512" i="2" s="1"/>
  <c r="J519" i="2"/>
  <c r="J552" i="2"/>
  <c r="J553" i="2" s="1"/>
  <c r="J557" i="2" s="1"/>
  <c r="J564" i="2" l="1"/>
  <c r="J135" i="2" s="1"/>
  <c r="J520" i="2"/>
  <c r="J559" i="2"/>
  <c r="J563" i="2"/>
  <c r="J134" i="2" l="1"/>
  <c r="J140" i="2" s="1"/>
  <c r="J145" i="2" s="1"/>
  <c r="J146" i="2" s="1"/>
  <c r="J566" i="2"/>
  <c r="K597" i="2"/>
  <c r="K556" i="2"/>
  <c r="K517" i="2"/>
  <c r="K592" i="2" s="1"/>
  <c r="J524" i="2"/>
  <c r="K590" i="2" s="1"/>
  <c r="K600" i="2" l="1"/>
  <c r="J55" i="2"/>
  <c r="K144" i="2"/>
  <c r="K562" i="2"/>
  <c r="J82" i="2"/>
  <c r="J87" i="2" s="1"/>
  <c r="J89" i="2" s="1"/>
  <c r="J95" i="2" s="1"/>
  <c r="J629" i="2"/>
  <c r="J640" i="2" s="1"/>
  <c r="K599" i="2"/>
  <c r="K601" i="2"/>
  <c r="K636" i="2" s="1"/>
  <c r="J630" i="2" l="1"/>
  <c r="J641" i="2" s="1"/>
  <c r="J57" i="2"/>
  <c r="J69" i="2" s="1"/>
  <c r="K499" i="2"/>
  <c r="K603" i="2"/>
  <c r="K28" i="2" s="1"/>
  <c r="K635" i="2"/>
  <c r="K29" i="2"/>
  <c r="K30" i="2" l="1"/>
  <c r="K32" i="2" s="1"/>
  <c r="K656" i="2" s="1"/>
  <c r="J96" i="2"/>
  <c r="J176" i="2"/>
  <c r="K682" i="2" l="1"/>
  <c r="K68" i="2" s="1"/>
  <c r="L680" i="2" s="1"/>
  <c r="K659" i="2"/>
  <c r="K662" i="2" s="1"/>
  <c r="K33" i="2" l="1"/>
  <c r="K671" i="2"/>
  <c r="K672" i="2"/>
  <c r="K119" i="2"/>
  <c r="K673" i="2" l="1"/>
  <c r="K118" i="2"/>
  <c r="K34" i="2"/>
  <c r="K675" i="2" l="1"/>
  <c r="K676" i="2"/>
  <c r="K77" i="2" s="1"/>
  <c r="K37" i="2"/>
  <c r="K703" i="2"/>
  <c r="K697" i="2"/>
  <c r="K698" i="2" s="1"/>
  <c r="K35" i="2"/>
  <c r="K170" i="2" s="1"/>
  <c r="K112" i="2"/>
  <c r="K123" i="2" s="1"/>
  <c r="K180" i="2" s="1"/>
  <c r="K181" i="2" s="1"/>
  <c r="K182" i="2" s="1"/>
  <c r="L666" i="2" l="1"/>
  <c r="L668" i="2" s="1"/>
  <c r="K78" i="2"/>
  <c r="K704" i="2"/>
  <c r="K707" i="2" s="1"/>
  <c r="K137" i="2"/>
  <c r="K500" i="2" s="1"/>
  <c r="K502" i="2" s="1"/>
  <c r="K505" i="2" s="1"/>
  <c r="L670" i="2" l="1"/>
  <c r="L56" i="2"/>
  <c r="L702" i="2"/>
  <c r="K94" i="2"/>
  <c r="J174" i="2" s="1"/>
  <c r="K518" i="2"/>
  <c r="K552" i="2" s="1"/>
  <c r="K553" i="2" s="1"/>
  <c r="K557" i="2" s="1"/>
  <c r="K508" i="2"/>
  <c r="K509" i="2" l="1"/>
  <c r="K510" i="2" s="1"/>
  <c r="K511" i="2" s="1"/>
  <c r="K512" i="2" s="1"/>
  <c r="K519" i="2"/>
  <c r="K564" i="2"/>
  <c r="K135" i="2" s="1"/>
  <c r="K520" i="2"/>
  <c r="K559" i="2"/>
  <c r="K563" i="2"/>
  <c r="L597" i="2" l="1"/>
  <c r="L556" i="2"/>
  <c r="L517" i="2"/>
  <c r="L592" i="2" s="1"/>
  <c r="K524" i="2"/>
  <c r="L590" i="2" s="1"/>
  <c r="K134" i="2"/>
  <c r="K140" i="2" s="1"/>
  <c r="K145" i="2" s="1"/>
  <c r="K146" i="2" s="1"/>
  <c r="K566" i="2"/>
  <c r="L600" i="2" l="1"/>
  <c r="L601" i="2"/>
  <c r="L636" i="2" s="1"/>
  <c r="L599" i="2"/>
  <c r="L562" i="2"/>
  <c r="K629" i="2"/>
  <c r="K82" i="2"/>
  <c r="K87" i="2" s="1"/>
  <c r="K89" i="2" s="1"/>
  <c r="K95" i="2" s="1"/>
  <c r="K55" i="2"/>
  <c r="K57" i="2" s="1"/>
  <c r="K69" i="2" s="1"/>
  <c r="L144" i="2"/>
  <c r="L603" i="2" l="1"/>
  <c r="L28" i="2" s="1"/>
  <c r="L499" i="2"/>
  <c r="L635" i="2"/>
  <c r="L29" i="2"/>
  <c r="K640" i="2"/>
  <c r="K630" i="2"/>
  <c r="K641" i="2" s="1"/>
  <c r="K96" i="2"/>
  <c r="K176" i="2"/>
  <c r="L30" i="2" l="1"/>
  <c r="L32" i="2" s="1"/>
  <c r="L656" i="2" s="1"/>
  <c r="L682" i="2" l="1"/>
  <c r="L68" i="2" s="1"/>
  <c r="L659" i="2"/>
  <c r="L662" i="2" s="1"/>
  <c r="L671" i="2" l="1"/>
  <c r="L33" i="2"/>
  <c r="L119" i="2"/>
  <c r="L672" i="2"/>
  <c r="L118" i="2" l="1"/>
  <c r="L34" i="2"/>
  <c r="L673" i="2"/>
  <c r="L676" i="2" l="1"/>
  <c r="L77" i="2" s="1"/>
  <c r="L78" i="2" s="1"/>
  <c r="L675" i="2"/>
  <c r="L697" i="2"/>
  <c r="L698" i="2" s="1"/>
  <c r="L37" i="2"/>
  <c r="L35" i="2"/>
  <c r="L170" i="2" s="1"/>
  <c r="L112" i="2"/>
  <c r="L123" i="2" s="1"/>
  <c r="L180" i="2" s="1"/>
  <c r="L181" i="2" s="1"/>
  <c r="L182" i="2" s="1"/>
  <c r="L703" i="2"/>
  <c r="L704" i="2" l="1"/>
  <c r="L707" i="2" s="1"/>
  <c r="L94" i="2" s="1"/>
  <c r="L137" i="2"/>
  <c r="L500" i="2" s="1"/>
  <c r="L502" i="2" s="1"/>
  <c r="L505" i="2" s="1"/>
  <c r="L174" i="2" l="1"/>
  <c r="K174" i="2"/>
  <c r="L518" i="2"/>
  <c r="L552" i="2" s="1"/>
  <c r="L553" i="2" s="1"/>
  <c r="L557" i="2" s="1"/>
  <c r="L508" i="2"/>
  <c r="L519" i="2" l="1"/>
  <c r="L509" i="2"/>
  <c r="L510" i="2" s="1"/>
  <c r="L511" i="2" s="1"/>
  <c r="L512" i="2" s="1"/>
  <c r="L559" i="2"/>
  <c r="L563" i="2"/>
  <c r="L520" i="2" l="1"/>
  <c r="L524" i="2" s="1"/>
  <c r="L564" i="2"/>
  <c r="L134" i="2"/>
  <c r="L135" i="2" l="1"/>
  <c r="L140" i="2" s="1"/>
  <c r="L145" i="2" s="1"/>
  <c r="L146" i="2" s="1"/>
  <c r="L55" i="2" s="1"/>
  <c r="L57" i="2" s="1"/>
  <c r="L69" i="2" s="1"/>
  <c r="L176" i="2" s="1"/>
  <c r="L566" i="2"/>
  <c r="L629" i="2" l="1"/>
  <c r="L82" i="2"/>
  <c r="L87" i="2" s="1"/>
  <c r="L89" i="2" s="1"/>
  <c r="L95" i="2" s="1"/>
  <c r="L96" i="2" s="1"/>
  <c r="L640" i="2" l="1"/>
  <c r="L630" i="2"/>
  <c r="L64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<sst xmlns="http://schemas.openxmlformats.org/spreadsheetml/2006/main" count="548" uniqueCount="375">
  <si>
    <t>Financial Statements - Income Statement</t>
  </si>
  <si>
    <t>Financial Statements - Balance Sheet</t>
  </si>
  <si>
    <t>Assets</t>
  </si>
  <si>
    <t>Lease liabilities</t>
  </si>
  <si>
    <t>Executive Summary / Key Metrics</t>
  </si>
  <si>
    <t>Revenue</t>
  </si>
  <si>
    <t>Revenue Schedule</t>
  </si>
  <si>
    <t>Inventories</t>
  </si>
  <si>
    <t>Trade and other payables</t>
  </si>
  <si>
    <t>Total Revenue</t>
  </si>
  <si>
    <t>Operating Cost Schedule</t>
  </si>
  <si>
    <t>Cash</t>
  </si>
  <si>
    <t>ROU depreciation</t>
  </si>
  <si>
    <t>Closing ROU Assets</t>
  </si>
  <si>
    <t>Depreciation</t>
  </si>
  <si>
    <t>Capital Expenditure</t>
  </si>
  <si>
    <t>Working Capital Schedule</t>
  </si>
  <si>
    <t>Inventory</t>
  </si>
  <si>
    <t>Change in NWC</t>
  </si>
  <si>
    <t>Debt Schedule</t>
  </si>
  <si>
    <t>Profit before tax</t>
  </si>
  <si>
    <t>Tax Schedule</t>
  </si>
  <si>
    <t>Amortization</t>
  </si>
  <si>
    <t>Additions</t>
  </si>
  <si>
    <t>Amortisation</t>
  </si>
  <si>
    <t>Cash tax paid</t>
  </si>
  <si>
    <t>Capital expenditure on PP&amp;E</t>
  </si>
  <si>
    <t>Additions to intangibles</t>
  </si>
  <si>
    <t>Cash flow from investing</t>
  </si>
  <si>
    <t>Lease principal payments</t>
  </si>
  <si>
    <t>Dividends</t>
  </si>
  <si>
    <t>Cash flow from financing</t>
  </si>
  <si>
    <t>Cash - Beginning of Period</t>
  </si>
  <si>
    <t>Cash Movement during the year</t>
  </si>
  <si>
    <t>Cash - End of Period</t>
  </si>
  <si>
    <t>PP&amp;E depreciation</t>
  </si>
  <si>
    <t>Share buybacks</t>
  </si>
  <si>
    <t>F = Forecast</t>
  </si>
  <si>
    <t>Financial Statements - Cash Flow Statement</t>
  </si>
  <si>
    <t>EBIT</t>
  </si>
  <si>
    <t>Net finance costs</t>
  </si>
  <si>
    <t>Net Profit</t>
  </si>
  <si>
    <t>Net Profit Margin</t>
  </si>
  <si>
    <t>Cash Tax Paid</t>
  </si>
  <si>
    <t>Cost of Sales</t>
  </si>
  <si>
    <t>Gross profit</t>
  </si>
  <si>
    <t>Gross profit margin</t>
  </si>
  <si>
    <t>Depreciation and Amortization</t>
  </si>
  <si>
    <t>Finance expense</t>
  </si>
  <si>
    <t>Fiscal Years Ending December 31</t>
  </si>
  <si>
    <t>H = Historical</t>
  </si>
  <si>
    <t>Trade and other receivables</t>
  </si>
  <si>
    <t>Cash and cash equivalents</t>
  </si>
  <si>
    <t>Current Assets</t>
  </si>
  <si>
    <t xml:space="preserve">   PP&amp;E, gross</t>
  </si>
  <si>
    <t xml:space="preserve">   (-) Accumulated depreciation</t>
  </si>
  <si>
    <t>PP&amp;E, net</t>
  </si>
  <si>
    <t>Total Assets</t>
  </si>
  <si>
    <t>Right-of-use assets</t>
  </si>
  <si>
    <t>pence per share</t>
  </si>
  <si>
    <t>Total Current Liabilities</t>
  </si>
  <si>
    <t>Total Debt</t>
  </si>
  <si>
    <t>Retained earnings</t>
  </si>
  <si>
    <t>Total Liabilities and Equity</t>
  </si>
  <si>
    <t>Net Income</t>
  </si>
  <si>
    <t>(Increase) / decrease in working capital</t>
  </si>
  <si>
    <t>Operating Activities</t>
  </si>
  <si>
    <t>Investing Activities</t>
  </si>
  <si>
    <t>Borrowing Issuance</t>
  </si>
  <si>
    <t>Borrowing Repayments</t>
  </si>
  <si>
    <t>Financing Activities</t>
  </si>
  <si>
    <t>Revenue Growth</t>
  </si>
  <si>
    <t>ROU Asset / Lease Liability Schedule</t>
  </si>
  <si>
    <t>PP&amp;E. Intangible Asset and Depreciation Schedule</t>
  </si>
  <si>
    <t>ROU Additions</t>
  </si>
  <si>
    <t>ROU Depreciation</t>
  </si>
  <si>
    <t>Opening ROU Assets</t>
  </si>
  <si>
    <t>Useful life (yrs)</t>
  </si>
  <si>
    <t>Midpoint convention</t>
  </si>
  <si>
    <t>Yes</t>
  </si>
  <si>
    <t>Average Lease Length (years)</t>
  </si>
  <si>
    <t>Depreciation of ROU additions</t>
  </si>
  <si>
    <t>Depreciation of Existing ROU Assets</t>
  </si>
  <si>
    <t>Total ROU depreciation expense</t>
  </si>
  <si>
    <t>ROU Assets</t>
  </si>
  <si>
    <t>Opening Lease Liability</t>
  </si>
  <si>
    <t>New Lease Liabilities</t>
  </si>
  <si>
    <t>Lease Liabiltiies</t>
  </si>
  <si>
    <t>Interest Rate on Leases</t>
  </si>
  <si>
    <t>Interest Accrued</t>
  </si>
  <si>
    <t>Lease Cash Payments</t>
  </si>
  <si>
    <t>Closing Lease Liability</t>
  </si>
  <si>
    <t>Capex / Revenue</t>
  </si>
  <si>
    <t>Depreciation of Capital Expenditure</t>
  </si>
  <si>
    <t>Depreciation of Existing Fixed Assets</t>
  </si>
  <si>
    <t>PP&amp;E - Opening Balance</t>
  </si>
  <si>
    <t>Finite life of intangile assets</t>
  </si>
  <si>
    <t>Capital Expenditure on PP&amp;E</t>
  </si>
  <si>
    <t>Additions / Revenue</t>
  </si>
  <si>
    <t>Amortization of Intangible Additions</t>
  </si>
  <si>
    <t>Amortization of Existing Intangible Assets</t>
  </si>
  <si>
    <t>Operating Days</t>
  </si>
  <si>
    <t>Net Working Capital</t>
  </si>
  <si>
    <t>Non-cash current liabilities</t>
  </si>
  <si>
    <t>Working Capital Drivers</t>
  </si>
  <si>
    <t>COGS</t>
  </si>
  <si>
    <t>Receivables / Revenue</t>
  </si>
  <si>
    <t>Inventory / COGS</t>
  </si>
  <si>
    <t>Payables / COGS</t>
  </si>
  <si>
    <t>Receivables Days</t>
  </si>
  <si>
    <t>Inventory Days</t>
  </si>
  <si>
    <t>Payables Days</t>
  </si>
  <si>
    <t>Amortization of Intangible Assets</t>
  </si>
  <si>
    <t>Wage Inflation</t>
  </si>
  <si>
    <t>Depreciation of PP&amp;E</t>
  </si>
  <si>
    <t>Depreciation of ROU assets</t>
  </si>
  <si>
    <t>Total Amortization</t>
  </si>
  <si>
    <t>Inflation</t>
  </si>
  <si>
    <t>Financing Schedule</t>
  </si>
  <si>
    <t>Optional debt repayment</t>
  </si>
  <si>
    <t>Revolver</t>
  </si>
  <si>
    <t>Beginning Balance</t>
  </si>
  <si>
    <t>(+) Revolver draw-down</t>
  </si>
  <si>
    <t>(-) Revolver pay-down</t>
  </si>
  <si>
    <t>Ending balance</t>
  </si>
  <si>
    <t>Bank Revolver Commitment</t>
  </si>
  <si>
    <t>Undrawn Revolver Balance</t>
  </si>
  <si>
    <t>Debt Triggers</t>
  </si>
  <si>
    <t>Fixed Rate</t>
  </si>
  <si>
    <t>Senior</t>
  </si>
  <si>
    <t>Preferred</t>
  </si>
  <si>
    <t>Security?</t>
  </si>
  <si>
    <t>/ Coupon</t>
  </si>
  <si>
    <t>Spread to</t>
  </si>
  <si>
    <t>SONIA</t>
  </si>
  <si>
    <t>Debt?</t>
  </si>
  <si>
    <t>Convertible</t>
  </si>
  <si>
    <t>Sweep</t>
  </si>
  <si>
    <t>Interest Rates</t>
  </si>
  <si>
    <t>Undrawn commitment fee</t>
  </si>
  <si>
    <t>EBITDA</t>
  </si>
  <si>
    <t>EBITDA Margin</t>
  </si>
  <si>
    <t>EBIT Margin</t>
  </si>
  <si>
    <t>Effective Tax Rate</t>
  </si>
  <si>
    <t>Current tax expense</t>
  </si>
  <si>
    <t>UK Corporate Tax Rate</t>
  </si>
  <si>
    <t>Equity Schedule</t>
  </si>
  <si>
    <t>Dividend payout ratio</t>
  </si>
  <si>
    <t>Dividends declared</t>
  </si>
  <si>
    <t>Retained Earnings</t>
  </si>
  <si>
    <t>(+) Net Income</t>
  </si>
  <si>
    <t>(-) Dividends</t>
  </si>
  <si>
    <t>(-) Share buybacks</t>
  </si>
  <si>
    <t>(-) Other movements</t>
  </si>
  <si>
    <t>Cash Flow from Operations</t>
  </si>
  <si>
    <t>Balance?</t>
  </si>
  <si>
    <t>Current Lease Liability</t>
  </si>
  <si>
    <t>Non-current lease liability</t>
  </si>
  <si>
    <t>Net Margin</t>
  </si>
  <si>
    <t>Net Debt / EBITDA</t>
  </si>
  <si>
    <t>Free Cash Flow</t>
  </si>
  <si>
    <t>Return Metrics</t>
  </si>
  <si>
    <t>Return on Equity</t>
  </si>
  <si>
    <t>Return on Assets</t>
  </si>
  <si>
    <t xml:space="preserve">Base </t>
  </si>
  <si>
    <t>Upside</t>
  </si>
  <si>
    <t>Downside</t>
  </si>
  <si>
    <t>Macro Assumptions</t>
  </si>
  <si>
    <t>Revenue Assumptions</t>
  </si>
  <si>
    <t>Assumptions</t>
  </si>
  <si>
    <t>Scenario Selector:</t>
  </si>
  <si>
    <t>Selected</t>
  </si>
  <si>
    <t xml:space="preserve">Upside </t>
  </si>
  <si>
    <t xml:space="preserve">Downside </t>
  </si>
  <si>
    <t>Deferred tax asset</t>
  </si>
  <si>
    <t>Provisions</t>
  </si>
  <si>
    <t>Borrowings - Non Current</t>
  </si>
  <si>
    <t>Borrowings - Current</t>
  </si>
  <si>
    <t>Share capital</t>
  </si>
  <si>
    <t>Goodwill</t>
  </si>
  <si>
    <t>Intangible Assets (excl. goodwill)  - Opening Balance</t>
  </si>
  <si>
    <t>Intangible Assets (inc. goodwill)</t>
  </si>
  <si>
    <t>Intangible Asset (excl. goodwill) - Closing Balance</t>
  </si>
  <si>
    <t>Lease Principal Repayments</t>
  </si>
  <si>
    <t>* Provisions and deferred consideration on acquisitions assumed to remain constant, based on materiality basis</t>
  </si>
  <si>
    <t>Income Statement Tax</t>
  </si>
  <si>
    <t>Deferred tax expense/(credit)</t>
  </si>
  <si>
    <t>Current Tax Roll-Forward</t>
  </si>
  <si>
    <t>Total tax expense</t>
  </si>
  <si>
    <t>Add back total tax expense</t>
  </si>
  <si>
    <t>Minus cash paid</t>
  </si>
  <si>
    <t>£ in millions, unless stated</t>
  </si>
  <si>
    <t>Distribution expenses</t>
  </si>
  <si>
    <t>Administration expenses</t>
  </si>
  <si>
    <t>Other income</t>
  </si>
  <si>
    <t>Finance income</t>
  </si>
  <si>
    <t>Profit / (loss) for the year</t>
  </si>
  <si>
    <t>Income tax (charge) / credit</t>
  </si>
  <si>
    <t>Assets held for sale</t>
  </si>
  <si>
    <t>Derivative financial assets</t>
  </si>
  <si>
    <t>Current tax assets</t>
  </si>
  <si>
    <t>Goodwill and intangible assets</t>
  </si>
  <si>
    <t>Investment properties</t>
  </si>
  <si>
    <t>Investments in associates</t>
  </si>
  <si>
    <t>ASOS PLC</t>
  </si>
  <si>
    <t>Current tax liabilities</t>
  </si>
  <si>
    <t>Derivative financial liabilities</t>
  </si>
  <si>
    <t>Share premium</t>
  </si>
  <si>
    <t>Other reserves</t>
  </si>
  <si>
    <t>Average basket value</t>
  </si>
  <si>
    <t>Total Number of Orders</t>
  </si>
  <si>
    <t>Retail Sales</t>
  </si>
  <si>
    <t>Average Order Volume by Customer</t>
  </si>
  <si>
    <t>Basket Growth Rate</t>
  </si>
  <si>
    <t>Gross Merchant Value</t>
  </si>
  <si>
    <t>Customer Acquisition</t>
  </si>
  <si>
    <t>Customer Churn</t>
  </si>
  <si>
    <t>Closing active customers</t>
  </si>
  <si>
    <t>Retail Revenue / GMV</t>
  </si>
  <si>
    <t>Retail Revenue</t>
  </si>
  <si>
    <t>Other Revenue</t>
  </si>
  <si>
    <t>Premier subscriptions</t>
  </si>
  <si>
    <t>Marketing and other services</t>
  </si>
  <si>
    <t>Delivery receipts</t>
  </si>
  <si>
    <t>Wholesale revenue</t>
  </si>
  <si>
    <t>Average units per order</t>
  </si>
  <si>
    <t>Gross units sold</t>
  </si>
  <si>
    <t>Net units sold</t>
  </si>
  <si>
    <t>Sourcing cost per unit</t>
  </si>
  <si>
    <t>Supplier cost inflation</t>
  </si>
  <si>
    <t>Merchandise cost of sales</t>
  </si>
  <si>
    <t>Inventory write-downs</t>
  </si>
  <si>
    <t>Total Inventory COGS</t>
  </si>
  <si>
    <t>Cost of Goods and Inventory Schedule</t>
  </si>
  <si>
    <t>Stock obselescence rates</t>
  </si>
  <si>
    <t>Cost of Goods</t>
  </si>
  <si>
    <t>Distribution Costs</t>
  </si>
  <si>
    <t>Administrative expenses</t>
  </si>
  <si>
    <t>Total Administrative Expenses</t>
  </si>
  <si>
    <t>Property costs</t>
  </si>
  <si>
    <t>Strategic initiatives</t>
  </si>
  <si>
    <t>Amortisation of acuqisition intangibles</t>
  </si>
  <si>
    <t>Adjusted Administative Expenses</t>
  </si>
  <si>
    <t>Non-cash expenses</t>
  </si>
  <si>
    <t>Amortization of intangible assets</t>
  </si>
  <si>
    <t>Impairment of PP&amp;E</t>
  </si>
  <si>
    <t>Impairment of Goodwill</t>
  </si>
  <si>
    <t>Impairment of ROU assets</t>
  </si>
  <si>
    <t>Provision for expected inventory losses/write-downs</t>
  </si>
  <si>
    <t>Provision for expected credit losses</t>
  </si>
  <si>
    <t>ROU assets and depreciation</t>
  </si>
  <si>
    <t>Lease Interest Accrued</t>
  </si>
  <si>
    <t>Closing PP&amp;E balance</t>
  </si>
  <si>
    <t>PP&amp;E, Depreciation and Capital Expenditure</t>
  </si>
  <si>
    <t>Amortization and Intangible Assets</t>
  </si>
  <si>
    <t>Additions to Intangible Assets</t>
  </si>
  <si>
    <t>Intangible Assets</t>
  </si>
  <si>
    <t>Non cash current assets</t>
  </si>
  <si>
    <t>Working Capital Days</t>
  </si>
  <si>
    <t>* Note that inventory is forecasted directly on the cost schedule - due to it being material to the companies core operations</t>
  </si>
  <si>
    <t>Impairment</t>
  </si>
  <si>
    <t>ROU impairment</t>
  </si>
  <si>
    <t>Excess cash and cash available for debt repayment</t>
  </si>
  <si>
    <t>Revolver - Super Senior Revolving Facility</t>
  </si>
  <si>
    <t>Bank Revolver Commitments</t>
  </si>
  <si>
    <t>Senior Term Loan</t>
  </si>
  <si>
    <t>(-) Mandatory Repayment</t>
  </si>
  <si>
    <t>(-) Optional repayment</t>
  </si>
  <si>
    <t>Nordstrom Loan</t>
  </si>
  <si>
    <t>Convertible debt - 2026</t>
  </si>
  <si>
    <t>Convertible debt - 2028</t>
  </si>
  <si>
    <t xml:space="preserve">Term Loan </t>
  </si>
  <si>
    <t>Term Loan</t>
  </si>
  <si>
    <t>Convertible bond - 2026</t>
  </si>
  <si>
    <t>Convertible bond - 2028</t>
  </si>
  <si>
    <t>Conversion</t>
  </si>
  <si>
    <t>Price</t>
  </si>
  <si>
    <t>Senior Interest Expense</t>
  </si>
  <si>
    <t>Total Interest Expense</t>
  </si>
  <si>
    <t>Cash Interest Expense</t>
  </si>
  <si>
    <t>Scheduled Debt Repayment/Amortization</t>
  </si>
  <si>
    <t>Marketing</t>
  </si>
  <si>
    <t>Other operating costs</t>
  </si>
  <si>
    <t>Efficiency gains</t>
  </si>
  <si>
    <t>Adjusted Administrative expenses (excl D&amp;A)</t>
  </si>
  <si>
    <t>Non cash expense</t>
  </si>
  <si>
    <t>Normalized Administrative expense</t>
  </si>
  <si>
    <t>Opening Current Tax Liability</t>
  </si>
  <si>
    <t>Deferred Tax Roll-Forward</t>
  </si>
  <si>
    <t>Deferred Tax Assets - Opening</t>
  </si>
  <si>
    <t>Closing Currrent Tax Position, Net</t>
  </si>
  <si>
    <t>Current Tax Position, Net</t>
  </si>
  <si>
    <t>Opening Current Tax Asset</t>
  </si>
  <si>
    <t>Current Tax Liability - Closing</t>
  </si>
  <si>
    <t>Current Tax Asset - Closing</t>
  </si>
  <si>
    <t>Deferred Tax Assets - Closing</t>
  </si>
  <si>
    <t>Deferred Tax Asset Utilization</t>
  </si>
  <si>
    <t>Interest Expense and Income</t>
  </si>
  <si>
    <t>Cash Interest Income</t>
  </si>
  <si>
    <t>Purchases</t>
  </si>
  <si>
    <t>Inventory - end of period</t>
  </si>
  <si>
    <t>Inventory - start of period</t>
  </si>
  <si>
    <t>Provision</t>
  </si>
  <si>
    <t>Held flat</t>
  </si>
  <si>
    <t>Net Profit / (Loss)</t>
  </si>
  <si>
    <t>(Increase) / decrease in provisions</t>
  </si>
  <si>
    <t>Total Borrowing Position</t>
  </si>
  <si>
    <t>(+) Issuance</t>
  </si>
  <si>
    <t>Total Provisions</t>
  </si>
  <si>
    <t>Dilapidated Provisions</t>
  </si>
  <si>
    <t>Provisions - % of ROU Assets</t>
  </si>
  <si>
    <t>Provision for lease obligations</t>
  </si>
  <si>
    <t>Current</t>
  </si>
  <si>
    <t>Non-current</t>
  </si>
  <si>
    <t>Onerous provisions</t>
  </si>
  <si>
    <t>* Assumed to remain constant</t>
  </si>
  <si>
    <t>Current provision</t>
  </si>
  <si>
    <t>Non-current provision</t>
  </si>
  <si>
    <t>Change in provisions</t>
  </si>
  <si>
    <t>Liabilities and Shareholders Equity</t>
  </si>
  <si>
    <t>Change in DTA</t>
  </si>
  <si>
    <t>Total Non-current liabilties</t>
  </si>
  <si>
    <t>Total Liabilities</t>
  </si>
  <si>
    <t>Current forecasts suggests inflation trending upwards, but will recover throughout 2027. Downside assumes inflation from fuel prices remains high and no immediate end to iran conflict. Upside assumes inflation is transitory</t>
  </si>
  <si>
    <t>Wage inflation remains slightly below inflation - according to ONS.</t>
  </si>
  <si>
    <t>Used historical rates - downside assumes it continues to decline</t>
  </si>
  <si>
    <t>Assumed constant level - marketing is key for maintaining certain revenue streams</t>
  </si>
  <si>
    <t>* Management explicitly states they have never paid a dividend nor intend to</t>
  </si>
  <si>
    <t>* Given restructuring cash preferred to reinvest or meet minimum liquidity buffers</t>
  </si>
  <si>
    <t>* Assume no other movements</t>
  </si>
  <si>
    <t>Opening - Retained Earnings / (Losses)</t>
  </si>
  <si>
    <t>Closing - Retained Earnings / (Losses)</t>
  </si>
  <si>
    <t>Revenue Metrics</t>
  </si>
  <si>
    <t>Active Customers</t>
  </si>
  <si>
    <t>Profitability Metrics</t>
  </si>
  <si>
    <t>Gross Margin</t>
  </si>
  <si>
    <t>Return on Invested Capital</t>
  </si>
  <si>
    <t>Cash Flow Metrixs</t>
  </si>
  <si>
    <t>Adjusted Free Cash Flow (inc. lease expenses)</t>
  </si>
  <si>
    <t>FCF / Net Income (inc. lease expenses)</t>
  </si>
  <si>
    <t>Purchases / COGS</t>
  </si>
  <si>
    <t>Returns Rate</t>
  </si>
  <si>
    <t>(+) New Issuance</t>
  </si>
  <si>
    <t>Minimum cash balance</t>
  </si>
  <si>
    <t>Summary Credit Metrics</t>
  </si>
  <si>
    <t>Net debt</t>
  </si>
  <si>
    <t>Total debt</t>
  </si>
  <si>
    <t>Senior debt</t>
  </si>
  <si>
    <t>Debt</t>
  </si>
  <si>
    <t>Interest Coverage</t>
  </si>
  <si>
    <t>EBITDA / Interest expense</t>
  </si>
  <si>
    <t>EBIT / Interest expense</t>
  </si>
  <si>
    <t>Leverage</t>
  </si>
  <si>
    <t>Total Debt / EBITDA</t>
  </si>
  <si>
    <t>Earnings per share (basic)</t>
  </si>
  <si>
    <t>Weighted average shares outstanding</t>
  </si>
  <si>
    <t>million</t>
  </si>
  <si>
    <t>Residual Financing Required</t>
  </si>
  <si>
    <t>Total Excess / (Shortfall)</t>
  </si>
  <si>
    <t>New Debt Issuance</t>
  </si>
  <si>
    <t>New Debt</t>
  </si>
  <si>
    <t>(-) Repayment</t>
  </si>
  <si>
    <t>No</t>
  </si>
  <si>
    <t>Mandatory debt repayments</t>
  </si>
  <si>
    <t>Opening cash balance</t>
  </si>
  <si>
    <t>Pre-financing cash flow</t>
  </si>
  <si>
    <t>Cash before drawdown</t>
  </si>
  <si>
    <t>Funding surplus/(shortfall)</t>
  </si>
  <si>
    <t>Total Revenue Growth</t>
  </si>
  <si>
    <t>Needs to be tested and concluded</t>
  </si>
  <si>
    <t>Warehouse cost - per order</t>
  </si>
  <si>
    <t>Warehousing</t>
  </si>
  <si>
    <t>% of revenue</t>
  </si>
  <si>
    <t>Distribution Costs - per order</t>
  </si>
  <si>
    <t>Fiscal Year ending August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</si>
</sst>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0">
    <numFmt numFmtId="164" formatCode="[$-F800]dddd\,\ mmmm\ dd\,\ yyyy"/>
    <numFmt numFmtId="165" formatCode="0.0"/>
    <numFmt numFmtId="166" formatCode="0.0&quot;p&quot;"/>
    <numFmt numFmtId="167" formatCode="0.0%"/>
    <numFmt numFmtId="168" formatCode="#,##0.0;\(#,##0.0\);\-"/>
    <numFmt numFmtId="169" formatCode="&quot;£&quot;#,##0.0;\(&quot;£&quot;#,##0.0\);\-"/>
    <numFmt numFmtId="170" formatCode="&quot;£&quot;#,##0.0"/>
    <numFmt numFmtId="171" formatCode="&quot;£&quot;#,##0.00"/>
    <numFmt numFmtId="172" formatCode="&quot;FY&quot;0"/>
    <numFmt numFmtId="173" formatCode="0&quot;bps&quot;"/>
    <numFmt numFmtId="174" formatCode="0&quot;A&quot;"/>
    <numFmt numFmtId="175" formatCode="0&quot;F&quot;"/>
    <numFmt numFmtId="176" formatCode="0.000%"/>
    <numFmt numFmtId="177" formatCode="0\ &quot;years&quot;"/>
    <numFmt numFmtId="178" formatCode="#,##0;\(#,##0\);\-"/>
    <numFmt numFmtId="179" formatCode="#,##0.0;\(&quot;£&quot;#,##0.0\);\-"/>
    <numFmt numFmtId="180" formatCode="0&quot;PF&quot;"/>
    <numFmt numFmtId="181" formatCode="0.0,&quot;k&quot;"/>
    <numFmt numFmtId="182" formatCode="&quot;$&quot;0"/>
    <numFmt numFmtId="183" formatCode="0&quot; years&quot;"/>
    <numFmt numFmtId="184" formatCode="0&quot; days&quot;"/>
    <numFmt numFmtId="185" formatCode="0.0%;\(0.0%\);\–"/>
    <numFmt numFmtId="186" formatCode="#,##0.0,,&quot;m&quot;"/>
    <numFmt numFmtId="187" formatCode="0.00&quot; sen&quot;;\(0.00&quot; sen&quot;\);\-"/>
    <numFmt numFmtId="188" formatCode="&quot;£&quot;#,##0.0;\(&quot;£&quot;#,##0.0\);\–"/>
    <numFmt numFmtId="189" formatCode="0&quot;H&quot;"/>
    <numFmt numFmtId="190" formatCode="&quot;£&quot;#,##0.0,,&quot;m&quot;;\(&quot;£&quot;#,##0.0,,&quot;m&quot;\);\-"/>
    <numFmt numFmtId="191" formatCode="&quot;£&quot;#,##0;\(&quot;£&quot;#,##0\);\-"/>
    <numFmt numFmtId="192" formatCode="0.00&quot;x&quot;"/>
    <numFmt numFmtId="193" formatCode="&quot;£&quot;#,##0;\(&quot;£&quot;#,##0\);\–"/>
    <numFmt numFmtId="194" formatCode="&quot;£&quot;#,##0"/>
    <numFmt numFmtId="195" formatCode="0.0&quot; p&quot;;\(0.0&quot;p&quot;\);\-"/>
    <numFmt numFmtId="196" formatCode="&quot;£&quot;#,##0.0,,&quot;m&quot;;\(&quot;£&quot;#,##0.0,,&quot;m&quot;\);\–"/>
    <numFmt numFmtId="197" formatCode="&quot;£&quot;#,##0.00;\(&quot;£&quot;#,##0.00\);\-"/>
    <numFmt numFmtId="198" formatCode="0.0,,&quot;m&quot;;\(0.0,,&quot;m&quot;\);&quot;-&quot;"/>
    <numFmt numFmtId="199" formatCode="0,,&quot;m&quot;;\(0,,&quot;m&quot;\);&quot;-&quot;"/>
    <numFmt numFmtId="200" formatCode="&quot;£&quot;0.00"/>
    <numFmt numFmtId="201" formatCode="[=1]&quot;Yes&quot;;[=0]&quot;No&quot;;General"/>
    <numFmt numFmtId="202" formatCode="0.00,,&quot;m&quot;;\(0.00,,&quot;m&quot;\);&quot;-&quot;"/>
    <numFmt numFmtId="203" formatCode="&quot;£&quot;#,##0.00;\(&quot;£&quot;#,##0.00\);\–"/>
  </numFmts>
  <fonts count="55" x14ac:knownFonts="1">
    <font>
      <sz val="11"/>
      <color theme="1"/>
      <name val="Aptos Narrow"/>
      <family val="2"/>
      <scheme val="minor"/>
    </font>
    <font>
      <sz val="11"/>
      <color theme="1"/>
      <name val="Aptos Narrow"/>
      <family val="2"/>
      <scheme val="minor"/>
    </font>
    <font>
      <b/>
      <sz val="11"/>
      <color theme="1"/>
      <name val="Aptos Narrow"/>
      <family val="2"/>
      <scheme val="minor"/>
    </font>
    <font>
      <sz val="20"/>
      <color theme="1"/>
      <name val="Aptos Narrow"/>
      <family val="2"/>
      <scheme val="minor"/>
    </font>
    <font>
      <sz val="11"/>
      <color theme="3" tint="0.499984740745262"/>
      <name val="Aptos Narrow"/>
      <family val="2"/>
      <scheme val="minor"/>
    </font>
    <font>
      <sz val="11"/>
      <name val="Aptos Narrow"/>
      <family val="2"/>
      <scheme val="minor"/>
    </font>
    <font>
      <sz val="11"/>
      <color theme="1" tint="0.249977111117893"/>
      <name val="Aptos Narrow"/>
      <family val="2"/>
      <scheme val="minor"/>
    </font>
    <font>
      <sz val="11"/>
      <name val="Arial"/>
      <family val="2"/>
    </font>
    <font>
      <b/>
      <sz val="11"/>
      <color theme="1" tint="0.34998626667073579"/>
      <name val="Arial"/>
      <family val="2"/>
    </font>
    <font>
      <b/>
      <sz val="11"/>
      <color theme="4"/>
      <name val="Arial"/>
      <family val="2"/>
    </font>
    <font>
      <sz val="10"/>
      <color theme="1"/>
      <name val="Arial"/>
      <family val="2"/>
    </font>
    <font>
      <sz val="10"/>
      <color theme="3" tint="0.499984740745262"/>
      <name val="Arial"/>
      <family val="2"/>
    </font>
    <font>
      <b/>
      <sz val="9"/>
      <color theme="1" tint="0.34998626667073579"/>
      <name val="Arial"/>
      <family val="2"/>
    </font>
    <font>
      <sz val="11"/>
      <color theme="1"/>
      <name val="Open Sans"/>
      <family val="2"/>
    </font>
    <font>
      <b/>
      <sz val="20"/>
      <color theme="0"/>
      <name val="Open Sans"/>
      <family val="2"/>
    </font>
    <font>
      <sz val="20"/>
      <color theme="0"/>
      <name val="Open Sans"/>
      <family val="2"/>
    </font>
    <font>
      <sz val="11"/>
      <color theme="0"/>
      <name val="Open Sans"/>
      <family val="2"/>
    </font>
    <font>
      <b/>
      <sz val="14"/>
      <color theme="0"/>
      <name val="Open Sans"/>
      <family val="2"/>
    </font>
    <font>
      <sz val="14"/>
      <color theme="0"/>
      <name val="Open Sans"/>
      <family val="2"/>
    </font>
    <font>
      <sz val="11"/>
      <name val="Open Sans"/>
      <family val="2"/>
    </font>
    <font>
      <b/>
      <sz val="11"/>
      <name val="Open Sans"/>
      <family val="2"/>
    </font>
    <font>
      <b/>
      <sz val="11"/>
      <color theme="1" tint="0.34998626667073579"/>
      <name val="Open Sans"/>
      <family val="2"/>
    </font>
    <font>
      <b/>
      <sz val="11"/>
      <color theme="4"/>
      <name val="Open Sans"/>
      <family val="2"/>
    </font>
    <font>
      <b/>
      <sz val="9"/>
      <color theme="1" tint="0.34998626667073579"/>
      <name val="Open Sans"/>
      <family val="2"/>
    </font>
    <font>
      <sz val="10"/>
      <color theme="1"/>
      <name val="Open Sans"/>
      <family val="2"/>
    </font>
    <font>
      <sz val="10"/>
      <color theme="3" tint="0.499984740745262"/>
      <name val="Open Sans"/>
      <family val="2"/>
    </font>
    <font>
      <sz val="10"/>
      <name val="Open Sans"/>
      <family val="2"/>
    </font>
    <font>
      <b/>
      <sz val="10"/>
      <color theme="1"/>
      <name val="Open Sans"/>
      <family val="2"/>
    </font>
    <font>
      <b/>
      <sz val="10"/>
      <color theme="3" tint="0.499984740745262"/>
      <name val="Open Sans"/>
      <family val="2"/>
    </font>
    <font>
      <b/>
      <sz val="10"/>
      <name val="Open Sans"/>
      <family val="2"/>
    </font>
    <font>
      <sz val="10"/>
      <color theme="4" tint="0.39997558519241921"/>
      <name val="Open Sans"/>
      <family val="2"/>
    </font>
    <font>
      <b/>
      <sz val="11"/>
      <color theme="1"/>
      <name val="Open Sans"/>
      <family val="2"/>
    </font>
    <font>
      <sz val="10"/>
      <color theme="9"/>
      <name val="Open Sans"/>
      <family val="2"/>
    </font>
    <font>
      <sz val="10"/>
      <color theme="1" tint="0.249977111117893"/>
      <name val="Open Sans"/>
      <family val="2"/>
    </font>
    <font>
      <sz val="11"/>
      <color theme="3" tint="0.499984740745262"/>
      <name val="Open Sans"/>
      <family val="2"/>
    </font>
    <font>
      <b/>
      <sz val="10"/>
      <color theme="9"/>
      <name val="Open Sans"/>
      <family val="2"/>
    </font>
    <font>
      <b/>
      <sz val="10"/>
      <color theme="1" tint="0.34998626667073579"/>
      <name val="Open Sans"/>
      <family val="2"/>
    </font>
    <font>
      <sz val="10"/>
      <color rgb="FF7896AF"/>
      <name val="Open Sans"/>
      <family val="2"/>
    </font>
    <font>
      <i/>
      <sz val="10"/>
      <color theme="1"/>
      <name val="Open Sans"/>
      <family val="2"/>
    </font>
    <font>
      <i/>
      <u/>
      <sz val="10"/>
      <color theme="1"/>
      <name val="Open Sans"/>
      <family val="2"/>
    </font>
    <font>
      <b/>
      <sz val="10"/>
      <color rgb="FFC00000"/>
      <name val="Open Sans"/>
      <family val="2"/>
    </font>
    <font>
      <i/>
      <sz val="10"/>
      <color theme="3" tint="0.499984740745262"/>
      <name val="Open Sans"/>
      <family val="2"/>
    </font>
    <font>
      <b/>
      <sz val="11"/>
      <color theme="0"/>
      <name val="Open Sans"/>
      <family val="2"/>
    </font>
    <font>
      <b/>
      <sz val="10"/>
      <color theme="0"/>
      <name val="Open Sans"/>
      <family val="2"/>
    </font>
    <font>
      <sz val="10"/>
      <color theme="0"/>
      <name val="Open Sans"/>
      <family val="2"/>
    </font>
    <font>
      <b/>
      <sz val="10"/>
      <color theme="1"/>
      <name val="Open Sans"/>
      <family val="2"/>
    </font>
    <font>
      <sz val="10"/>
      <color theme="1"/>
      <name val="Open Sans"/>
      <family val="2"/>
    </font>
    <font>
      <sz val="10"/>
      <color theme="6" tint="0.39997558519241921"/>
      <name val="Open Sans"/>
      <family val="2"/>
    </font>
    <font>
      <i/>
      <sz val="10"/>
      <name val="Open Sans"/>
      <family val="2"/>
    </font>
    <font>
      <sz val="10"/>
      <color rgb="FF00B050"/>
      <name val="Open Sans"/>
      <family val="2"/>
    </font>
    <font>
      <b/>
      <i/>
      <sz val="10"/>
      <color theme="1"/>
      <name val="Open Sans"/>
      <family val="2"/>
    </font>
    <font>
      <i/>
      <sz val="8"/>
      <color theme="1"/>
      <name val="Open Sans"/>
      <family val="2"/>
    </font>
    <font>
      <sz val="10"/>
      <color theme="1" tint="0.34998626667073579"/>
      <name val="Open Sans"/>
      <family val="2"/>
    </font>
    <font>
      <sz val="9"/>
      <color theme="1" tint="0.34998626667073579"/>
      <name val="Open Sans"/>
      <family val="2"/>
    </font>
    <font>
      <sz val="10"/>
      <color rgb="FF92D050"/>
      <name val="Open Sans"/>
      <family val="2"/>
    </font>
  </fonts>
  <fills count="9">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rgb="FF7896AF"/>
        <bgColor indexed="64"/>
      </patternFill>
    </fill>
    <fill>
      <patternFill patternType="solid">
        <fgColor rgb="FFFFF5D2"/>
        <bgColor indexed="64"/>
      </patternFill>
    </fill>
    <fill>
      <patternFill patternType="solid">
        <fgColor theme="3" tint="0.749992370372631"/>
        <bgColor indexed="64"/>
      </patternFill>
    </fill>
    <fill>
      <patternFill patternType="solid">
        <fgColor theme="0"/>
        <bgColor indexed="64"/>
      </patternFill>
    </fill>
    <fill>
      <patternFill patternType="solid">
        <fgColor theme="3" tint="0.249977111117893"/>
        <bgColor indexed="64"/>
      </patternFill>
    </fill>
  </fills>
  <borders count="31">
    <border>
      <left/>
      <right/>
      <top/>
      <bottom/>
      <diagonal/>
    </border>
    <border>
      <left style="thin">
        <color theme="0"/>
      </left>
      <right style="thin">
        <color theme="0"/>
      </right>
      <top style="thin">
        <color theme="0"/>
      </top>
      <bottom/>
      <diagonal/>
    </border>
    <border>
      <left style="thin">
        <color theme="3" tint="0.249977111117893"/>
      </left>
      <right/>
      <top style="thin">
        <color theme="3" tint="0.249977111117893"/>
      </top>
      <bottom style="thin">
        <color theme="3" tint="0.249977111117893"/>
      </bottom>
      <diagonal/>
    </border>
    <border>
      <left/>
      <right/>
      <top style="thin">
        <color theme="3" tint="0.249977111117893"/>
      </top>
      <bottom style="thin">
        <color theme="3" tint="0.249977111117893"/>
      </bottom>
      <diagonal/>
    </border>
    <border>
      <left/>
      <right style="thin">
        <color theme="3" tint="0.249977111117893"/>
      </right>
      <top style="thin">
        <color theme="3" tint="0.249977111117893"/>
      </top>
      <bottom style="thin">
        <color theme="3" tint="0.249977111117893"/>
      </bottom>
      <diagonal/>
    </border>
    <border>
      <left/>
      <right/>
      <top/>
      <bottom style="medium">
        <color theme="3" tint="0.249977111117893"/>
      </bottom>
      <diagonal/>
    </border>
    <border>
      <left/>
      <right/>
      <top/>
      <bottom style="thin">
        <color theme="3" tint="0.249977111117893"/>
      </bottom>
      <diagonal/>
    </border>
    <border>
      <left/>
      <right/>
      <top style="thin">
        <color theme="3" tint="0.249977111117893"/>
      </top>
      <bottom/>
      <diagonal/>
    </border>
    <border>
      <left style="thin">
        <color theme="0"/>
      </left>
      <right style="thin">
        <color theme="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right style="thin">
        <color theme="0" tint="-0.14999847407452621"/>
      </right>
      <top/>
      <bottom/>
      <diagonal/>
    </border>
    <border>
      <left/>
      <right style="thin">
        <color theme="0" tint="-0.14999847407452621"/>
      </right>
      <top/>
      <bottom style="thin">
        <color theme="0" tint="-0.14999847407452621"/>
      </bottom>
      <diagonal/>
    </border>
    <border>
      <left style="thin">
        <color theme="0" tint="-0.14999847407452621"/>
      </left>
      <right/>
      <top style="thin">
        <color theme="0" tint="-0.14999847407452621"/>
      </top>
      <bottom/>
      <diagonal/>
    </border>
    <border>
      <left/>
      <right/>
      <top style="thin">
        <color theme="0" tint="-0.14999847407452621"/>
      </top>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3" tint="0.249977111117893"/>
      </bottom>
      <diagonal/>
    </border>
    <border>
      <left/>
      <right/>
      <top style="thin">
        <color theme="0" tint="-0.14999847407452621"/>
      </top>
      <bottom style="thin">
        <color theme="3" tint="0.249977111117893"/>
      </bottom>
      <diagonal/>
    </border>
    <border>
      <left/>
      <right style="thin">
        <color theme="0" tint="-0.14999847407452621"/>
      </right>
      <top style="thin">
        <color theme="0" tint="-0.14999847407452621"/>
      </top>
      <bottom style="thin">
        <color theme="3" tint="0.249977111117893"/>
      </bottom>
      <diagonal/>
    </border>
    <border>
      <left style="thin">
        <color theme="0" tint="-0.14999847407452621"/>
      </left>
      <right/>
      <top style="thin">
        <color theme="0" tint="-0.14999847407452621"/>
      </top>
      <bottom style="medium">
        <color theme="3" tint="0.249977111117893"/>
      </bottom>
      <diagonal/>
    </border>
    <border>
      <left/>
      <right style="thin">
        <color theme="0" tint="-0.14999847407452621"/>
      </right>
      <top style="thin">
        <color theme="0" tint="-0.14999847407452621"/>
      </top>
      <bottom style="medium">
        <color theme="3" tint="0.249977111117893"/>
      </bottom>
      <diagonal/>
    </border>
    <border>
      <left/>
      <right style="thin">
        <color theme="0" tint="-0.14999847407452621"/>
      </right>
      <top/>
      <bottom style="medium">
        <color theme="3" tint="0.249977111117893"/>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bottom/>
      <diagonal/>
    </border>
    <border>
      <left/>
      <right/>
      <top/>
      <bottom style="medium">
        <color theme="0" tint="-0.14999847407452621"/>
      </bottom>
      <diagonal/>
    </border>
  </borders>
  <cellStyleXfs count="2">
    <xf numFmtId="0" fontId="0" fillId="0" borderId="0"/>
    <xf numFmtId="9" fontId="1" fillId="0" borderId="0" applyFont="0" applyFill="0" applyBorder="0" applyAlignment="0" applyProtection="0"/>
  </cellStyleXfs>
  <cellXfs count="466">
    <xf numFmtId="0" fontId="0" fillId="0" borderId="0" xfId="0"/>
    <xf numFmtId="0" fontId="3" fillId="0" borderId="0" xfId="0" applyFont="1"/>
    <xf numFmtId="164" fontId="0" fillId="0" borderId="0" xfId="0" applyNumberFormat="1" applyAlignment="1">
      <alignment horizontal="left"/>
    </xf>
    <xf numFmtId="0" fontId="3" fillId="0" borderId="0" xfId="0" applyFont="1" applyAlignment="1">
      <alignment horizontal="centerContinuous"/>
    </xf>
    <xf numFmtId="0" fontId="0" fillId="0" borderId="0" xfId="0" applyAlignment="1">
      <alignment horizontal="centerContinuous"/>
    </xf>
    <xf numFmtId="0" fontId="2" fillId="0" borderId="0" xfId="0" applyFont="1"/>
    <xf numFmtId="0" fontId="4" fillId="0" borderId="0" xfId="0" applyFont="1"/>
    <xf numFmtId="167" fontId="0" fillId="0" borderId="0" xfId="1" applyNumberFormat="1" applyFont="1" applyBorder="1"/>
    <xf numFmtId="168" fontId="0" fillId="0" borderId="0" xfId="0" applyNumberFormat="1"/>
    <xf numFmtId="169" fontId="4" fillId="0" borderId="0" xfId="0" applyNumberFormat="1" applyFont="1"/>
    <xf numFmtId="169" fontId="2" fillId="0" borderId="0" xfId="0" applyNumberFormat="1" applyFont="1"/>
    <xf numFmtId="9" fontId="0" fillId="0" borderId="0" xfId="1" applyFont="1" applyFill="1" applyBorder="1"/>
    <xf numFmtId="170" fontId="4" fillId="0" borderId="0" xfId="0" applyNumberFormat="1" applyFont="1"/>
    <xf numFmtId="10" fontId="4" fillId="0" borderId="0" xfId="1" applyNumberFormat="1" applyFont="1"/>
    <xf numFmtId="9" fontId="4" fillId="0" borderId="0" xfId="1" applyFont="1"/>
    <xf numFmtId="167" fontId="4" fillId="0" borderId="0" xfId="1" applyNumberFormat="1" applyFont="1"/>
    <xf numFmtId="173" fontId="4" fillId="0" borderId="0" xfId="0" applyNumberFormat="1" applyFont="1"/>
    <xf numFmtId="9" fontId="4" fillId="0" borderId="0" xfId="1" applyFont="1" applyFill="1"/>
    <xf numFmtId="10" fontId="4" fillId="0" borderId="0" xfId="1" applyNumberFormat="1" applyFont="1" applyFill="1"/>
    <xf numFmtId="167" fontId="4" fillId="0" borderId="0" xfId="1" applyNumberFormat="1" applyFont="1" applyFill="1"/>
    <xf numFmtId="176" fontId="4" fillId="0" borderId="0" xfId="1" applyNumberFormat="1" applyFont="1" applyFill="1"/>
    <xf numFmtId="176" fontId="5" fillId="0" borderId="0" xfId="1" applyNumberFormat="1" applyFont="1" applyFill="1"/>
    <xf numFmtId="10" fontId="6" fillId="0" borderId="0" xfId="1" applyNumberFormat="1" applyFont="1" applyFill="1"/>
    <xf numFmtId="10" fontId="5" fillId="0" borderId="0" xfId="1" applyNumberFormat="1" applyFont="1" applyFill="1"/>
    <xf numFmtId="10" fontId="1" fillId="0" borderId="0" xfId="1" applyNumberFormat="1" applyFont="1" applyFill="1"/>
    <xf numFmtId="177" fontId="4" fillId="0" borderId="0" xfId="0" applyNumberFormat="1" applyFont="1"/>
    <xf numFmtId="9" fontId="0" fillId="0" borderId="0" xfId="1" applyFont="1" applyBorder="1"/>
    <xf numFmtId="167" fontId="4" fillId="0" borderId="0" xfId="1" applyNumberFormat="1" applyFont="1" applyBorder="1"/>
    <xf numFmtId="174" fontId="2" fillId="0" borderId="0" xfId="0" applyNumberFormat="1" applyFont="1"/>
    <xf numFmtId="175" fontId="2" fillId="0" borderId="0" xfId="0" applyNumberFormat="1" applyFont="1"/>
    <xf numFmtId="170" fontId="0" fillId="0" borderId="0" xfId="0" applyNumberFormat="1"/>
    <xf numFmtId="170" fontId="2" fillId="0" borderId="0" xfId="0" applyNumberFormat="1" applyFont="1"/>
    <xf numFmtId="169" fontId="0" fillId="0" borderId="0" xfId="0" applyNumberFormat="1"/>
    <xf numFmtId="167" fontId="2" fillId="0" borderId="0" xfId="1" applyNumberFormat="1" applyFont="1" applyBorder="1"/>
    <xf numFmtId="173" fontId="0" fillId="0" borderId="0" xfId="0" applyNumberFormat="1"/>
    <xf numFmtId="171" fontId="0" fillId="0" borderId="0" xfId="0" applyNumberFormat="1"/>
    <xf numFmtId="173" fontId="2" fillId="0" borderId="0" xfId="0" applyNumberFormat="1" applyFont="1"/>
    <xf numFmtId="168" fontId="2" fillId="0" borderId="0" xfId="0" applyNumberFormat="1" applyFont="1"/>
    <xf numFmtId="169" fontId="5" fillId="0" borderId="0" xfId="0" applyNumberFormat="1" applyFont="1"/>
    <xf numFmtId="165" fontId="4" fillId="0" borderId="0" xfId="0" applyNumberFormat="1" applyFont="1"/>
    <xf numFmtId="0" fontId="7" fillId="0" borderId="0" xfId="0" applyFont="1"/>
    <xf numFmtId="0" fontId="10" fillId="0" borderId="0" xfId="0" applyFont="1"/>
    <xf numFmtId="175" fontId="12" fillId="0" borderId="0" xfId="0" applyNumberFormat="1" applyFont="1"/>
    <xf numFmtId="175" fontId="9" fillId="0" borderId="1" xfId="0" applyNumberFormat="1" applyFont="1" applyBorder="1" applyAlignment="1">
      <alignment horizontal="center"/>
    </xf>
    <xf numFmtId="0" fontId="13" fillId="0" borderId="0" xfId="0" applyFont="1"/>
    <xf numFmtId="0" fontId="14" fillId="4" borderId="0" xfId="0" applyFont="1" applyFill="1" applyAlignment="1">
      <alignment horizontal="left"/>
    </xf>
    <xf numFmtId="0" fontId="15" fillId="4" borderId="0" xfId="0" applyFont="1" applyFill="1" applyAlignment="1">
      <alignment horizontal="left"/>
    </xf>
    <xf numFmtId="0" fontId="16" fillId="4" borderId="0" xfId="0" applyFont="1" applyFill="1" applyAlignment="1">
      <alignment horizontal="left"/>
    </xf>
    <xf numFmtId="0" fontId="17" fillId="4" borderId="0" xfId="0" applyFont="1" applyFill="1" applyAlignment="1">
      <alignment horizontal="left"/>
    </xf>
    <xf numFmtId="0" fontId="18" fillId="4" borderId="0" xfId="0" applyFont="1" applyFill="1" applyAlignment="1">
      <alignment horizontal="left"/>
    </xf>
    <xf numFmtId="0" fontId="19" fillId="0" borderId="0" xfId="0" applyFont="1" applyAlignment="1">
      <alignment horizontal="centerContinuous"/>
    </xf>
    <xf numFmtId="0" fontId="19" fillId="0" borderId="0" xfId="0" applyFont="1"/>
    <xf numFmtId="0" fontId="20" fillId="0" borderId="6" xfId="0" applyFont="1" applyBorder="1" applyAlignment="1">
      <alignment horizontal="centerContinuous"/>
    </xf>
    <xf numFmtId="189" fontId="21" fillId="2" borderId="8" xfId="0" applyNumberFormat="1" applyFont="1" applyFill="1" applyBorder="1" applyAlignment="1">
      <alignment horizontal="center"/>
    </xf>
    <xf numFmtId="175" fontId="22" fillId="3" borderId="8" xfId="0" applyNumberFormat="1" applyFont="1" applyFill="1" applyBorder="1" applyAlignment="1">
      <alignment horizontal="center"/>
    </xf>
    <xf numFmtId="0" fontId="19" fillId="0" borderId="5" xfId="0" applyFont="1" applyBorder="1"/>
    <xf numFmtId="180" fontId="23" fillId="0" borderId="5" xfId="0" applyNumberFormat="1" applyFont="1" applyBorder="1"/>
    <xf numFmtId="175" fontId="23" fillId="0" borderId="5" xfId="0" applyNumberFormat="1" applyFont="1" applyBorder="1"/>
    <xf numFmtId="180" fontId="20" fillId="0" borderId="0" xfId="0" applyNumberFormat="1" applyFont="1"/>
    <xf numFmtId="175" fontId="20" fillId="0" borderId="0" xfId="0" applyNumberFormat="1" applyFont="1"/>
    <xf numFmtId="9" fontId="24" fillId="0" borderId="0" xfId="1" applyFont="1"/>
    <xf numFmtId="0" fontId="24" fillId="0" borderId="0" xfId="0" applyFont="1"/>
    <xf numFmtId="188" fontId="24" fillId="0" borderId="0" xfId="0" applyNumberFormat="1" applyFont="1"/>
    <xf numFmtId="0" fontId="27" fillId="0" borderId="0" xfId="0" applyFont="1"/>
    <xf numFmtId="188" fontId="27" fillId="0" borderId="0" xfId="0" applyNumberFormat="1" applyFont="1"/>
    <xf numFmtId="0" fontId="24" fillId="0" borderId="6" xfId="0" applyFont="1" applyBorder="1"/>
    <xf numFmtId="188" fontId="28" fillId="0" borderId="0" xfId="0" applyNumberFormat="1" applyFont="1"/>
    <xf numFmtId="188" fontId="29" fillId="0" borderId="0" xfId="0" applyNumberFormat="1" applyFont="1"/>
    <xf numFmtId="0" fontId="27" fillId="0" borderId="6" xfId="0" applyFont="1" applyBorder="1"/>
    <xf numFmtId="0" fontId="27" fillId="0" borderId="7" xfId="0" applyFont="1" applyBorder="1"/>
    <xf numFmtId="166" fontId="30" fillId="0" borderId="0" xfId="0" applyNumberFormat="1" applyFont="1"/>
    <xf numFmtId="187" fontId="24" fillId="0" borderId="0" xfId="0" applyNumberFormat="1" applyFont="1"/>
    <xf numFmtId="180" fontId="23" fillId="0" borderId="0" xfId="0" applyNumberFormat="1" applyFont="1"/>
    <xf numFmtId="175" fontId="23" fillId="0" borderId="0" xfId="0" applyNumberFormat="1" applyFont="1"/>
    <xf numFmtId="169" fontId="25" fillId="0" borderId="0" xfId="0" applyNumberFormat="1" applyFont="1"/>
    <xf numFmtId="169" fontId="24" fillId="0" borderId="0" xfId="0" applyNumberFormat="1" applyFont="1"/>
    <xf numFmtId="168" fontId="24" fillId="0" borderId="0" xfId="0" applyNumberFormat="1" applyFont="1"/>
    <xf numFmtId="0" fontId="31" fillId="0" borderId="0" xfId="0" applyFont="1"/>
    <xf numFmtId="178" fontId="13" fillId="0" borderId="0" xfId="0" applyNumberFormat="1" applyFont="1"/>
    <xf numFmtId="1" fontId="13" fillId="0" borderId="0" xfId="0" applyNumberFormat="1" applyFont="1"/>
    <xf numFmtId="180" fontId="27" fillId="0" borderId="0" xfId="0" applyNumberFormat="1" applyFont="1"/>
    <xf numFmtId="175" fontId="27" fillId="0" borderId="0" xfId="0" applyNumberFormat="1" applyFont="1"/>
    <xf numFmtId="178" fontId="26" fillId="0" borderId="0" xfId="0" applyNumberFormat="1" applyFont="1"/>
    <xf numFmtId="178" fontId="29" fillId="0" borderId="0" xfId="0" applyNumberFormat="1" applyFont="1"/>
    <xf numFmtId="180" fontId="31" fillId="0" borderId="0" xfId="0" applyNumberFormat="1" applyFont="1"/>
    <xf numFmtId="175" fontId="31" fillId="0" borderId="0" xfId="0" applyNumberFormat="1" applyFont="1"/>
    <xf numFmtId="174" fontId="31" fillId="0" borderId="0" xfId="0" applyNumberFormat="1" applyFont="1"/>
    <xf numFmtId="167" fontId="24" fillId="0" borderId="0" xfId="1" applyNumberFormat="1" applyFont="1" applyBorder="1"/>
    <xf numFmtId="9" fontId="26" fillId="0" borderId="0" xfId="1" applyFont="1" applyBorder="1"/>
    <xf numFmtId="169" fontId="34" fillId="0" borderId="0" xfId="0" applyNumberFormat="1" applyFont="1"/>
    <xf numFmtId="169" fontId="13" fillId="0" borderId="0" xfId="0" applyNumberFormat="1" applyFont="1"/>
    <xf numFmtId="169" fontId="33" fillId="0" borderId="0" xfId="0" applyNumberFormat="1" applyFont="1"/>
    <xf numFmtId="167" fontId="33" fillId="0" borderId="0" xfId="1" applyNumberFormat="1" applyFont="1" applyBorder="1"/>
    <xf numFmtId="181" fontId="34" fillId="0" borderId="0" xfId="0" applyNumberFormat="1" applyFont="1"/>
    <xf numFmtId="169" fontId="26" fillId="0" borderId="0" xfId="0" applyNumberFormat="1" applyFont="1"/>
    <xf numFmtId="178" fontId="24" fillId="0" borderId="0" xfId="0" applyNumberFormat="1" applyFont="1"/>
    <xf numFmtId="167" fontId="13" fillId="0" borderId="0" xfId="1" applyNumberFormat="1" applyFont="1" applyBorder="1"/>
    <xf numFmtId="170" fontId="27" fillId="0" borderId="0" xfId="0" applyNumberFormat="1" applyFont="1"/>
    <xf numFmtId="178" fontId="32" fillId="0" borderId="0" xfId="0" applyNumberFormat="1" applyFont="1"/>
    <xf numFmtId="178" fontId="31" fillId="0" borderId="0" xfId="0" applyNumberFormat="1" applyFont="1"/>
    <xf numFmtId="170" fontId="24" fillId="0" borderId="0" xfId="0" applyNumberFormat="1" applyFont="1"/>
    <xf numFmtId="10" fontId="31" fillId="0" borderId="0" xfId="1" applyNumberFormat="1" applyFont="1"/>
    <xf numFmtId="0" fontId="29" fillId="0" borderId="0" xfId="0" applyFont="1"/>
    <xf numFmtId="186" fontId="13" fillId="0" borderId="0" xfId="0" applyNumberFormat="1" applyFont="1"/>
    <xf numFmtId="0" fontId="24" fillId="0" borderId="0" xfId="0" applyFont="1" applyAlignment="1">
      <alignment horizontal="left" indent="2"/>
    </xf>
    <xf numFmtId="0" fontId="24" fillId="0" borderId="0" xfId="0" applyFont="1" applyAlignment="1">
      <alignment horizontal="left"/>
    </xf>
    <xf numFmtId="167" fontId="32" fillId="0" borderId="0" xfId="1" applyNumberFormat="1" applyFont="1" applyFill="1" applyBorder="1"/>
    <xf numFmtId="167" fontId="24" fillId="0" borderId="0" xfId="1" applyNumberFormat="1" applyFont="1" applyFill="1" applyBorder="1"/>
    <xf numFmtId="167" fontId="25" fillId="0" borderId="0" xfId="1" applyNumberFormat="1" applyFont="1" applyFill="1" applyBorder="1"/>
    <xf numFmtId="167" fontId="26" fillId="0" borderId="0" xfId="1" applyNumberFormat="1" applyFont="1" applyFill="1" applyBorder="1"/>
    <xf numFmtId="167" fontId="27" fillId="0" borderId="0" xfId="1" applyNumberFormat="1" applyFont="1" applyFill="1" applyBorder="1"/>
    <xf numFmtId="9" fontId="26" fillId="0" borderId="0" xfId="1" applyFont="1" applyFill="1" applyBorder="1"/>
    <xf numFmtId="1" fontId="32" fillId="0" borderId="0" xfId="0" applyNumberFormat="1" applyFont="1"/>
    <xf numFmtId="1" fontId="29" fillId="0" borderId="0" xfId="0" applyNumberFormat="1" applyFont="1"/>
    <xf numFmtId="165" fontId="27" fillId="0" borderId="0" xfId="1" applyNumberFormat="1" applyFont="1" applyFill="1" applyBorder="1"/>
    <xf numFmtId="0" fontId="24" fillId="0" borderId="7" xfId="0" applyFont="1" applyBorder="1"/>
    <xf numFmtId="169" fontId="28" fillId="0" borderId="0" xfId="0" applyNumberFormat="1" applyFont="1"/>
    <xf numFmtId="169" fontId="27" fillId="0" borderId="0" xfId="0" applyNumberFormat="1" applyFont="1"/>
    <xf numFmtId="184" fontId="32" fillId="0" borderId="0" xfId="1" applyNumberFormat="1" applyFont="1" applyFill="1" applyBorder="1"/>
    <xf numFmtId="182" fontId="32" fillId="0" borderId="0" xfId="0" applyNumberFormat="1" applyFont="1"/>
    <xf numFmtId="165" fontId="27" fillId="0" borderId="0" xfId="0" applyNumberFormat="1" applyFont="1"/>
    <xf numFmtId="180" fontId="21" fillId="0" borderId="1" xfId="0" applyNumberFormat="1" applyFont="1" applyBorder="1" applyAlignment="1">
      <alignment horizontal="center"/>
    </xf>
    <xf numFmtId="175" fontId="22" fillId="0" borderId="1" xfId="0" applyNumberFormat="1" applyFont="1" applyBorder="1" applyAlignment="1">
      <alignment horizontal="center"/>
    </xf>
    <xf numFmtId="178" fontId="35" fillId="0" borderId="0" xfId="0" applyNumberFormat="1" applyFont="1"/>
    <xf numFmtId="168" fontId="26" fillId="0" borderId="0" xfId="0" applyNumberFormat="1" applyFont="1"/>
    <xf numFmtId="190" fontId="29" fillId="0" borderId="0" xfId="0" applyNumberFormat="1" applyFont="1"/>
    <xf numFmtId="9" fontId="25" fillId="5" borderId="0" xfId="1" applyFont="1" applyFill="1" applyBorder="1"/>
    <xf numFmtId="0" fontId="26" fillId="0" borderId="0" xfId="0" applyFont="1"/>
    <xf numFmtId="9" fontId="25" fillId="0" borderId="0" xfId="1" applyFont="1" applyBorder="1"/>
    <xf numFmtId="167" fontId="25" fillId="0" borderId="0" xfId="1" applyNumberFormat="1" applyFont="1"/>
    <xf numFmtId="0" fontId="39" fillId="0" borderId="0" xfId="0" applyFont="1"/>
    <xf numFmtId="178" fontId="27" fillId="0" borderId="0" xfId="0" applyNumberFormat="1" applyFont="1"/>
    <xf numFmtId="0" fontId="40" fillId="0" borderId="0" xfId="0" applyFont="1"/>
    <xf numFmtId="0" fontId="31" fillId="0" borderId="0" xfId="0" applyFont="1" applyAlignment="1">
      <alignment horizontal="center"/>
    </xf>
    <xf numFmtId="178" fontId="31" fillId="0" borderId="0" xfId="0" applyNumberFormat="1" applyFont="1" applyAlignment="1">
      <alignment horizontal="center"/>
    </xf>
    <xf numFmtId="0" fontId="31" fillId="0" borderId="5" xfId="0" applyFont="1" applyBorder="1"/>
    <xf numFmtId="0" fontId="31" fillId="0" borderId="5" xfId="0" applyFont="1" applyBorder="1" applyAlignment="1">
      <alignment horizontal="center"/>
    </xf>
    <xf numFmtId="178" fontId="31" fillId="0" borderId="5" xfId="0" applyNumberFormat="1" applyFont="1" applyBorder="1" applyAlignment="1">
      <alignment horizontal="center"/>
    </xf>
    <xf numFmtId="0" fontId="13" fillId="0" borderId="5" xfId="0" applyFont="1" applyBorder="1"/>
    <xf numFmtId="169" fontId="13" fillId="0" borderId="5" xfId="0" applyNumberFormat="1" applyFont="1" applyBorder="1"/>
    <xf numFmtId="0" fontId="28" fillId="5" borderId="0" xfId="0" applyFont="1" applyFill="1"/>
    <xf numFmtId="10" fontId="28" fillId="5" borderId="0" xfId="1" applyNumberFormat="1" applyFont="1" applyFill="1" applyAlignment="1">
      <alignment horizontal="center" vertical="center"/>
    </xf>
    <xf numFmtId="9" fontId="28" fillId="5" borderId="0" xfId="1" applyFont="1" applyFill="1" applyAlignment="1">
      <alignment horizontal="center" vertical="center"/>
    </xf>
    <xf numFmtId="169" fontId="38" fillId="0" borderId="0" xfId="0" applyNumberFormat="1" applyFont="1"/>
    <xf numFmtId="10" fontId="38" fillId="0" borderId="0" xfId="1" applyNumberFormat="1" applyFont="1" applyFill="1" applyBorder="1"/>
    <xf numFmtId="9" fontId="32" fillId="0" borderId="0" xfId="1" applyFont="1" applyBorder="1"/>
    <xf numFmtId="180" fontId="36" fillId="0" borderId="0" xfId="0" applyNumberFormat="1" applyFont="1"/>
    <xf numFmtId="173" fontId="13" fillId="0" borderId="0" xfId="0" applyNumberFormat="1" applyFont="1"/>
    <xf numFmtId="167" fontId="25" fillId="5" borderId="0" xfId="1" applyNumberFormat="1" applyFont="1" applyFill="1"/>
    <xf numFmtId="167" fontId="25" fillId="0" borderId="0" xfId="1" applyNumberFormat="1" applyFont="1" applyBorder="1"/>
    <xf numFmtId="167" fontId="24" fillId="0" borderId="0" xfId="1" applyNumberFormat="1" applyFont="1" applyFill="1"/>
    <xf numFmtId="180" fontId="8" fillId="0" borderId="1" xfId="0" applyNumberFormat="1" applyFont="1" applyBorder="1" applyAlignment="1">
      <alignment horizontal="center"/>
    </xf>
    <xf numFmtId="180" fontId="12" fillId="0" borderId="0" xfId="0" applyNumberFormat="1" applyFont="1"/>
    <xf numFmtId="172" fontId="27" fillId="0" borderId="0" xfId="1" applyNumberFormat="1" applyFont="1" applyBorder="1"/>
    <xf numFmtId="172" fontId="27" fillId="0" borderId="0" xfId="1" applyNumberFormat="1" applyFont="1"/>
    <xf numFmtId="182" fontId="25" fillId="0" borderId="0" xfId="1" applyNumberFormat="1" applyFont="1" applyBorder="1"/>
    <xf numFmtId="182" fontId="25" fillId="0" borderId="0" xfId="1" applyNumberFormat="1" applyFont="1"/>
    <xf numFmtId="10" fontId="25" fillId="0" borderId="0" xfId="1" applyNumberFormat="1" applyFont="1"/>
    <xf numFmtId="1" fontId="25" fillId="0" borderId="0" xfId="1" applyNumberFormat="1" applyFont="1" applyBorder="1"/>
    <xf numFmtId="1" fontId="25" fillId="0" borderId="0" xfId="1" applyNumberFormat="1" applyFont="1"/>
    <xf numFmtId="9" fontId="25" fillId="0" borderId="0" xfId="1" applyFont="1" applyFill="1"/>
    <xf numFmtId="10" fontId="25" fillId="0" borderId="0" xfId="1" applyNumberFormat="1" applyFont="1" applyFill="1" applyBorder="1"/>
    <xf numFmtId="10" fontId="25" fillId="0" borderId="0" xfId="1" applyNumberFormat="1" applyFont="1" applyFill="1"/>
    <xf numFmtId="167" fontId="25" fillId="0" borderId="0" xfId="1" applyNumberFormat="1" applyFont="1" applyFill="1"/>
    <xf numFmtId="0" fontId="42" fillId="4" borderId="0" xfId="0" applyFont="1" applyFill="1" applyAlignment="1">
      <alignment horizontal="right"/>
    </xf>
    <xf numFmtId="0" fontId="42" fillId="4" borderId="0" xfId="0" applyFont="1" applyFill="1"/>
    <xf numFmtId="0" fontId="16" fillId="4" borderId="0" xfId="0" applyFont="1" applyFill="1"/>
    <xf numFmtId="0" fontId="24" fillId="0" borderId="6" xfId="0" applyFont="1" applyBorder="1" applyAlignment="1">
      <alignment horizontal="left" indent="2"/>
    </xf>
    <xf numFmtId="182" fontId="25" fillId="0" borderId="6" xfId="1" applyNumberFormat="1" applyFont="1" applyBorder="1"/>
    <xf numFmtId="10" fontId="25" fillId="0" borderId="6" xfId="1" applyNumberFormat="1" applyFont="1" applyFill="1" applyBorder="1"/>
    <xf numFmtId="0" fontId="43" fillId="4" borderId="0" xfId="0" applyFont="1" applyFill="1" applyAlignment="1">
      <alignment horizontal="left"/>
    </xf>
    <xf numFmtId="0" fontId="44" fillId="4" borderId="0" xfId="0" applyFont="1" applyFill="1"/>
    <xf numFmtId="172" fontId="43" fillId="4" borderId="0" xfId="1" applyNumberFormat="1" applyFont="1" applyFill="1" applyBorder="1"/>
    <xf numFmtId="172" fontId="43" fillId="4" borderId="0" xfId="1" applyNumberFormat="1" applyFont="1" applyFill="1"/>
    <xf numFmtId="182" fontId="29" fillId="6" borderId="0" xfId="1" applyNumberFormat="1" applyFont="1" applyFill="1" applyBorder="1"/>
    <xf numFmtId="167" fontId="29" fillId="6" borderId="0" xfId="1" applyNumberFormat="1" applyFont="1" applyFill="1"/>
    <xf numFmtId="0" fontId="27" fillId="0" borderId="0" xfId="0" applyFont="1" applyAlignment="1">
      <alignment horizontal="left" indent="2"/>
    </xf>
    <xf numFmtId="175" fontId="23" fillId="0" borderId="5" xfId="0" applyNumberFormat="1" applyFont="1" applyBorder="1" applyAlignment="1">
      <alignment horizontal="right"/>
    </xf>
    <xf numFmtId="193" fontId="26" fillId="0" borderId="0" xfId="1" applyNumberFormat="1" applyFont="1" applyFill="1" applyBorder="1"/>
    <xf numFmtId="193" fontId="0" fillId="0" borderId="0" xfId="0" applyNumberFormat="1"/>
    <xf numFmtId="191" fontId="29" fillId="0" borderId="0" xfId="0" applyNumberFormat="1" applyFont="1"/>
    <xf numFmtId="9" fontId="25" fillId="0" borderId="0" xfId="1" applyFont="1" applyFill="1" applyBorder="1"/>
    <xf numFmtId="193" fontId="26" fillId="2" borderId="0" xfId="0" applyNumberFormat="1" applyFont="1" applyFill="1"/>
    <xf numFmtId="0" fontId="45" fillId="0" borderId="0" xfId="0" applyFont="1"/>
    <xf numFmtId="195" fontId="26" fillId="0" borderId="0" xfId="0" applyNumberFormat="1" applyFont="1"/>
    <xf numFmtId="194" fontId="27" fillId="0" borderId="0" xfId="0" applyNumberFormat="1" applyFont="1"/>
    <xf numFmtId="196" fontId="25" fillId="0" borderId="0" xfId="0" applyNumberFormat="1" applyFont="1"/>
    <xf numFmtId="196" fontId="26" fillId="0" borderId="0" xfId="0" applyNumberFormat="1" applyFont="1"/>
    <xf numFmtId="196" fontId="29" fillId="0" borderId="0" xfId="0" applyNumberFormat="1" applyFont="1"/>
    <xf numFmtId="196" fontId="25" fillId="0" borderId="6" xfId="0" applyNumberFormat="1" applyFont="1" applyBorder="1"/>
    <xf numFmtId="193" fontId="24" fillId="0" borderId="0" xfId="0" applyNumberFormat="1" applyFont="1"/>
    <xf numFmtId="0" fontId="27" fillId="3" borderId="0" xfId="0" applyFont="1" applyFill="1"/>
    <xf numFmtId="191" fontId="24" fillId="0" borderId="0" xfId="0" applyNumberFormat="1" applyFont="1"/>
    <xf numFmtId="193" fontId="25" fillId="0" borderId="0" xfId="0" applyNumberFormat="1" applyFont="1"/>
    <xf numFmtId="191" fontId="25" fillId="0" borderId="0" xfId="0" applyNumberFormat="1" applyFont="1"/>
    <xf numFmtId="193" fontId="26" fillId="0" borderId="0" xfId="0" applyNumberFormat="1" applyFont="1"/>
    <xf numFmtId="3" fontId="25" fillId="0" borderId="0" xfId="0" applyNumberFormat="1" applyFont="1"/>
    <xf numFmtId="3" fontId="24" fillId="0" borderId="0" xfId="0" applyNumberFormat="1" applyFont="1"/>
    <xf numFmtId="179" fontId="26" fillId="0" borderId="0" xfId="0" applyNumberFormat="1" applyFont="1"/>
    <xf numFmtId="191" fontId="26" fillId="0" borderId="0" xfId="0" applyNumberFormat="1" applyFont="1"/>
    <xf numFmtId="167" fontId="47" fillId="0" borderId="0" xfId="1" applyNumberFormat="1" applyFont="1" applyFill="1" applyBorder="1"/>
    <xf numFmtId="198" fontId="25" fillId="0" borderId="0" xfId="0" applyNumberFormat="1" applyFont="1"/>
    <xf numFmtId="0" fontId="42" fillId="8" borderId="2" xfId="0" applyFont="1" applyFill="1" applyBorder="1"/>
    <xf numFmtId="0" fontId="43" fillId="8" borderId="3" xfId="0" applyFont="1" applyFill="1" applyBorder="1"/>
    <xf numFmtId="0" fontId="44" fillId="8" borderId="3" xfId="0" applyFont="1" applyFill="1" applyBorder="1"/>
    <xf numFmtId="169" fontId="44" fillId="8" borderId="3" xfId="0" applyNumberFormat="1" applyFont="1" applyFill="1" applyBorder="1"/>
    <xf numFmtId="169" fontId="44" fillId="8" borderId="4" xfId="0" applyNumberFormat="1" applyFont="1" applyFill="1" applyBorder="1"/>
    <xf numFmtId="0" fontId="24" fillId="0" borderId="9" xfId="0" applyFont="1" applyBorder="1"/>
    <xf numFmtId="198" fontId="25" fillId="0" borderId="9" xfId="0" applyNumberFormat="1" applyFont="1" applyBorder="1"/>
    <xf numFmtId="198" fontId="26" fillId="0" borderId="9" xfId="0" applyNumberFormat="1" applyFont="1" applyBorder="1"/>
    <xf numFmtId="167" fontId="25" fillId="2" borderId="9" xfId="1" applyNumberFormat="1" applyFont="1" applyFill="1" applyBorder="1"/>
    <xf numFmtId="198" fontId="28" fillId="3" borderId="9" xfId="0" applyNumberFormat="1" applyFont="1" applyFill="1" applyBorder="1"/>
    <xf numFmtId="198" fontId="29" fillId="3" borderId="9" xfId="0" applyNumberFormat="1" applyFont="1" applyFill="1" applyBorder="1"/>
    <xf numFmtId="199" fontId="28" fillId="3" borderId="9" xfId="0" applyNumberFormat="1" applyFont="1" applyFill="1" applyBorder="1"/>
    <xf numFmtId="199" fontId="29" fillId="3" borderId="9" xfId="0" applyNumberFormat="1" applyFont="1" applyFill="1" applyBorder="1"/>
    <xf numFmtId="192" fontId="26" fillId="0" borderId="9" xfId="0" applyNumberFormat="1" applyFont="1" applyBorder="1"/>
    <xf numFmtId="192" fontId="25" fillId="5" borderId="9" xfId="0" applyNumberFormat="1" applyFont="1" applyFill="1" applyBorder="1"/>
    <xf numFmtId="0" fontId="24" fillId="0" borderId="10" xfId="0" applyFont="1" applyBorder="1"/>
    <xf numFmtId="0" fontId="27" fillId="3" borderId="10" xfId="0" applyFont="1" applyFill="1" applyBorder="1"/>
    <xf numFmtId="0" fontId="24" fillId="0" borderId="12" xfId="0" applyFont="1" applyBorder="1"/>
    <xf numFmtId="0" fontId="24" fillId="0" borderId="13" xfId="0" applyFont="1" applyBorder="1"/>
    <xf numFmtId="0" fontId="27" fillId="3" borderId="13" xfId="0" applyFont="1" applyFill="1" applyBorder="1"/>
    <xf numFmtId="0" fontId="27" fillId="0" borderId="14" xfId="0" applyFont="1" applyBorder="1"/>
    <xf numFmtId="0" fontId="24" fillId="0" borderId="15" xfId="0" applyFont="1" applyBorder="1"/>
    <xf numFmtId="0" fontId="24" fillId="0" borderId="16" xfId="0" applyFont="1" applyBorder="1"/>
    <xf numFmtId="0" fontId="24" fillId="0" borderId="17" xfId="0" applyFont="1" applyBorder="1"/>
    <xf numFmtId="0" fontId="27" fillId="3" borderId="17" xfId="0" applyFont="1" applyFill="1" applyBorder="1"/>
    <xf numFmtId="0" fontId="24" fillId="0" borderId="18" xfId="0" applyFont="1" applyBorder="1"/>
    <xf numFmtId="0" fontId="27" fillId="0" borderId="19" xfId="0" applyFont="1" applyBorder="1"/>
    <xf numFmtId="196" fontId="27" fillId="3" borderId="0" xfId="0" applyNumberFormat="1" applyFont="1" applyFill="1"/>
    <xf numFmtId="0" fontId="27" fillId="3" borderId="20" xfId="0" applyFont="1" applyFill="1" applyBorder="1"/>
    <xf numFmtId="0" fontId="27" fillId="3" borderId="11" xfId="0" applyFont="1" applyFill="1" applyBorder="1"/>
    <xf numFmtId="193" fontId="27" fillId="3" borderId="9" xfId="0" applyNumberFormat="1" applyFont="1" applyFill="1" applyBorder="1"/>
    <xf numFmtId="196" fontId="27" fillId="3" borderId="9" xfId="0" applyNumberFormat="1" applyFont="1" applyFill="1" applyBorder="1"/>
    <xf numFmtId="0" fontId="27" fillId="0" borderId="16" xfId="0" applyFont="1" applyBorder="1"/>
    <xf numFmtId="0" fontId="27" fillId="0" borderId="12" xfId="0" applyFont="1" applyBorder="1"/>
    <xf numFmtId="0" fontId="24" fillId="0" borderId="19" xfId="0" applyFont="1" applyBorder="1"/>
    <xf numFmtId="0" fontId="24" fillId="0" borderId="14" xfId="0" applyFont="1" applyBorder="1"/>
    <xf numFmtId="167" fontId="26" fillId="0" borderId="9" xfId="1" applyNumberFormat="1" applyFont="1" applyFill="1" applyBorder="1"/>
    <xf numFmtId="167" fontId="25" fillId="5" borderId="9" xfId="1" applyNumberFormat="1" applyFont="1" applyFill="1" applyBorder="1"/>
    <xf numFmtId="197" fontId="25" fillId="0" borderId="9" xfId="0" applyNumberFormat="1" applyFont="1" applyBorder="1"/>
    <xf numFmtId="197" fontId="26" fillId="0" borderId="9" xfId="0" applyNumberFormat="1" applyFont="1" applyBorder="1"/>
    <xf numFmtId="0" fontId="27" fillId="0" borderId="20" xfId="0" applyFont="1" applyBorder="1"/>
    <xf numFmtId="0" fontId="24" fillId="0" borderId="20" xfId="0" applyFont="1" applyBorder="1"/>
    <xf numFmtId="0" fontId="24" fillId="0" borderId="11" xfId="0" applyFont="1" applyBorder="1"/>
    <xf numFmtId="169" fontId="25" fillId="0" borderId="9" xfId="0" applyNumberFormat="1" applyFont="1" applyBorder="1"/>
    <xf numFmtId="9" fontId="25" fillId="5" borderId="9" xfId="1" applyFont="1" applyFill="1" applyBorder="1"/>
    <xf numFmtId="196" fontId="25" fillId="0" borderId="9" xfId="0" applyNumberFormat="1" applyFont="1" applyBorder="1"/>
    <xf numFmtId="196" fontId="25" fillId="5" borderId="9" xfId="0" applyNumberFormat="1" applyFont="1" applyFill="1" applyBorder="1"/>
    <xf numFmtId="0" fontId="20" fillId="0" borderId="21" xfId="0" applyFont="1" applyBorder="1" applyAlignment="1">
      <alignment horizontal="centerContinuous"/>
    </xf>
    <xf numFmtId="0" fontId="20" fillId="0" borderId="22" xfId="0" applyFont="1" applyBorder="1" applyAlignment="1">
      <alignment horizontal="centerContinuous"/>
    </xf>
    <xf numFmtId="0" fontId="20" fillId="0" borderId="23" xfId="0" applyFont="1" applyBorder="1" applyAlignment="1">
      <alignment horizontal="centerContinuous"/>
    </xf>
    <xf numFmtId="180" fontId="23" fillId="0" borderId="24" xfId="0" applyNumberFormat="1" applyFont="1" applyBorder="1"/>
    <xf numFmtId="180" fontId="23" fillId="0" borderId="25" xfId="0" applyNumberFormat="1" applyFont="1" applyBorder="1"/>
    <xf numFmtId="175" fontId="23" fillId="0" borderId="26" xfId="0" applyNumberFormat="1" applyFont="1" applyBorder="1" applyAlignment="1">
      <alignment horizontal="right"/>
    </xf>
    <xf numFmtId="199" fontId="29" fillId="0" borderId="0" xfId="0" applyNumberFormat="1" applyFont="1"/>
    <xf numFmtId="0" fontId="27" fillId="0" borderId="11" xfId="0" applyFont="1" applyBorder="1"/>
    <xf numFmtId="199" fontId="29" fillId="0" borderId="9" xfId="0" applyNumberFormat="1" applyFont="1" applyBorder="1"/>
    <xf numFmtId="200" fontId="26" fillId="0" borderId="9" xfId="0" applyNumberFormat="1" applyFont="1" applyBorder="1"/>
    <xf numFmtId="196" fontId="27" fillId="0" borderId="0" xfId="0" applyNumberFormat="1" applyFont="1"/>
    <xf numFmtId="175" fontId="23" fillId="0" borderId="0" xfId="0" applyNumberFormat="1" applyFont="1" applyAlignment="1">
      <alignment horizontal="right"/>
    </xf>
    <xf numFmtId="196" fontId="27" fillId="0" borderId="9" xfId="0" applyNumberFormat="1" applyFont="1" applyBorder="1"/>
    <xf numFmtId="196" fontId="24" fillId="0" borderId="9" xfId="0" applyNumberFormat="1" applyFont="1" applyBorder="1"/>
    <xf numFmtId="196" fontId="27" fillId="3" borderId="27" xfId="0" applyNumberFormat="1" applyFont="1" applyFill="1" applyBorder="1"/>
    <xf numFmtId="0" fontId="24" fillId="0" borderId="15" xfId="0" applyFont="1" applyBorder="1" applyAlignment="1">
      <alignment horizontal="left"/>
    </xf>
    <xf numFmtId="9" fontId="25" fillId="0" borderId="12" xfId="1" applyFont="1" applyFill="1" applyBorder="1"/>
    <xf numFmtId="191" fontId="25" fillId="0" borderId="9" xfId="0" applyNumberFormat="1" applyFont="1" applyBorder="1"/>
    <xf numFmtId="191" fontId="24" fillId="0" borderId="9" xfId="0" applyNumberFormat="1" applyFont="1" applyBorder="1"/>
    <xf numFmtId="167" fontId="24" fillId="0" borderId="9" xfId="1" applyNumberFormat="1" applyFont="1" applyFill="1" applyBorder="1"/>
    <xf numFmtId="191" fontId="25" fillId="5" borderId="9" xfId="0" applyNumberFormat="1" applyFont="1" applyFill="1" applyBorder="1"/>
    <xf numFmtId="196" fontId="27" fillId="0" borderId="16" xfId="0" applyNumberFormat="1" applyFont="1" applyBorder="1"/>
    <xf numFmtId="196" fontId="27" fillId="5" borderId="9" xfId="0" applyNumberFormat="1" applyFont="1" applyFill="1" applyBorder="1"/>
    <xf numFmtId="191" fontId="26" fillId="0" borderId="9" xfId="0" applyNumberFormat="1" applyFont="1" applyBorder="1"/>
    <xf numFmtId="182" fontId="32" fillId="0" borderId="10" xfId="0" applyNumberFormat="1" applyFont="1" applyBorder="1"/>
    <xf numFmtId="191" fontId="24" fillId="0" borderId="20" xfId="0" applyNumberFormat="1" applyFont="1" applyBorder="1"/>
    <xf numFmtId="191" fontId="24" fillId="2" borderId="9" xfId="0" applyNumberFormat="1" applyFont="1" applyFill="1" applyBorder="1"/>
    <xf numFmtId="169" fontId="25" fillId="0" borderId="12" xfId="0" applyNumberFormat="1" applyFont="1" applyBorder="1"/>
    <xf numFmtId="169" fontId="25" fillId="0" borderId="14" xfId="0" applyNumberFormat="1" applyFont="1" applyBorder="1"/>
    <xf numFmtId="183" fontId="37" fillId="5" borderId="9" xfId="0" applyNumberFormat="1" applyFont="1" applyFill="1" applyBorder="1" applyAlignment="1">
      <alignment horizontal="right"/>
    </xf>
    <xf numFmtId="182" fontId="37" fillId="5" borderId="9" xfId="0" applyNumberFormat="1" applyFont="1" applyFill="1" applyBorder="1" applyAlignment="1">
      <alignment horizontal="right"/>
    </xf>
    <xf numFmtId="169" fontId="25" fillId="0" borderId="28" xfId="0" applyNumberFormat="1" applyFont="1" applyBorder="1"/>
    <xf numFmtId="191" fontId="24" fillId="0" borderId="10" xfId="0" applyNumberFormat="1" applyFont="1" applyBorder="1"/>
    <xf numFmtId="196" fontId="27" fillId="3" borderId="11" xfId="0" applyNumberFormat="1" applyFont="1" applyFill="1" applyBorder="1"/>
    <xf numFmtId="196" fontId="27" fillId="3" borderId="14" xfId="0" applyNumberFormat="1" applyFont="1" applyFill="1" applyBorder="1"/>
    <xf numFmtId="196" fontId="27" fillId="3" borderId="28" xfId="0" applyNumberFormat="1" applyFont="1" applyFill="1" applyBorder="1"/>
    <xf numFmtId="178" fontId="27" fillId="0" borderId="9" xfId="0" applyNumberFormat="1" applyFont="1" applyBorder="1"/>
    <xf numFmtId="165" fontId="24" fillId="0" borderId="9" xfId="0" applyNumberFormat="1" applyFont="1" applyBorder="1"/>
    <xf numFmtId="0" fontId="27" fillId="3" borderId="18" xfId="0" applyFont="1" applyFill="1" applyBorder="1"/>
    <xf numFmtId="0" fontId="27" fillId="3" borderId="19" xfId="0" applyFont="1" applyFill="1" applyBorder="1"/>
    <xf numFmtId="0" fontId="27" fillId="3" borderId="14" xfId="0" applyFont="1" applyFill="1" applyBorder="1"/>
    <xf numFmtId="9" fontId="24" fillId="0" borderId="9" xfId="1" applyFont="1" applyFill="1" applyBorder="1"/>
    <xf numFmtId="178" fontId="24" fillId="0" borderId="9" xfId="0" applyNumberFormat="1" applyFont="1" applyBorder="1"/>
    <xf numFmtId="180" fontId="21" fillId="0" borderId="0" xfId="0" applyNumberFormat="1" applyFont="1" applyAlignment="1">
      <alignment horizontal="center"/>
    </xf>
    <xf numFmtId="175" fontId="22" fillId="0" borderId="0" xfId="0" applyNumberFormat="1" applyFont="1" applyAlignment="1">
      <alignment horizontal="center"/>
    </xf>
    <xf numFmtId="183" fontId="25" fillId="0" borderId="20" xfId="0" applyNumberFormat="1" applyFont="1" applyBorder="1"/>
    <xf numFmtId="170" fontId="27" fillId="0" borderId="11" xfId="0" applyNumberFormat="1" applyFont="1" applyBorder="1"/>
    <xf numFmtId="0" fontId="25" fillId="0" borderId="20" xfId="0" applyFont="1" applyBorder="1" applyAlignment="1">
      <alignment horizontal="right"/>
    </xf>
    <xf numFmtId="0" fontId="27" fillId="0" borderId="17" xfId="0" applyFont="1" applyBorder="1"/>
    <xf numFmtId="194" fontId="26" fillId="0" borderId="0" xfId="0" applyNumberFormat="1" applyFont="1"/>
    <xf numFmtId="194" fontId="26" fillId="2" borderId="9" xfId="0" applyNumberFormat="1" applyFont="1" applyFill="1" applyBorder="1"/>
    <xf numFmtId="170" fontId="27" fillId="0" borderId="9" xfId="0" applyNumberFormat="1" applyFont="1" applyBorder="1"/>
    <xf numFmtId="196" fontId="26" fillId="0" borderId="9" xfId="0" applyNumberFormat="1" applyFont="1" applyBorder="1"/>
    <xf numFmtId="191" fontId="24" fillId="0" borderId="11" xfId="0" applyNumberFormat="1" applyFont="1" applyBorder="1"/>
    <xf numFmtId="191" fontId="24" fillId="2" borderId="11" xfId="0" applyNumberFormat="1" applyFont="1" applyFill="1" applyBorder="1"/>
    <xf numFmtId="182" fontId="32" fillId="0" borderId="13" xfId="0" applyNumberFormat="1" applyFont="1" applyBorder="1"/>
    <xf numFmtId="183" fontId="25" fillId="5" borderId="9" xfId="0" applyNumberFormat="1" applyFont="1" applyFill="1" applyBorder="1"/>
    <xf numFmtId="0" fontId="25" fillId="5" borderId="9" xfId="0" applyFont="1" applyFill="1" applyBorder="1" applyAlignment="1">
      <alignment horizontal="right"/>
    </xf>
    <xf numFmtId="167" fontId="25" fillId="0" borderId="9" xfId="1" applyNumberFormat="1" applyFont="1" applyBorder="1"/>
    <xf numFmtId="167" fontId="26" fillId="0" borderId="9" xfId="1" applyNumberFormat="1" applyFont="1" applyBorder="1"/>
    <xf numFmtId="196" fontId="24" fillId="0" borderId="0" xfId="0" applyNumberFormat="1" applyFont="1"/>
    <xf numFmtId="196" fontId="24" fillId="0" borderId="27" xfId="0" applyNumberFormat="1" applyFont="1" applyBorder="1"/>
    <xf numFmtId="196" fontId="24" fillId="0" borderId="11" xfId="0" applyNumberFormat="1" applyFont="1" applyBorder="1"/>
    <xf numFmtId="169" fontId="27" fillId="0" borderId="9" xfId="0" applyNumberFormat="1" applyFont="1" applyBorder="1"/>
    <xf numFmtId="196" fontId="27" fillId="3" borderId="12" xfId="0" applyNumberFormat="1" applyFont="1" applyFill="1" applyBorder="1"/>
    <xf numFmtId="0" fontId="27" fillId="0" borderId="13" xfId="0" applyFont="1" applyBorder="1"/>
    <xf numFmtId="196" fontId="27" fillId="3" borderId="15" xfId="0" applyNumberFormat="1" applyFont="1" applyFill="1" applyBorder="1"/>
    <xf numFmtId="0" fontId="27" fillId="3" borderId="15" xfId="0" applyFont="1" applyFill="1" applyBorder="1"/>
    <xf numFmtId="0" fontId="27" fillId="3" borderId="16" xfId="0" applyFont="1" applyFill="1" applyBorder="1"/>
    <xf numFmtId="0" fontId="27" fillId="3" borderId="12" xfId="0" applyFont="1" applyFill="1" applyBorder="1"/>
    <xf numFmtId="196" fontId="27" fillId="3" borderId="13" xfId="0" applyNumberFormat="1" applyFont="1" applyFill="1" applyBorder="1"/>
    <xf numFmtId="1" fontId="28" fillId="5" borderId="9" xfId="1" applyNumberFormat="1" applyFont="1" applyFill="1" applyBorder="1"/>
    <xf numFmtId="1" fontId="28" fillId="0" borderId="0" xfId="1" applyNumberFormat="1" applyFont="1" applyFill="1" applyBorder="1"/>
    <xf numFmtId="0" fontId="24" fillId="0" borderId="10" xfId="0" applyFont="1" applyBorder="1" applyAlignment="1">
      <alignment horizontal="left"/>
    </xf>
    <xf numFmtId="167" fontId="26" fillId="0" borderId="0" xfId="1" applyNumberFormat="1" applyFont="1" applyFill="1"/>
    <xf numFmtId="167" fontId="27" fillId="3" borderId="9" xfId="1" applyNumberFormat="1" applyFont="1" applyFill="1" applyBorder="1"/>
    <xf numFmtId="196" fontId="24" fillId="0" borderId="0" xfId="1" applyNumberFormat="1" applyFont="1"/>
    <xf numFmtId="0" fontId="13" fillId="0" borderId="20" xfId="0" applyFont="1" applyBorder="1"/>
    <xf numFmtId="0" fontId="13" fillId="0" borderId="11" xfId="0" applyFont="1" applyBorder="1"/>
    <xf numFmtId="10" fontId="33" fillId="0" borderId="9" xfId="1" applyNumberFormat="1" applyFont="1" applyBorder="1"/>
    <xf numFmtId="10" fontId="25" fillId="5" borderId="9" xfId="1" applyNumberFormat="1" applyFont="1" applyFill="1" applyBorder="1"/>
    <xf numFmtId="10" fontId="24" fillId="0" borderId="9" xfId="1" applyNumberFormat="1" applyFont="1" applyFill="1" applyBorder="1"/>
    <xf numFmtId="184" fontId="26" fillId="0" borderId="9" xfId="0" applyNumberFormat="1" applyFont="1" applyBorder="1"/>
    <xf numFmtId="165" fontId="24" fillId="0" borderId="14" xfId="0" applyNumberFormat="1" applyFont="1" applyBorder="1"/>
    <xf numFmtId="165" fontId="24" fillId="0" borderId="28" xfId="0" applyNumberFormat="1" applyFont="1" applyBorder="1"/>
    <xf numFmtId="196" fontId="27" fillId="3" borderId="29" xfId="0" applyNumberFormat="1" applyFont="1" applyFill="1" applyBorder="1"/>
    <xf numFmtId="196" fontId="27" fillId="0" borderId="20" xfId="0" applyNumberFormat="1" applyFont="1" applyBorder="1"/>
    <xf numFmtId="0" fontId="13" fillId="0" borderId="10" xfId="0" applyFont="1" applyBorder="1"/>
    <xf numFmtId="191" fontId="40" fillId="0" borderId="0" xfId="0" applyNumberFormat="1" applyFont="1"/>
    <xf numFmtId="191" fontId="27" fillId="0" borderId="0" xfId="0" applyNumberFormat="1" applyFont="1"/>
    <xf numFmtId="169" fontId="26" fillId="0" borderId="9" xfId="0" applyNumberFormat="1" applyFont="1" applyBorder="1"/>
    <xf numFmtId="196" fontId="24" fillId="5" borderId="11" xfId="0" applyNumberFormat="1" applyFont="1" applyFill="1" applyBorder="1"/>
    <xf numFmtId="196" fontId="25" fillId="5" borderId="11" xfId="0" applyNumberFormat="1" applyFont="1" applyFill="1" applyBorder="1"/>
    <xf numFmtId="196" fontId="28" fillId="3" borderId="15" xfId="0" applyNumberFormat="1" applyFont="1" applyFill="1" applyBorder="1"/>
    <xf numFmtId="196" fontId="25" fillId="0" borderId="11" xfId="0" applyNumberFormat="1" applyFont="1" applyBorder="1"/>
    <xf numFmtId="170" fontId="24" fillId="0" borderId="11" xfId="0" applyNumberFormat="1" applyFont="1" applyBorder="1"/>
    <xf numFmtId="10" fontId="41" fillId="5" borderId="9" xfId="1" applyNumberFormat="1" applyFont="1" applyFill="1" applyBorder="1"/>
    <xf numFmtId="9" fontId="41" fillId="5" borderId="9" xfId="1" applyFont="1" applyFill="1" applyBorder="1"/>
    <xf numFmtId="9" fontId="38" fillId="0" borderId="9" xfId="1" applyFont="1" applyFill="1" applyBorder="1"/>
    <xf numFmtId="167" fontId="41" fillId="5" borderId="9" xfId="1" applyNumberFormat="1" applyFont="1" applyFill="1" applyBorder="1"/>
    <xf numFmtId="167" fontId="38" fillId="0" borderId="9" xfId="1" applyNumberFormat="1" applyFont="1" applyFill="1" applyBorder="1"/>
    <xf numFmtId="10" fontId="38" fillId="0" borderId="9" xfId="1" applyNumberFormat="1" applyFont="1" applyFill="1" applyBorder="1"/>
    <xf numFmtId="170" fontId="24" fillId="0" borderId="16" xfId="0" applyNumberFormat="1" applyFont="1" applyBorder="1"/>
    <xf numFmtId="10" fontId="38" fillId="0" borderId="27" xfId="1" applyNumberFormat="1" applyFont="1" applyFill="1" applyBorder="1"/>
    <xf numFmtId="10" fontId="38" fillId="0" borderId="28" xfId="1" applyNumberFormat="1" applyFont="1" applyFill="1" applyBorder="1"/>
    <xf numFmtId="10" fontId="48" fillId="0" borderId="9" xfId="1" applyNumberFormat="1" applyFont="1" applyFill="1" applyBorder="1"/>
    <xf numFmtId="197" fontId="28" fillId="5" borderId="0" xfId="0" applyNumberFormat="1" applyFont="1" applyFill="1" applyAlignment="1">
      <alignment horizontal="center" vertical="center"/>
    </xf>
    <xf numFmtId="201" fontId="28" fillId="5" borderId="0" xfId="0" applyNumberFormat="1" applyFont="1" applyFill="1" applyAlignment="1">
      <alignment horizontal="center" vertical="center"/>
    </xf>
    <xf numFmtId="167" fontId="24" fillId="0" borderId="9" xfId="1" applyNumberFormat="1" applyFont="1" applyBorder="1"/>
    <xf numFmtId="196" fontId="24" fillId="0" borderId="6" xfId="1" applyNumberFormat="1" applyFont="1" applyBorder="1"/>
    <xf numFmtId="196" fontId="26" fillId="7" borderId="11" xfId="0" applyNumberFormat="1" applyFont="1" applyFill="1" applyBorder="1"/>
    <xf numFmtId="196" fontId="25" fillId="0" borderId="28" xfId="0" applyNumberFormat="1" applyFont="1" applyBorder="1"/>
    <xf numFmtId="196" fontId="28" fillId="3" borderId="27" xfId="0" applyNumberFormat="1" applyFont="1" applyFill="1" applyBorder="1"/>
    <xf numFmtId="196" fontId="28" fillId="0" borderId="0" xfId="0" applyNumberFormat="1" applyFont="1"/>
    <xf numFmtId="196" fontId="28" fillId="0" borderId="16" xfId="0" applyNumberFormat="1" applyFont="1" applyBorder="1"/>
    <xf numFmtId="196" fontId="28" fillId="0" borderId="20" xfId="0" applyNumberFormat="1" applyFont="1" applyBorder="1"/>
    <xf numFmtId="196" fontId="24" fillId="0" borderId="28" xfId="0" applyNumberFormat="1" applyFont="1" applyBorder="1"/>
    <xf numFmtId="196" fontId="28" fillId="3" borderId="17" xfId="0" applyNumberFormat="1" applyFont="1" applyFill="1" applyBorder="1"/>
    <xf numFmtId="170" fontId="24" fillId="0" borderId="9" xfId="0" applyNumberFormat="1" applyFont="1" applyBorder="1"/>
    <xf numFmtId="196" fontId="29" fillId="3" borderId="17" xfId="0" applyNumberFormat="1" applyFont="1" applyFill="1" applyBorder="1"/>
    <xf numFmtId="196" fontId="26" fillId="0" borderId="6" xfId="0" applyNumberFormat="1" applyFont="1" applyBorder="1"/>
    <xf numFmtId="0" fontId="27" fillId="0" borderId="0" xfId="0" applyFont="1" applyAlignment="1">
      <alignment horizontal="left"/>
    </xf>
    <xf numFmtId="180" fontId="27" fillId="0" borderId="9" xfId="0" applyNumberFormat="1" applyFont="1" applyBorder="1"/>
    <xf numFmtId="0" fontId="46" fillId="0" borderId="10" xfId="0" applyFont="1" applyBorder="1" applyAlignment="1">
      <alignment horizontal="left"/>
    </xf>
    <xf numFmtId="193" fontId="24" fillId="0" borderId="9" xfId="0" applyNumberFormat="1" applyFont="1" applyBorder="1"/>
    <xf numFmtId="180" fontId="27" fillId="0" borderId="27" xfId="0" applyNumberFormat="1" applyFont="1" applyBorder="1"/>
    <xf numFmtId="199" fontId="28" fillId="3" borderId="28" xfId="0" applyNumberFormat="1" applyFont="1" applyFill="1" applyBorder="1"/>
    <xf numFmtId="180" fontId="27" fillId="0" borderId="20" xfId="0" applyNumberFormat="1" applyFont="1" applyBorder="1"/>
    <xf numFmtId="180" fontId="24" fillId="0" borderId="9" xfId="0" applyNumberFormat="1" applyFont="1" applyBorder="1"/>
    <xf numFmtId="0" fontId="24" fillId="0" borderId="17" xfId="0" applyFont="1" applyBorder="1" applyAlignment="1">
      <alignment horizontal="left"/>
    </xf>
    <xf numFmtId="0" fontId="26" fillId="0" borderId="10" xfId="0" applyFont="1" applyBorder="1"/>
    <xf numFmtId="0" fontId="26" fillId="0" borderId="20" xfId="0" applyFont="1" applyBorder="1"/>
    <xf numFmtId="0" fontId="26" fillId="0" borderId="11" xfId="0" applyFont="1" applyBorder="1"/>
    <xf numFmtId="9" fontId="25" fillId="0" borderId="11" xfId="1" applyFont="1" applyFill="1" applyBorder="1"/>
    <xf numFmtId="167" fontId="26" fillId="5" borderId="9" xfId="1" applyNumberFormat="1" applyFont="1" applyFill="1" applyBorder="1"/>
    <xf numFmtId="167" fontId="25" fillId="0" borderId="28" xfId="1" applyNumberFormat="1" applyFont="1" applyBorder="1"/>
    <xf numFmtId="167" fontId="26" fillId="5" borderId="28" xfId="1" applyNumberFormat="1" applyFont="1" applyFill="1" applyBorder="1"/>
    <xf numFmtId="196" fontId="27" fillId="3" borderId="16" xfId="0" applyNumberFormat="1" applyFont="1" applyFill="1" applyBorder="1"/>
    <xf numFmtId="188" fontId="25" fillId="0" borderId="9" xfId="0" applyNumberFormat="1" applyFont="1" applyBorder="1"/>
    <xf numFmtId="188" fontId="25" fillId="0" borderId="27" xfId="0" applyNumberFormat="1" applyFont="1" applyBorder="1"/>
    <xf numFmtId="188" fontId="25" fillId="0" borderId="12" xfId="0" applyNumberFormat="1" applyFont="1" applyBorder="1"/>
    <xf numFmtId="188" fontId="25" fillId="0" borderId="11" xfId="0" applyNumberFormat="1" applyFont="1" applyBorder="1"/>
    <xf numFmtId="0" fontId="24" fillId="0" borderId="20" xfId="0" applyFont="1" applyBorder="1" applyAlignment="1">
      <alignment horizontal="left" indent="2"/>
    </xf>
    <xf numFmtId="0" fontId="24" fillId="0" borderId="11" xfId="0" applyFont="1" applyBorder="1" applyAlignment="1">
      <alignment horizontal="left" indent="2"/>
    </xf>
    <xf numFmtId="188" fontId="24" fillId="0" borderId="9" xfId="0" applyNumberFormat="1" applyFont="1" applyBorder="1"/>
    <xf numFmtId="188" fontId="24" fillId="0" borderId="9" xfId="0" applyNumberFormat="1" applyFont="1" applyBorder="1" applyAlignment="1">
      <alignment horizontal="right"/>
    </xf>
    <xf numFmtId="196" fontId="29" fillId="3" borderId="9" xfId="0" applyNumberFormat="1" applyFont="1" applyFill="1" applyBorder="1"/>
    <xf numFmtId="196" fontId="29" fillId="3" borderId="0" xfId="0" applyNumberFormat="1" applyFont="1" applyFill="1"/>
    <xf numFmtId="196" fontId="29" fillId="3" borderId="27" xfId="0" applyNumberFormat="1" applyFont="1" applyFill="1" applyBorder="1"/>
    <xf numFmtId="196" fontId="26" fillId="0" borderId="28" xfId="0" applyNumberFormat="1" applyFont="1" applyBorder="1"/>
    <xf numFmtId="196" fontId="29" fillId="0" borderId="20" xfId="0" applyNumberFormat="1" applyFont="1" applyBorder="1"/>
    <xf numFmtId="167" fontId="49" fillId="5" borderId="9" xfId="1" applyNumberFormat="1" applyFont="1" applyFill="1" applyBorder="1"/>
    <xf numFmtId="167" fontId="26" fillId="0" borderId="20" xfId="1" applyNumberFormat="1" applyFont="1" applyFill="1" applyBorder="1"/>
    <xf numFmtId="196" fontId="24" fillId="0" borderId="20" xfId="0" applyNumberFormat="1" applyFont="1" applyBorder="1"/>
    <xf numFmtId="192" fontId="29" fillId="6" borderId="0" xfId="1" applyNumberFormat="1" applyFont="1" applyFill="1"/>
    <xf numFmtId="192" fontId="25" fillId="5" borderId="0" xfId="1" applyNumberFormat="1" applyFont="1" applyFill="1" applyBorder="1"/>
    <xf numFmtId="192" fontId="49" fillId="5" borderId="9" xfId="0" applyNumberFormat="1" applyFont="1" applyFill="1" applyBorder="1"/>
    <xf numFmtId="202" fontId="29" fillId="6" borderId="9" xfId="0" applyNumberFormat="1" applyFont="1" applyFill="1" applyBorder="1"/>
    <xf numFmtId="202" fontId="25" fillId="5" borderId="9" xfId="0" applyNumberFormat="1" applyFont="1" applyFill="1" applyBorder="1"/>
    <xf numFmtId="182" fontId="29" fillId="0" borderId="0" xfId="1" applyNumberFormat="1" applyFont="1" applyFill="1" applyBorder="1"/>
    <xf numFmtId="1" fontId="25" fillId="0" borderId="0" xfId="1" applyNumberFormat="1" applyFont="1" applyFill="1"/>
    <xf numFmtId="167" fontId="29" fillId="0" borderId="0" xfId="1" applyNumberFormat="1" applyFont="1" applyFill="1"/>
    <xf numFmtId="9" fontId="11" fillId="0" borderId="0" xfId="1" applyFont="1" applyFill="1" applyBorder="1"/>
    <xf numFmtId="9" fontId="11" fillId="0" borderId="0" xfId="1" applyFont="1" applyFill="1"/>
    <xf numFmtId="185" fontId="25" fillId="0" borderId="0" xfId="1" applyNumberFormat="1" applyFont="1" applyFill="1" applyBorder="1"/>
    <xf numFmtId="165" fontId="11" fillId="0" borderId="0" xfId="1" applyNumberFormat="1" applyFont="1" applyFill="1" applyBorder="1"/>
    <xf numFmtId="198" fontId="49" fillId="5" borderId="9" xfId="0" applyNumberFormat="1" applyFont="1" applyFill="1" applyBorder="1"/>
    <xf numFmtId="0" fontId="19" fillId="0" borderId="10" xfId="0" applyFont="1" applyBorder="1"/>
    <xf numFmtId="0" fontId="19" fillId="0" borderId="20" xfId="0" applyFont="1" applyBorder="1"/>
    <xf numFmtId="0" fontId="19" fillId="0" borderId="11" xfId="0" applyFont="1" applyBorder="1"/>
    <xf numFmtId="182" fontId="25" fillId="0" borderId="0" xfId="1" applyNumberFormat="1" applyFont="1" applyFill="1" applyBorder="1"/>
    <xf numFmtId="182" fontId="25" fillId="0" borderId="0" xfId="1" applyNumberFormat="1" applyFont="1" applyFill="1"/>
    <xf numFmtId="0" fontId="31" fillId="0" borderId="20" xfId="0" applyFont="1" applyBorder="1"/>
    <xf numFmtId="0" fontId="13" fillId="0" borderId="9" xfId="0" applyFont="1" applyBorder="1"/>
    <xf numFmtId="192" fontId="13" fillId="0" borderId="9" xfId="1" applyNumberFormat="1" applyFont="1" applyBorder="1" applyAlignment="1">
      <alignment horizontal="right"/>
    </xf>
    <xf numFmtId="196" fontId="13" fillId="0" borderId="9" xfId="1" applyNumberFormat="1" applyFont="1" applyBorder="1"/>
    <xf numFmtId="196" fontId="24" fillId="0" borderId="0" xfId="1" applyNumberFormat="1" applyFont="1" applyBorder="1"/>
    <xf numFmtId="9" fontId="24" fillId="0" borderId="0" xfId="1" applyFont="1" applyBorder="1"/>
    <xf numFmtId="0" fontId="38" fillId="0" borderId="0" xfId="0" applyFont="1"/>
    <xf numFmtId="0" fontId="50" fillId="0" borderId="0" xfId="0" applyFont="1"/>
    <xf numFmtId="0" fontId="24" fillId="0" borderId="7" xfId="0" applyFont="1" applyBorder="1" applyAlignment="1">
      <alignment horizontal="left" indent="2"/>
    </xf>
    <xf numFmtId="195" fontId="25" fillId="0" borderId="0" xfId="0" applyNumberFormat="1" applyFont="1"/>
    <xf numFmtId="0" fontId="24" fillId="0" borderId="30" xfId="0" applyFont="1" applyBorder="1"/>
    <xf numFmtId="188" fontId="24" fillId="0" borderId="30" xfId="0" applyNumberFormat="1" applyFont="1" applyBorder="1"/>
    <xf numFmtId="0" fontId="51" fillId="0" borderId="0" xfId="0" applyFont="1"/>
    <xf numFmtId="167" fontId="52" fillId="0" borderId="9" xfId="1" applyNumberFormat="1" applyFont="1" applyBorder="1"/>
    <xf numFmtId="174" fontId="13" fillId="0" borderId="9" xfId="0" applyNumberFormat="1" applyFont="1" applyBorder="1"/>
    <xf numFmtId="198" fontId="27" fillId="5" borderId="0" xfId="0" applyNumberFormat="1" applyFont="1" applyFill="1"/>
    <xf numFmtId="198" fontId="28" fillId="0" borderId="0" xfId="0" applyNumberFormat="1" applyFont="1"/>
    <xf numFmtId="167" fontId="47" fillId="5" borderId="9" xfId="1" applyNumberFormat="1" applyFont="1" applyFill="1" applyBorder="1"/>
    <xf numFmtId="185" fontId="38" fillId="0" borderId="0" xfId="1" applyNumberFormat="1" applyFont="1" applyBorder="1"/>
    <xf numFmtId="185" fontId="48" fillId="0" borderId="0" xfId="1" applyNumberFormat="1" applyFont="1"/>
    <xf numFmtId="185" fontId="38" fillId="0" borderId="0" xfId="1" applyNumberFormat="1" applyFont="1"/>
    <xf numFmtId="185" fontId="26" fillId="0" borderId="9" xfId="1" applyNumberFormat="1" applyFont="1" applyBorder="1"/>
    <xf numFmtId="185" fontId="53" fillId="0" borderId="9" xfId="0" applyNumberFormat="1" applyFont="1" applyBorder="1"/>
    <xf numFmtId="185" fontId="26" fillId="0" borderId="9" xfId="1" applyNumberFormat="1" applyFont="1" applyBorder="1" applyAlignment="1">
      <alignment horizontal="right"/>
    </xf>
    <xf numFmtId="0" fontId="27" fillId="0" borderId="0" xfId="0" applyFont="1" applyFill="1" applyBorder="1"/>
    <xf numFmtId="196" fontId="27" fillId="0" borderId="0" xfId="0" applyNumberFormat="1" applyFont="1" applyFill="1" applyBorder="1"/>
    <xf numFmtId="0" fontId="27" fillId="0" borderId="20" xfId="0" applyFont="1" applyFill="1" applyBorder="1"/>
    <xf numFmtId="0" fontId="27" fillId="0" borderId="19" xfId="0" applyFont="1" applyFill="1" applyBorder="1"/>
    <xf numFmtId="196" fontId="27" fillId="0" borderId="19" xfId="0" applyNumberFormat="1" applyFont="1" applyFill="1" applyBorder="1"/>
    <xf numFmtId="196" fontId="28" fillId="0" borderId="19" xfId="0" applyNumberFormat="1" applyFont="1" applyFill="1" applyBorder="1"/>
    <xf numFmtId="0" fontId="40" fillId="0" borderId="19" xfId="0" applyFont="1" applyBorder="1"/>
    <xf numFmtId="0" fontId="24" fillId="0" borderId="0" xfId="0" applyFont="1" applyBorder="1"/>
    <xf numFmtId="170" fontId="24" fillId="0" borderId="12" xfId="0" applyNumberFormat="1" applyFont="1" applyBorder="1"/>
    <xf numFmtId="180" fontId="23" fillId="0" borderId="9" xfId="0" applyNumberFormat="1" applyFont="1" applyBorder="1"/>
    <xf numFmtId="0" fontId="24" fillId="0" borderId="10" xfId="0" applyFont="1" applyFill="1" applyBorder="1"/>
    <xf numFmtId="0" fontId="27" fillId="0" borderId="11" xfId="0" applyFont="1" applyFill="1" applyBorder="1"/>
    <xf numFmtId="0" fontId="27" fillId="0" borderId="0" xfId="0" applyFont="1" applyFill="1"/>
    <xf numFmtId="0" fontId="24" fillId="0" borderId="20" xfId="0" applyFont="1" applyFill="1" applyBorder="1"/>
    <xf numFmtId="0" fontId="24" fillId="0" borderId="11" xfId="0" applyFont="1" applyFill="1" applyBorder="1"/>
    <xf numFmtId="196" fontId="27" fillId="0" borderId="9" xfId="0" applyNumberFormat="1" applyFont="1" applyFill="1" applyBorder="1"/>
    <xf numFmtId="203" fontId="27" fillId="3" borderId="9" xfId="0" applyNumberFormat="1" applyFont="1" applyFill="1" applyBorder="1"/>
    <xf numFmtId="167" fontId="54" fillId="0" borderId="9" xfId="1" applyNumberFormat="1" applyFont="1" applyFill="1" applyBorder="1"/>
    <xf numFmtId="196" fontId="25" fillId="0" borderId="0" xfId="1" applyNumberFormat="1" applyFont="1"/>
    <xf numFmtId="196" fontId="25" fillId="0" borderId="6" xfId="1" applyNumberFormat="1" applyFont="1" applyBorder="1"/>
    <xf numFmtId="9" fontId="13" fillId="0" borderId="9" xfId="1" applyFont="1" applyBorder="1" applyAlignment="1">
      <alignment horizontal="right"/>
    </xf>
  </cellXfs>
  <cellStyles count="2">
    <cellStyle name="Normal" xfId="0" builtinId="0"/>
    <cellStyle name="Percent" xfId="1" builtinId="5"/>
  </cellStyles>
  <dxfs count="0"/>
  <tableStyles count="0" defaultTableStyle="TableStyleMedium2" defaultPivotStyle="PivotStyleLight16"/>
  <colors>
    <mruColors>
      <color rgb="FFFFF5D2"/>
      <color rgb="FF7896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ctrlProps/ctrlProp1.xml><?xml version="1.0" encoding="utf-8"?>
<formControlPr xmlns="http://schemas.microsoft.com/office/spreadsheetml/2009/9/main" objectType="Drop" dropStyle="combo" dx="26" fmlaLink="$B10" fmlaRange="$F$15:$F$17" noThreeD="1" sel="1" val="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9</xdr:row>
          <xdr:rowOff>0</xdr:rowOff>
        </xdr:from>
        <xdr:to>
          <xdr:col>3</xdr:col>
          <xdr:colOff>857250</xdr:colOff>
          <xdr:row>10</xdr:row>
          <xdr:rowOff>19050</xdr:rowOff>
        </xdr:to>
        <xdr:sp macro="" textlink="">
          <xdr:nvSpPr>
            <xdr:cNvPr id="3074" name="Drop Down 2" hidden="1">
              <a:extLst>
                <a:ext uri="{63B3BB69-23CF-44E3-9099-C40C66FF867C}">
                  <a14:compatExt spid="_x0000_s3074"/>
                </a:ext>
                <a:ext uri="{FF2B5EF4-FFF2-40B4-BE49-F238E27FC236}">
                  <a16:creationId xmlns:a16="http://schemas.microsoft.com/office/drawing/2014/main" id="{00000000-0008-0000-0100-000002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DEE092C-B555-4B4A-B7D3-470FFC0FB9A5}">
  <we:reference id="wa200009404" version="1.0.0.8" store="en-US" storeType="OMEX"/>
  <we:alternateReferences>
    <we:reference id="WA200009404" version="1.0.0.8" store="" storeType="OMEX"/>
  </we:alternateReferences>
  <we:properties>
    <we:property name="claude.fileId" value="&quot;4c5385fa-52c6-4ac1-8924-0dcd8eb2862f&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8FFD-10C2-4AE9-904F-88D2A28BAA10}">
  <dimension ref="B2:B5"/>
  <sheetViews>
    <sheetView showGridLines="0" workbookViewId="0">
      <selection activeCell="B3" sqref="B3"/>
    </sheetView>
  </sheetViews>
  <sheetFormatPr defaultRowHeight="14.4" x14ac:dyDescent="0.3"/>
  <cols>
    <col min="2" max="2" width="50.77734375" customWidth="1"/>
  </cols>
  <sheetData>
    <row r="2" spans="2:2" ht="25.8" x14ac:dyDescent="0.5">
      <c r="B2" s="1" t="s">
        <v>204</v>
      </c>
    </row>
    <row r="5" spans="2:2" x14ac:dyDescent="0.3">
      <c r="B5" s="2">
        <f>DATE(2026, 10, 19)</f>
        <v>46314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6BE84-BC98-4EF8-8B10-DF23F73FD3D0}">
  <dimension ref="A2:N138"/>
  <sheetViews>
    <sheetView showGridLines="0" tabSelected="1" workbookViewId="0">
      <selection activeCell="D11" sqref="D11"/>
    </sheetView>
  </sheetViews>
  <sheetFormatPr defaultRowHeight="14.4" x14ac:dyDescent="0.3"/>
  <cols>
    <col min="1" max="1" width="4.77734375" customWidth="1"/>
    <col min="2" max="12" width="15.77734375" customWidth="1"/>
  </cols>
  <sheetData>
    <row r="2" spans="1:14" ht="28.8" x14ac:dyDescent="0.65">
      <c r="A2" s="44"/>
      <c r="B2" s="45" t="str">
        <f>Cover!$B$2</f>
        <v>ASOS PLC</v>
      </c>
      <c r="C2" s="45"/>
      <c r="D2" s="46"/>
      <c r="E2" s="47"/>
      <c r="F2" s="47"/>
      <c r="G2" s="47"/>
      <c r="H2" s="47"/>
      <c r="I2" s="47"/>
      <c r="J2" s="47"/>
      <c r="K2" s="47"/>
      <c r="L2" s="47"/>
    </row>
    <row r="3" spans="1:14" ht="21" x14ac:dyDescent="0.5">
      <c r="A3" s="44"/>
      <c r="B3" s="48" t="s">
        <v>169</v>
      </c>
      <c r="C3" s="49"/>
      <c r="D3" s="47"/>
      <c r="E3" s="47"/>
      <c r="F3" s="47"/>
      <c r="G3" s="47"/>
      <c r="H3" s="165"/>
      <c r="I3" s="166"/>
      <c r="J3" s="166"/>
      <c r="K3" s="166"/>
      <c r="L3" s="164" t="str">
        <f>"Currently Running: "&amp;CHOOSE(Assumptions!$B$10,Assumptions!$F$15,Assumptions!$F$16,Assumptions!$F$17)&amp;"Scenario"</f>
        <v>Currently Running: Base Scenario</v>
      </c>
    </row>
    <row r="4" spans="1:14" ht="15.6" x14ac:dyDescent="0.35">
      <c r="A4" s="44"/>
      <c r="B4" s="50"/>
      <c r="C4" s="50"/>
      <c r="D4" s="50"/>
      <c r="E4" s="50"/>
      <c r="F4" s="50"/>
      <c r="G4" s="50"/>
      <c r="H4" s="50"/>
      <c r="I4" s="50"/>
      <c r="J4" s="50"/>
      <c r="K4" s="51"/>
      <c r="L4" s="51"/>
    </row>
    <row r="5" spans="1:14" ht="15.6" x14ac:dyDescent="0.35">
      <c r="A5" s="44"/>
      <c r="B5" s="51"/>
      <c r="C5" s="51"/>
      <c r="D5" s="51"/>
      <c r="E5" s="51"/>
      <c r="F5" s="52" t="s">
        <v>49</v>
      </c>
      <c r="G5" s="52"/>
      <c r="H5" s="52"/>
      <c r="I5" s="52"/>
      <c r="J5" s="52"/>
      <c r="K5" s="52"/>
      <c r="L5" s="52"/>
    </row>
    <row r="6" spans="1:14" ht="15.6" x14ac:dyDescent="0.35">
      <c r="A6" s="44"/>
      <c r="B6" s="51"/>
      <c r="C6" s="51"/>
      <c r="D6" s="51"/>
      <c r="E6" s="51"/>
      <c r="F6" s="53">
        <v>2024</v>
      </c>
      <c r="G6" s="53">
        <f>F6+1</f>
        <v>2025</v>
      </c>
      <c r="H6" s="54">
        <f>G6+1</f>
        <v>2026</v>
      </c>
      <c r="I6" s="54">
        <f t="shared" ref="I6:L6" si="0">H6+1</f>
        <v>2027</v>
      </c>
      <c r="J6" s="54">
        <f t="shared" si="0"/>
        <v>2028</v>
      </c>
      <c r="K6" s="54">
        <f t="shared" si="0"/>
        <v>2029</v>
      </c>
      <c r="L6" s="54">
        <f t="shared" si="0"/>
        <v>2030</v>
      </c>
    </row>
    <row r="7" spans="1:14" ht="16.2" thickBot="1" x14ac:dyDescent="0.4">
      <c r="A7" s="44"/>
      <c r="B7" s="55" t="s">
        <v>191</v>
      </c>
      <c r="C7" s="55"/>
      <c r="D7" s="55"/>
      <c r="E7" s="55"/>
      <c r="F7" s="56" t="s">
        <v>50</v>
      </c>
      <c r="G7" s="56"/>
      <c r="H7" s="57"/>
      <c r="I7" s="57"/>
      <c r="J7" s="57"/>
      <c r="K7" s="57"/>
      <c r="L7" s="177" t="s">
        <v>37</v>
      </c>
    </row>
    <row r="8" spans="1:14" x14ac:dyDescent="0.3">
      <c r="B8" s="40"/>
      <c r="C8" s="40"/>
      <c r="D8" s="40"/>
      <c r="E8" s="40"/>
      <c r="F8" s="40"/>
      <c r="G8" s="40"/>
      <c r="H8" s="40"/>
      <c r="I8" s="40"/>
      <c r="J8" s="40"/>
      <c r="K8" s="40"/>
    </row>
    <row r="9" spans="1:14" ht="15" x14ac:dyDescent="0.35">
      <c r="B9" s="102" t="s">
        <v>170</v>
      </c>
      <c r="C9" s="40"/>
      <c r="D9" s="151"/>
      <c r="E9" s="151"/>
      <c r="F9" s="43"/>
      <c r="G9" s="43"/>
      <c r="H9" s="43"/>
      <c r="I9" s="43"/>
      <c r="J9" s="43"/>
      <c r="K9" s="43"/>
    </row>
    <row r="10" spans="1:14" x14ac:dyDescent="0.3">
      <c r="B10" s="40">
        <v>1</v>
      </c>
      <c r="C10" s="40"/>
      <c r="D10" s="152"/>
      <c r="E10" s="152"/>
      <c r="F10" s="42"/>
      <c r="G10" s="42"/>
      <c r="H10" s="42"/>
      <c r="I10" s="42"/>
      <c r="J10" s="42"/>
      <c r="K10" s="42"/>
    </row>
    <row r="12" spans="1:14" ht="15" x14ac:dyDescent="0.35">
      <c r="B12" s="170" t="s">
        <v>167</v>
      </c>
      <c r="C12" s="171"/>
      <c r="D12" s="171"/>
      <c r="E12" s="171"/>
      <c r="F12" s="172"/>
      <c r="G12" s="173"/>
      <c r="H12" s="173"/>
      <c r="I12" s="171"/>
      <c r="J12" s="171"/>
      <c r="K12" s="171"/>
      <c r="L12" s="171"/>
    </row>
    <row r="13" spans="1:14" ht="15" x14ac:dyDescent="0.35">
      <c r="B13" s="63"/>
      <c r="C13" s="61"/>
      <c r="D13" s="61"/>
      <c r="E13" s="61"/>
      <c r="F13" s="153"/>
      <c r="G13" s="154"/>
      <c r="H13" s="154"/>
      <c r="I13" s="61"/>
      <c r="J13" s="61"/>
      <c r="K13" s="61"/>
      <c r="L13" s="61"/>
    </row>
    <row r="14" spans="1:14" ht="15" x14ac:dyDescent="0.35">
      <c r="B14" s="183" t="s">
        <v>117</v>
      </c>
      <c r="C14" s="61"/>
      <c r="D14" s="61"/>
      <c r="E14" s="61"/>
      <c r="F14" s="174" t="s">
        <v>171</v>
      </c>
      <c r="G14" s="149"/>
      <c r="H14" s="175">
        <f>CHOOSE($B$10,H15,H16,H17)</f>
        <v>0.04</v>
      </c>
      <c r="I14" s="175">
        <f t="shared" ref="I14:L14" si="1">CHOOSE($B$10,I15,I16,I17)</f>
        <v>3.5000000000000003E-2</v>
      </c>
      <c r="J14" s="175">
        <f t="shared" si="1"/>
        <v>0.03</v>
      </c>
      <c r="K14" s="175">
        <f t="shared" si="1"/>
        <v>0.02</v>
      </c>
      <c r="L14" s="175">
        <f t="shared" si="1"/>
        <v>0.02</v>
      </c>
      <c r="N14" t="s">
        <v>323</v>
      </c>
    </row>
    <row r="15" spans="1:14" ht="15" x14ac:dyDescent="0.35">
      <c r="B15" s="176"/>
      <c r="C15" s="61"/>
      <c r="D15" s="129"/>
      <c r="E15" s="149"/>
      <c r="F15" s="105" t="s">
        <v>164</v>
      </c>
      <c r="G15" s="129"/>
      <c r="H15" s="148">
        <v>0.04</v>
      </c>
      <c r="I15" s="148">
        <v>3.5000000000000003E-2</v>
      </c>
      <c r="J15" s="148">
        <v>0.03</v>
      </c>
      <c r="K15" s="148">
        <v>0.02</v>
      </c>
      <c r="L15" s="148">
        <v>0.02</v>
      </c>
    </row>
    <row r="16" spans="1:14" ht="15" x14ac:dyDescent="0.35">
      <c r="B16" s="176"/>
      <c r="C16" s="61"/>
      <c r="D16" s="61"/>
      <c r="E16" s="155"/>
      <c r="F16" s="105" t="s">
        <v>172</v>
      </c>
      <c r="G16" s="156"/>
      <c r="H16" s="148">
        <v>3.5000000000000003E-2</v>
      </c>
      <c r="I16" s="148">
        <v>0.03</v>
      </c>
      <c r="J16" s="148">
        <v>2.5000000000000001E-2</v>
      </c>
      <c r="K16" s="148">
        <v>0.02</v>
      </c>
      <c r="L16" s="148">
        <v>0.02</v>
      </c>
    </row>
    <row r="17" spans="2:14" ht="15" x14ac:dyDescent="0.35">
      <c r="B17" s="176"/>
      <c r="C17" s="61"/>
      <c r="D17" s="61"/>
      <c r="E17" s="155"/>
      <c r="F17" s="105" t="s">
        <v>173</v>
      </c>
      <c r="G17" s="156"/>
      <c r="H17" s="148">
        <v>0.04</v>
      </c>
      <c r="I17" s="148">
        <v>0.05</v>
      </c>
      <c r="J17" s="148">
        <v>4.4999999999999998E-2</v>
      </c>
      <c r="K17" s="148">
        <v>3.5000000000000003E-2</v>
      </c>
      <c r="L17" s="148">
        <v>0.03</v>
      </c>
    </row>
    <row r="18" spans="2:14" ht="15" x14ac:dyDescent="0.35">
      <c r="B18" s="176"/>
      <c r="C18" s="61"/>
      <c r="D18" s="61"/>
      <c r="E18" s="155"/>
      <c r="F18" s="155"/>
      <c r="G18" s="156"/>
      <c r="H18" s="163"/>
      <c r="I18" s="163"/>
      <c r="J18" s="163"/>
      <c r="K18" s="163"/>
      <c r="L18" s="163"/>
    </row>
    <row r="19" spans="2:14" ht="15" x14ac:dyDescent="0.35">
      <c r="B19" s="183" t="s">
        <v>113</v>
      </c>
      <c r="C19" s="61"/>
      <c r="D19" s="61"/>
      <c r="E19" s="61"/>
      <c r="F19" s="174" t="s">
        <v>171</v>
      </c>
      <c r="G19" s="149"/>
      <c r="H19" s="175">
        <f>CHOOSE($B$10,H20,H21,H22)</f>
        <v>3.5000000000000003E-2</v>
      </c>
      <c r="I19" s="175">
        <f t="shared" ref="I19" si="2">CHOOSE($B$10,I20,I21,I22)</f>
        <v>0.03</v>
      </c>
      <c r="J19" s="175">
        <f t="shared" ref="J19" si="3">CHOOSE($B$10,J20,J21,J22)</f>
        <v>0.03</v>
      </c>
      <c r="K19" s="175">
        <f t="shared" ref="K19" si="4">CHOOSE($B$10,K20,K21,K22)</f>
        <v>0.03</v>
      </c>
      <c r="L19" s="175">
        <f t="shared" ref="L19" si="5">CHOOSE($B$10,L20,L21,L22)</f>
        <v>0.03</v>
      </c>
      <c r="N19" t="s">
        <v>324</v>
      </c>
    </row>
    <row r="20" spans="2:14" ht="15" x14ac:dyDescent="0.35">
      <c r="B20" s="176"/>
      <c r="C20" s="61"/>
      <c r="D20" s="129"/>
      <c r="E20" s="149"/>
      <c r="F20" s="105" t="s">
        <v>164</v>
      </c>
      <c r="G20" s="129"/>
      <c r="H20" s="148">
        <v>3.5000000000000003E-2</v>
      </c>
      <c r="I20" s="148">
        <v>0.03</v>
      </c>
      <c r="J20" s="148">
        <v>0.03</v>
      </c>
      <c r="K20" s="148">
        <v>0.03</v>
      </c>
      <c r="L20" s="148">
        <v>0.03</v>
      </c>
    </row>
    <row r="21" spans="2:14" ht="15" x14ac:dyDescent="0.35">
      <c r="B21" s="176"/>
      <c r="C21" s="61"/>
      <c r="D21" s="61"/>
      <c r="E21" s="155"/>
      <c r="F21" s="105" t="s">
        <v>165</v>
      </c>
      <c r="G21" s="156"/>
      <c r="H21" s="148">
        <v>0.03</v>
      </c>
      <c r="I21" s="148">
        <v>2.5000000000000001E-2</v>
      </c>
      <c r="J21" s="148">
        <v>0.02</v>
      </c>
      <c r="K21" s="148">
        <v>0.02</v>
      </c>
      <c r="L21" s="148">
        <v>0.02</v>
      </c>
    </row>
    <row r="22" spans="2:14" ht="15" x14ac:dyDescent="0.35">
      <c r="B22" s="176"/>
      <c r="C22" s="61"/>
      <c r="D22" s="61"/>
      <c r="E22" s="155"/>
      <c r="F22" s="105" t="s">
        <v>166</v>
      </c>
      <c r="G22" s="156"/>
      <c r="H22" s="148">
        <v>3.5000000000000003E-2</v>
      </c>
      <c r="I22" s="148">
        <v>4.4999999999999998E-2</v>
      </c>
      <c r="J22" s="148">
        <v>4.4999999999999998E-2</v>
      </c>
      <c r="K22" s="148">
        <v>0.04</v>
      </c>
      <c r="L22" s="148">
        <v>0.03</v>
      </c>
    </row>
    <row r="23" spans="2:14" ht="15" x14ac:dyDescent="0.35">
      <c r="B23" s="176"/>
      <c r="C23" s="61"/>
      <c r="D23" s="61"/>
      <c r="E23" s="419"/>
      <c r="F23" s="105"/>
      <c r="G23" s="420"/>
      <c r="H23" s="163"/>
      <c r="I23" s="163"/>
      <c r="J23" s="163"/>
      <c r="K23" s="163"/>
      <c r="L23" s="163"/>
    </row>
    <row r="24" spans="2:14" ht="15" x14ac:dyDescent="0.35">
      <c r="B24" s="63" t="s">
        <v>229</v>
      </c>
      <c r="C24" s="61"/>
      <c r="D24" s="61"/>
      <c r="E24" s="61"/>
      <c r="F24" s="174" t="s">
        <v>171</v>
      </c>
      <c r="G24" s="149"/>
      <c r="H24" s="175">
        <f>CHOOSE($B$10,H25,H26,H27)</f>
        <v>3.5000000000000003E-2</v>
      </c>
      <c r="I24" s="175">
        <f t="shared" ref="I24:L24" si="6">CHOOSE($B$10,I25,I26,I27)</f>
        <v>0.03</v>
      </c>
      <c r="J24" s="175">
        <f t="shared" si="6"/>
        <v>0.03</v>
      </c>
      <c r="K24" s="175">
        <f t="shared" si="6"/>
        <v>0.03</v>
      </c>
      <c r="L24" s="175">
        <f t="shared" si="6"/>
        <v>0.03</v>
      </c>
    </row>
    <row r="25" spans="2:14" ht="15" x14ac:dyDescent="0.35">
      <c r="B25" s="176"/>
      <c r="C25" s="61"/>
      <c r="D25" s="129"/>
      <c r="E25" s="149"/>
      <c r="F25" s="105" t="s">
        <v>164</v>
      </c>
      <c r="G25" s="129"/>
      <c r="H25" s="148">
        <v>3.5000000000000003E-2</v>
      </c>
      <c r="I25" s="148">
        <v>0.03</v>
      </c>
      <c r="J25" s="148">
        <v>0.03</v>
      </c>
      <c r="K25" s="148">
        <v>0.03</v>
      </c>
      <c r="L25" s="148">
        <v>0.03</v>
      </c>
    </row>
    <row r="26" spans="2:14" ht="15" x14ac:dyDescent="0.35">
      <c r="B26" s="176"/>
      <c r="C26" s="61"/>
      <c r="D26" s="61"/>
      <c r="E26" s="155"/>
      <c r="F26" s="105" t="s">
        <v>165</v>
      </c>
      <c r="G26" s="156"/>
      <c r="H26" s="148">
        <v>0.03</v>
      </c>
      <c r="I26" s="148">
        <v>2.5000000000000001E-2</v>
      </c>
      <c r="J26" s="148">
        <v>0.02</v>
      </c>
      <c r="K26" s="148">
        <v>0.02</v>
      </c>
      <c r="L26" s="148">
        <v>0.02</v>
      </c>
    </row>
    <row r="27" spans="2:14" ht="15" x14ac:dyDescent="0.35">
      <c r="B27" s="176"/>
      <c r="C27" s="61"/>
      <c r="D27" s="61"/>
      <c r="E27" s="155"/>
      <c r="F27" s="105" t="s">
        <v>166</v>
      </c>
      <c r="G27" s="156"/>
      <c r="H27" s="148">
        <v>3.5000000000000003E-2</v>
      </c>
      <c r="I27" s="148">
        <v>4.4999999999999998E-2</v>
      </c>
      <c r="J27" s="148">
        <v>4.4999999999999998E-2</v>
      </c>
      <c r="K27" s="148">
        <v>0.04</v>
      </c>
      <c r="L27" s="148">
        <v>0.03</v>
      </c>
    </row>
    <row r="28" spans="2:14" ht="15" x14ac:dyDescent="0.35">
      <c r="B28" s="167"/>
      <c r="C28" s="65"/>
      <c r="D28" s="65"/>
      <c r="E28" s="168"/>
      <c r="F28" s="168"/>
      <c r="G28" s="168"/>
      <c r="H28" s="169"/>
      <c r="I28" s="169"/>
      <c r="J28" s="169"/>
      <c r="K28" s="169"/>
      <c r="L28" s="169"/>
    </row>
    <row r="29" spans="2:14" ht="15" x14ac:dyDescent="0.35">
      <c r="B29" s="104"/>
      <c r="C29" s="61"/>
      <c r="D29" s="61"/>
      <c r="E29" s="155"/>
      <c r="F29" s="155"/>
      <c r="G29" s="155"/>
      <c r="H29" s="161"/>
      <c r="I29" s="161"/>
      <c r="J29" s="161"/>
      <c r="K29" s="161"/>
      <c r="L29" s="161"/>
    </row>
    <row r="30" spans="2:14" ht="15" x14ac:dyDescent="0.35">
      <c r="B30" s="170" t="s">
        <v>168</v>
      </c>
      <c r="C30" s="171"/>
      <c r="D30" s="171"/>
      <c r="E30" s="171"/>
      <c r="F30" s="172"/>
      <c r="G30" s="173"/>
      <c r="H30" s="173"/>
      <c r="I30" s="171"/>
      <c r="J30" s="171"/>
      <c r="K30" s="171"/>
      <c r="L30" s="171"/>
    </row>
    <row r="31" spans="2:14" ht="15" x14ac:dyDescent="0.35">
      <c r="B31" s="104"/>
      <c r="C31" s="61"/>
      <c r="D31" s="129"/>
      <c r="E31" s="149"/>
      <c r="F31" s="149"/>
      <c r="G31" s="129"/>
      <c r="H31" s="157"/>
      <c r="I31" s="157"/>
      <c r="J31" s="157"/>
      <c r="K31" s="157"/>
      <c r="L31" s="157"/>
    </row>
    <row r="32" spans="2:14" ht="15" x14ac:dyDescent="0.35">
      <c r="B32" s="63" t="s">
        <v>215</v>
      </c>
      <c r="C32" s="61"/>
      <c r="D32" s="61"/>
      <c r="E32" s="155"/>
      <c r="F32" s="174" t="s">
        <v>171</v>
      </c>
      <c r="G32" s="156"/>
      <c r="H32" s="406">
        <f t="shared" ref="H32:L32" si="7">CHOOSE($B$10,H33,H34,H35)</f>
        <v>1000000</v>
      </c>
      <c r="I32" s="406">
        <f t="shared" si="7"/>
        <v>1000000</v>
      </c>
      <c r="J32" s="406">
        <f t="shared" si="7"/>
        <v>1000000</v>
      </c>
      <c r="K32" s="406">
        <f t="shared" si="7"/>
        <v>1000000</v>
      </c>
      <c r="L32" s="406">
        <f t="shared" si="7"/>
        <v>1000000</v>
      </c>
    </row>
    <row r="33" spans="2:14" ht="15" x14ac:dyDescent="0.35">
      <c r="B33" s="104"/>
      <c r="C33" s="61"/>
      <c r="D33" s="61"/>
      <c r="E33" s="155"/>
      <c r="F33" s="105" t="s">
        <v>164</v>
      </c>
      <c r="G33" s="156"/>
      <c r="H33" s="407">
        <v>1000000</v>
      </c>
      <c r="I33" s="407">
        <v>1000000</v>
      </c>
      <c r="J33" s="407">
        <v>1000000</v>
      </c>
      <c r="K33" s="407">
        <v>1000000</v>
      </c>
      <c r="L33" s="407">
        <v>1000000</v>
      </c>
    </row>
    <row r="34" spans="2:14" ht="15" x14ac:dyDescent="0.35">
      <c r="B34" s="104"/>
      <c r="C34" s="61"/>
      <c r="D34" s="61"/>
      <c r="E34" s="61"/>
      <c r="F34" s="105" t="s">
        <v>165</v>
      </c>
      <c r="G34" s="129"/>
      <c r="H34" s="407">
        <v>1000000</v>
      </c>
      <c r="I34" s="407">
        <v>1500000</v>
      </c>
      <c r="J34" s="407">
        <v>2000000</v>
      </c>
      <c r="K34" s="407">
        <v>2000000</v>
      </c>
      <c r="L34" s="407">
        <v>2000000</v>
      </c>
    </row>
    <row r="35" spans="2:14" ht="15" x14ac:dyDescent="0.35">
      <c r="B35" s="104"/>
      <c r="C35" s="61"/>
      <c r="D35" s="61"/>
      <c r="E35" s="61"/>
      <c r="F35" s="105" t="s">
        <v>166</v>
      </c>
      <c r="G35" s="129"/>
      <c r="H35" s="407">
        <v>500000</v>
      </c>
      <c r="I35" s="407">
        <v>500000</v>
      </c>
      <c r="J35" s="407">
        <v>500000</v>
      </c>
      <c r="K35" s="407">
        <v>500000</v>
      </c>
      <c r="L35" s="407">
        <v>500000</v>
      </c>
    </row>
    <row r="36" spans="2:14" ht="15" x14ac:dyDescent="0.35">
      <c r="B36" s="104"/>
      <c r="C36" s="61"/>
      <c r="D36" s="129"/>
      <c r="E36" s="149"/>
      <c r="F36" s="149"/>
      <c r="G36" s="129"/>
      <c r="H36" s="157"/>
      <c r="I36" s="157"/>
      <c r="J36" s="157"/>
      <c r="K36" s="157"/>
      <c r="L36" s="157"/>
    </row>
    <row r="37" spans="2:14" ht="15" x14ac:dyDescent="0.35">
      <c r="B37" s="63" t="s">
        <v>216</v>
      </c>
      <c r="C37" s="61"/>
      <c r="D37" s="61"/>
      <c r="E37" s="155"/>
      <c r="F37" s="174" t="s">
        <v>171</v>
      </c>
      <c r="G37" s="156"/>
      <c r="H37" s="406">
        <f t="shared" ref="H37:L37" si="8">CHOOSE($B$10,H38,H39,H40)</f>
        <v>-2500000</v>
      </c>
      <c r="I37" s="406">
        <f t="shared" si="8"/>
        <v>-2000000</v>
      </c>
      <c r="J37" s="406">
        <f t="shared" si="8"/>
        <v>-1500000</v>
      </c>
      <c r="K37" s="406">
        <f t="shared" si="8"/>
        <v>-1250000</v>
      </c>
      <c r="L37" s="406">
        <f t="shared" si="8"/>
        <v>-1000000</v>
      </c>
    </row>
    <row r="38" spans="2:14" ht="15" x14ac:dyDescent="0.35">
      <c r="B38" s="104"/>
      <c r="C38" s="61"/>
      <c r="D38" s="61"/>
      <c r="E38" s="155"/>
      <c r="F38" s="105" t="s">
        <v>164</v>
      </c>
      <c r="G38" s="156"/>
      <c r="H38" s="407">
        <v>-2500000</v>
      </c>
      <c r="I38" s="407">
        <v>-2000000</v>
      </c>
      <c r="J38" s="407">
        <v>-1500000</v>
      </c>
      <c r="K38" s="407">
        <v>-1250000</v>
      </c>
      <c r="L38" s="407">
        <v>-1000000</v>
      </c>
      <c r="N38" t="s">
        <v>325</v>
      </c>
    </row>
    <row r="39" spans="2:14" ht="15" x14ac:dyDescent="0.35">
      <c r="B39" s="104"/>
      <c r="C39" s="61"/>
      <c r="D39" s="61"/>
      <c r="E39" s="61"/>
      <c r="F39" s="105" t="s">
        <v>165</v>
      </c>
      <c r="G39" s="129"/>
      <c r="H39" s="407">
        <v>-1500000</v>
      </c>
      <c r="I39" s="407">
        <v>-1000000</v>
      </c>
      <c r="J39" s="407">
        <v>-500000</v>
      </c>
      <c r="K39" s="407">
        <v>-500000</v>
      </c>
      <c r="L39" s="407">
        <v>-500000</v>
      </c>
    </row>
    <row r="40" spans="2:14" ht="15" x14ac:dyDescent="0.35">
      <c r="B40" s="104"/>
      <c r="C40" s="61"/>
      <c r="D40" s="61"/>
      <c r="E40" s="61"/>
      <c r="F40" s="105" t="s">
        <v>166</v>
      </c>
      <c r="G40" s="129"/>
      <c r="H40" s="407">
        <v>-4000000</v>
      </c>
      <c r="I40" s="407">
        <v>-3000000</v>
      </c>
      <c r="J40" s="407">
        <v>-2000000</v>
      </c>
      <c r="K40" s="407">
        <v>-1000000</v>
      </c>
      <c r="L40" s="407">
        <v>-1000000</v>
      </c>
    </row>
    <row r="41" spans="2:14" ht="15" x14ac:dyDescent="0.35">
      <c r="B41" s="104"/>
      <c r="C41" s="61"/>
      <c r="D41" s="129"/>
      <c r="E41" s="149"/>
      <c r="F41" s="149"/>
      <c r="G41" s="129"/>
      <c r="H41" s="157"/>
      <c r="I41" s="157"/>
      <c r="J41" s="157"/>
      <c r="K41" s="157"/>
      <c r="L41" s="157"/>
    </row>
    <row r="42" spans="2:14" ht="15" x14ac:dyDescent="0.35">
      <c r="B42" s="63" t="s">
        <v>212</v>
      </c>
      <c r="C42" s="61"/>
      <c r="D42" s="61"/>
      <c r="E42" s="155"/>
      <c r="F42" s="174" t="s">
        <v>171</v>
      </c>
      <c r="G42" s="156"/>
      <c r="H42" s="403">
        <f t="shared" ref="H42:L42" si="9">CHOOSE($B$10,H43,H44,H45)</f>
        <v>3.3529411764705883</v>
      </c>
      <c r="I42" s="403">
        <f t="shared" si="9"/>
        <v>3.3529411764705883</v>
      </c>
      <c r="J42" s="403">
        <f t="shared" si="9"/>
        <v>3.3529411764705883</v>
      </c>
      <c r="K42" s="403">
        <f t="shared" si="9"/>
        <v>3.3529411764705883</v>
      </c>
      <c r="L42" s="403">
        <f t="shared" si="9"/>
        <v>3.3529411764705883</v>
      </c>
    </row>
    <row r="43" spans="2:14" ht="15" x14ac:dyDescent="0.35">
      <c r="B43" s="104"/>
      <c r="C43" s="61"/>
      <c r="D43" s="61"/>
      <c r="E43" s="155"/>
      <c r="F43" s="105" t="s">
        <v>164</v>
      </c>
      <c r="G43" s="156"/>
      <c r="H43" s="404">
        <v>3.3529411764705883</v>
      </c>
      <c r="I43" s="404">
        <v>3.3529411764705883</v>
      </c>
      <c r="J43" s="404">
        <v>3.3529411764705883</v>
      </c>
      <c r="K43" s="404">
        <v>3.3529411764705883</v>
      </c>
      <c r="L43" s="404">
        <v>3.3529411764705883</v>
      </c>
    </row>
    <row r="44" spans="2:14" ht="15" x14ac:dyDescent="0.35">
      <c r="B44" s="104"/>
      <c r="C44" s="61"/>
      <c r="D44" s="61"/>
      <c r="E44" s="61"/>
      <c r="F44" s="105" t="s">
        <v>165</v>
      </c>
      <c r="G44" s="129"/>
      <c r="H44" s="404">
        <v>3.35</v>
      </c>
      <c r="I44" s="404">
        <v>3.5</v>
      </c>
      <c r="J44" s="404">
        <v>3.75</v>
      </c>
      <c r="K44" s="404">
        <v>3.75</v>
      </c>
      <c r="L44" s="404">
        <v>3.75</v>
      </c>
    </row>
    <row r="45" spans="2:14" ht="15" x14ac:dyDescent="0.35">
      <c r="B45" s="104"/>
      <c r="C45" s="61"/>
      <c r="D45" s="61"/>
      <c r="E45" s="61"/>
      <c r="F45" s="105" t="s">
        <v>166</v>
      </c>
      <c r="G45" s="129"/>
      <c r="H45" s="404">
        <v>3.25</v>
      </c>
      <c r="I45" s="404">
        <v>3.1</v>
      </c>
      <c r="J45" s="404">
        <v>3</v>
      </c>
      <c r="K45" s="404">
        <v>3</v>
      </c>
      <c r="L45" s="404">
        <v>3</v>
      </c>
    </row>
    <row r="46" spans="2:14" ht="15" x14ac:dyDescent="0.35">
      <c r="B46" s="61"/>
      <c r="C46" s="61"/>
      <c r="D46" s="61"/>
      <c r="E46" s="61"/>
      <c r="F46" s="158"/>
      <c r="G46" s="159"/>
      <c r="H46" s="159"/>
      <c r="I46" s="159"/>
      <c r="J46" s="159"/>
      <c r="K46" s="61"/>
      <c r="L46" s="61"/>
    </row>
    <row r="47" spans="2:14" ht="15" x14ac:dyDescent="0.35">
      <c r="B47" s="104"/>
      <c r="C47" s="61"/>
      <c r="D47" s="61"/>
      <c r="E47" s="61"/>
      <c r="F47" s="105"/>
      <c r="G47" s="162"/>
      <c r="H47" s="108"/>
      <c r="I47" s="108"/>
      <c r="J47" s="108"/>
      <c r="K47" s="108"/>
      <c r="L47" s="108"/>
    </row>
    <row r="48" spans="2:14" ht="15" x14ac:dyDescent="0.35">
      <c r="B48" s="105"/>
      <c r="C48" s="61"/>
      <c r="D48" s="61"/>
      <c r="E48" s="61"/>
      <c r="F48" s="105"/>
      <c r="G48" s="163"/>
      <c r="H48" s="108"/>
      <c r="I48" s="108"/>
      <c r="J48" s="108"/>
      <c r="K48" s="108"/>
      <c r="L48" s="108"/>
    </row>
    <row r="49" spans="2:12" x14ac:dyDescent="0.3">
      <c r="B49" s="41"/>
      <c r="C49" s="41"/>
      <c r="D49" s="41"/>
      <c r="E49" s="41"/>
      <c r="F49" s="411"/>
      <c r="G49" s="412"/>
      <c r="H49" s="412"/>
      <c r="I49" s="412"/>
      <c r="J49" s="412"/>
    </row>
    <row r="50" spans="2:12" ht="15" x14ac:dyDescent="0.35">
      <c r="B50" s="61"/>
      <c r="C50" s="61"/>
      <c r="D50" s="61"/>
      <c r="E50" s="61"/>
      <c r="F50" s="408"/>
      <c r="G50" s="409"/>
      <c r="H50" s="410"/>
      <c r="I50" s="410"/>
      <c r="J50" s="410"/>
      <c r="K50" s="410"/>
      <c r="L50" s="410"/>
    </row>
    <row r="51" spans="2:12" ht="15" x14ac:dyDescent="0.35">
      <c r="B51" s="104"/>
      <c r="C51" s="61"/>
      <c r="D51" s="61"/>
      <c r="E51" s="61"/>
      <c r="F51" s="105"/>
      <c r="G51" s="160"/>
      <c r="H51" s="413"/>
      <c r="I51" s="413"/>
      <c r="J51" s="413"/>
      <c r="K51" s="413"/>
      <c r="L51" s="413"/>
    </row>
    <row r="52" spans="2:12" ht="15" x14ac:dyDescent="0.35">
      <c r="B52" s="104"/>
      <c r="C52" s="61"/>
      <c r="D52" s="61"/>
      <c r="E52" s="61"/>
      <c r="F52" s="105"/>
      <c r="G52" s="162"/>
      <c r="H52" s="413"/>
      <c r="I52" s="413"/>
      <c r="J52" s="413"/>
      <c r="K52" s="413"/>
      <c r="L52" s="413"/>
    </row>
    <row r="53" spans="2:12" ht="15" x14ac:dyDescent="0.35">
      <c r="B53" s="104"/>
      <c r="C53" s="61"/>
      <c r="D53" s="61"/>
      <c r="E53" s="61"/>
      <c r="F53" s="105"/>
      <c r="G53" s="163"/>
      <c r="H53" s="413"/>
      <c r="I53" s="413"/>
      <c r="J53" s="413"/>
      <c r="K53" s="413"/>
      <c r="L53" s="413"/>
    </row>
    <row r="54" spans="2:12" x14ac:dyDescent="0.3">
      <c r="B54" s="41"/>
      <c r="C54" s="41"/>
      <c r="D54" s="41"/>
      <c r="E54" s="41"/>
      <c r="F54" s="414"/>
      <c r="G54" s="414"/>
      <c r="H54" s="414"/>
      <c r="I54" s="414"/>
      <c r="J54" s="414"/>
    </row>
    <row r="55" spans="2:12" ht="15" x14ac:dyDescent="0.35">
      <c r="B55" s="183"/>
      <c r="C55" s="61"/>
      <c r="D55" s="61"/>
      <c r="E55" s="61"/>
      <c r="F55" s="408"/>
      <c r="G55" s="409"/>
      <c r="H55" s="410"/>
      <c r="I55" s="410"/>
      <c r="J55" s="410"/>
      <c r="K55" s="410"/>
      <c r="L55" s="410"/>
    </row>
    <row r="56" spans="2:12" ht="15" x14ac:dyDescent="0.35">
      <c r="B56" s="104"/>
      <c r="C56" s="61"/>
      <c r="D56" s="61"/>
      <c r="E56" s="61"/>
      <c r="F56" s="105"/>
      <c r="G56" s="160"/>
      <c r="H56" s="108"/>
      <c r="I56" s="108"/>
      <c r="J56" s="108"/>
      <c r="K56" s="108"/>
      <c r="L56" s="108"/>
    </row>
    <row r="57" spans="2:12" ht="15" x14ac:dyDescent="0.35">
      <c r="B57" s="104"/>
      <c r="C57" s="61"/>
      <c r="D57" s="61"/>
      <c r="E57" s="61"/>
      <c r="F57" s="105"/>
      <c r="G57" s="162"/>
      <c r="H57" s="108"/>
      <c r="I57" s="108"/>
      <c r="J57" s="108"/>
      <c r="K57" s="108"/>
      <c r="L57" s="108"/>
    </row>
    <row r="58" spans="2:12" ht="15" x14ac:dyDescent="0.35">
      <c r="B58" s="104"/>
      <c r="C58" s="61"/>
      <c r="D58" s="61"/>
      <c r="E58" s="61"/>
      <c r="F58" s="105"/>
      <c r="G58" s="163"/>
      <c r="H58" s="108"/>
      <c r="I58" s="108"/>
      <c r="J58" s="108"/>
      <c r="K58" s="108"/>
      <c r="L58" s="108"/>
    </row>
    <row r="59" spans="2:12" x14ac:dyDescent="0.3">
      <c r="F59" s="19"/>
      <c r="G59" s="19"/>
      <c r="H59" s="19"/>
      <c r="I59" s="19"/>
      <c r="J59" s="19"/>
    </row>
    <row r="60" spans="2:12" x14ac:dyDescent="0.3">
      <c r="B60" s="41"/>
      <c r="F60" s="14"/>
      <c r="G60" s="14"/>
      <c r="H60" s="14"/>
      <c r="I60" s="14"/>
      <c r="J60" s="14"/>
    </row>
    <row r="61" spans="2:12" x14ac:dyDescent="0.3">
      <c r="F61" s="17"/>
      <c r="G61" s="17"/>
      <c r="H61" s="17"/>
      <c r="I61" s="17"/>
      <c r="J61" s="17"/>
    </row>
    <row r="62" spans="2:12" x14ac:dyDescent="0.3">
      <c r="F62" s="6"/>
      <c r="G62" s="6"/>
      <c r="H62" s="6"/>
    </row>
    <row r="63" spans="2:12" x14ac:dyDescent="0.3">
      <c r="F63" s="19"/>
      <c r="G63" s="19"/>
      <c r="H63" s="19"/>
      <c r="I63" s="19"/>
      <c r="J63" s="19"/>
    </row>
    <row r="64" spans="2:12" x14ac:dyDescent="0.3">
      <c r="F64" s="18"/>
      <c r="G64" s="18"/>
      <c r="H64" s="18"/>
      <c r="I64" s="18"/>
      <c r="J64" s="18"/>
    </row>
    <row r="65" spans="6:10" x14ac:dyDescent="0.3">
      <c r="F65" s="24"/>
      <c r="G65" s="24"/>
      <c r="H65" s="24"/>
      <c r="I65" s="24"/>
      <c r="J65" s="24"/>
    </row>
    <row r="66" spans="6:10" x14ac:dyDescent="0.3">
      <c r="F66" s="18"/>
      <c r="G66" s="18"/>
      <c r="H66" s="18"/>
    </row>
    <row r="67" spans="6:10" x14ac:dyDescent="0.3">
      <c r="F67" s="18"/>
      <c r="G67" s="18"/>
      <c r="H67" s="18"/>
      <c r="I67" s="18"/>
      <c r="J67" s="18"/>
    </row>
    <row r="68" spans="6:10" x14ac:dyDescent="0.3">
      <c r="F68" s="18"/>
      <c r="G68" s="18"/>
      <c r="H68" s="18"/>
      <c r="I68" s="18"/>
      <c r="J68" s="18"/>
    </row>
    <row r="69" spans="6:10" x14ac:dyDescent="0.3">
      <c r="F69" s="12"/>
      <c r="G69" s="12"/>
      <c r="H69" s="12"/>
      <c r="I69" s="12"/>
      <c r="J69" s="12"/>
    </row>
    <row r="70" spans="6:10" x14ac:dyDescent="0.3">
      <c r="F70" s="18"/>
      <c r="G70" s="18"/>
      <c r="H70" s="18"/>
    </row>
    <row r="71" spans="6:10" x14ac:dyDescent="0.3">
      <c r="F71" s="18"/>
      <c r="G71" s="18"/>
      <c r="H71" s="18"/>
      <c r="I71" s="18"/>
      <c r="J71" s="18"/>
    </row>
    <row r="72" spans="6:10" x14ac:dyDescent="0.3">
      <c r="F72" s="24"/>
      <c r="G72" s="24"/>
      <c r="H72" s="24"/>
      <c r="I72" s="24"/>
      <c r="J72" s="24"/>
    </row>
    <row r="73" spans="6:10" x14ac:dyDescent="0.3">
      <c r="F73" s="12"/>
      <c r="G73" s="12"/>
      <c r="H73" s="12"/>
      <c r="I73" s="12"/>
      <c r="J73" s="12"/>
    </row>
    <row r="74" spans="6:10" x14ac:dyDescent="0.3">
      <c r="F74" s="12"/>
      <c r="G74" s="12"/>
      <c r="H74" s="12"/>
      <c r="I74" s="12"/>
      <c r="J74" s="12"/>
    </row>
    <row r="75" spans="6:10" x14ac:dyDescent="0.3">
      <c r="F75" s="18"/>
      <c r="G75" s="18"/>
      <c r="H75" s="18"/>
      <c r="I75" s="18"/>
      <c r="J75" s="18"/>
    </row>
    <row r="76" spans="6:10" x14ac:dyDescent="0.3">
      <c r="F76" s="12"/>
      <c r="G76" s="12"/>
      <c r="H76" s="12"/>
      <c r="I76" s="12"/>
      <c r="J76" s="12"/>
    </row>
    <row r="77" spans="6:10" x14ac:dyDescent="0.3">
      <c r="F77" s="12"/>
      <c r="G77" s="12"/>
      <c r="H77" s="12"/>
      <c r="I77" s="12"/>
      <c r="J77" s="12"/>
    </row>
    <row r="78" spans="6:10" x14ac:dyDescent="0.3">
      <c r="F78" s="18"/>
      <c r="G78" s="18"/>
      <c r="H78" s="22"/>
      <c r="I78" s="23"/>
      <c r="J78" s="23"/>
    </row>
    <row r="79" spans="6:10" x14ac:dyDescent="0.3">
      <c r="F79" s="20"/>
      <c r="G79" s="20"/>
      <c r="H79" s="20"/>
      <c r="I79" s="21"/>
      <c r="J79" s="23"/>
    </row>
    <row r="80" spans="6:10" x14ac:dyDescent="0.3">
      <c r="F80" s="15"/>
      <c r="G80" s="15"/>
      <c r="H80" s="15"/>
      <c r="I80" s="15"/>
      <c r="J80" s="15"/>
    </row>
    <row r="81" spans="2:10" x14ac:dyDescent="0.3">
      <c r="F81" s="15"/>
      <c r="G81" s="15"/>
      <c r="H81" s="15"/>
    </row>
    <row r="82" spans="2:10" x14ac:dyDescent="0.3">
      <c r="F82" s="13"/>
      <c r="G82" s="13"/>
      <c r="H82" s="13"/>
      <c r="I82" s="13"/>
      <c r="J82" s="13"/>
    </row>
    <row r="83" spans="2:10" x14ac:dyDescent="0.3">
      <c r="F83" s="12"/>
      <c r="G83" s="12"/>
      <c r="H83" s="12"/>
      <c r="I83" s="12"/>
      <c r="J83" s="12"/>
    </row>
    <row r="84" spans="2:10" x14ac:dyDescent="0.3">
      <c r="F84" s="12"/>
      <c r="G84" s="12"/>
      <c r="H84" s="12"/>
      <c r="I84" s="12"/>
      <c r="J84" s="12"/>
    </row>
    <row r="85" spans="2:10" x14ac:dyDescent="0.3">
      <c r="F85" s="13"/>
      <c r="G85" s="13"/>
      <c r="H85" s="13"/>
    </row>
    <row r="86" spans="2:10" x14ac:dyDescent="0.3">
      <c r="F86" s="14"/>
      <c r="G86" s="14"/>
      <c r="H86" s="14"/>
      <c r="I86" s="14"/>
      <c r="J86" s="14"/>
    </row>
    <row r="87" spans="2:10" x14ac:dyDescent="0.3">
      <c r="F87" s="15"/>
      <c r="G87" s="15"/>
      <c r="H87" s="15"/>
      <c r="I87" s="15"/>
      <c r="J87" s="15"/>
    </row>
    <row r="88" spans="2:10" x14ac:dyDescent="0.3">
      <c r="F88" s="15"/>
      <c r="G88" s="15"/>
      <c r="H88" s="15"/>
      <c r="I88" s="15"/>
      <c r="J88" s="15"/>
    </row>
    <row r="89" spans="2:10" x14ac:dyDescent="0.3">
      <c r="F89" s="23"/>
      <c r="G89" s="23"/>
      <c r="H89" s="23"/>
      <c r="I89" s="23"/>
      <c r="J89" s="23"/>
    </row>
    <row r="90" spans="2:10" x14ac:dyDescent="0.3">
      <c r="F90" s="15"/>
      <c r="G90" s="15"/>
      <c r="H90" s="15"/>
      <c r="I90" s="15"/>
      <c r="J90" s="15"/>
    </row>
    <row r="91" spans="2:10" x14ac:dyDescent="0.3">
      <c r="F91" s="13"/>
      <c r="G91" s="13"/>
      <c r="H91" s="13"/>
      <c r="I91" s="13"/>
      <c r="J91" s="13"/>
    </row>
    <row r="92" spans="2:10" x14ac:dyDescent="0.3">
      <c r="B92" s="5"/>
      <c r="F92" s="6"/>
      <c r="G92" s="6"/>
      <c r="H92" s="6"/>
    </row>
    <row r="93" spans="2:10" x14ac:dyDescent="0.3">
      <c r="B93" s="5"/>
      <c r="F93" s="6"/>
      <c r="G93" s="6"/>
      <c r="H93" s="6"/>
    </row>
    <row r="94" spans="2:10" x14ac:dyDescent="0.3">
      <c r="B94" s="5"/>
      <c r="F94" s="6"/>
      <c r="G94" s="6"/>
      <c r="H94" s="6"/>
    </row>
    <row r="95" spans="2:10" x14ac:dyDescent="0.3">
      <c r="F95" s="6"/>
      <c r="G95" s="6"/>
      <c r="H95" s="6"/>
    </row>
    <row r="96" spans="2:10" x14ac:dyDescent="0.3">
      <c r="F96" s="16"/>
      <c r="G96" s="16"/>
      <c r="H96" s="16"/>
    </row>
    <row r="97" spans="6:10" x14ac:dyDescent="0.3">
      <c r="F97" s="16"/>
      <c r="G97" s="16"/>
      <c r="H97" s="16"/>
      <c r="I97" s="16"/>
      <c r="J97" s="16"/>
    </row>
    <row r="98" spans="6:10" x14ac:dyDescent="0.3">
      <c r="F98" s="16"/>
      <c r="G98" s="16"/>
      <c r="H98" s="16"/>
      <c r="I98" s="16"/>
      <c r="J98" s="16"/>
    </row>
    <row r="99" spans="6:10" x14ac:dyDescent="0.3">
      <c r="F99" s="16"/>
      <c r="G99" s="16"/>
      <c r="H99" s="16"/>
      <c r="I99" s="16"/>
      <c r="J99" s="16"/>
    </row>
    <row r="100" spans="6:10" x14ac:dyDescent="0.3">
      <c r="F100" s="16"/>
      <c r="G100" s="16"/>
      <c r="H100" s="16"/>
      <c r="I100" s="16"/>
      <c r="J100" s="16"/>
    </row>
    <row r="101" spans="6:10" x14ac:dyDescent="0.3">
      <c r="F101" s="16"/>
      <c r="G101" s="16"/>
      <c r="H101" s="16"/>
      <c r="I101" s="16"/>
      <c r="J101" s="16"/>
    </row>
    <row r="102" spans="6:10" x14ac:dyDescent="0.3">
      <c r="F102" s="13"/>
      <c r="G102" s="13"/>
      <c r="H102" s="13"/>
    </row>
    <row r="103" spans="6:10" x14ac:dyDescent="0.3">
      <c r="F103" s="9"/>
      <c r="G103" s="9"/>
      <c r="H103" s="9"/>
    </row>
    <row r="104" spans="6:10" x14ac:dyDescent="0.3">
      <c r="F104" s="16"/>
      <c r="G104" s="16"/>
      <c r="H104" s="16"/>
    </row>
    <row r="105" spans="6:10" x14ac:dyDescent="0.3">
      <c r="F105" s="16"/>
      <c r="G105" s="16"/>
      <c r="H105" s="16"/>
      <c r="I105" s="16"/>
      <c r="J105" s="16"/>
    </row>
    <row r="106" spans="6:10" x14ac:dyDescent="0.3">
      <c r="F106" s="16"/>
      <c r="G106" s="16"/>
      <c r="H106" s="16"/>
      <c r="I106" s="16"/>
      <c r="J106" s="16"/>
    </row>
    <row r="107" spans="6:10" x14ac:dyDescent="0.3">
      <c r="F107" s="16"/>
      <c r="G107" s="16"/>
      <c r="H107" s="16"/>
      <c r="I107" s="16"/>
      <c r="J107" s="16"/>
    </row>
    <row r="108" spans="6:10" x14ac:dyDescent="0.3">
      <c r="F108" s="16"/>
      <c r="G108" s="16"/>
      <c r="H108" s="16"/>
      <c r="I108" s="16"/>
      <c r="J108" s="16"/>
    </row>
    <row r="109" spans="6:10" x14ac:dyDescent="0.3">
      <c r="F109" s="16"/>
      <c r="G109" s="16"/>
      <c r="H109" s="16"/>
      <c r="I109" s="16"/>
      <c r="J109" s="16"/>
    </row>
    <row r="110" spans="6:10" x14ac:dyDescent="0.3">
      <c r="F110" s="14"/>
      <c r="G110" s="14"/>
      <c r="H110" s="14"/>
      <c r="I110" s="14"/>
      <c r="J110" s="14"/>
    </row>
    <row r="111" spans="6:10" x14ac:dyDescent="0.3">
      <c r="F111" s="14"/>
      <c r="G111" s="14"/>
      <c r="H111" s="14"/>
      <c r="I111" s="14"/>
      <c r="J111" s="14"/>
    </row>
    <row r="112" spans="6:10" x14ac:dyDescent="0.3">
      <c r="F112" s="14"/>
      <c r="G112" s="14"/>
      <c r="H112" s="14"/>
      <c r="I112" s="14"/>
      <c r="J112" s="14"/>
    </row>
    <row r="113" spans="2:10" x14ac:dyDescent="0.3">
      <c r="F113" s="14"/>
      <c r="G113" s="14"/>
      <c r="H113" s="14"/>
      <c r="I113" s="14"/>
      <c r="J113" s="14"/>
    </row>
    <row r="114" spans="2:10" x14ac:dyDescent="0.3">
      <c r="F114" s="14"/>
      <c r="G114" s="14"/>
      <c r="H114" s="14"/>
      <c r="I114" s="14"/>
      <c r="J114" s="14"/>
    </row>
    <row r="115" spans="2:10" x14ac:dyDescent="0.3">
      <c r="F115" s="13"/>
      <c r="G115" s="13"/>
      <c r="H115" s="13"/>
    </row>
    <row r="116" spans="2:10" x14ac:dyDescent="0.3">
      <c r="F116" s="12"/>
      <c r="G116" s="12"/>
      <c r="H116" s="12"/>
      <c r="I116" s="12"/>
      <c r="J116" s="12"/>
    </row>
    <row r="117" spans="2:10" x14ac:dyDescent="0.3">
      <c r="F117" s="13"/>
      <c r="G117" s="13"/>
      <c r="H117" s="13"/>
    </row>
    <row r="118" spans="2:10" x14ac:dyDescent="0.3">
      <c r="B118" s="5"/>
      <c r="F118" s="13"/>
      <c r="G118" s="13"/>
      <c r="H118" s="13"/>
    </row>
    <row r="119" spans="2:10" x14ac:dyDescent="0.3">
      <c r="B119" s="5"/>
      <c r="F119" s="13"/>
      <c r="G119" s="13"/>
      <c r="H119" s="13"/>
    </row>
    <row r="120" spans="2:10" x14ac:dyDescent="0.3">
      <c r="F120" s="14"/>
      <c r="G120" s="14"/>
      <c r="H120" s="14"/>
      <c r="I120" s="14"/>
      <c r="J120" s="14"/>
    </row>
    <row r="121" spans="2:10" x14ac:dyDescent="0.3">
      <c r="F121" s="13"/>
      <c r="G121" s="13"/>
      <c r="H121" s="13"/>
      <c r="I121" s="13"/>
      <c r="J121" s="13"/>
    </row>
    <row r="122" spans="2:10" x14ac:dyDescent="0.3">
      <c r="F122" s="13"/>
      <c r="G122" s="13"/>
      <c r="H122" s="13"/>
      <c r="I122" s="13"/>
      <c r="J122" s="13"/>
    </row>
    <row r="123" spans="2:10" x14ac:dyDescent="0.3">
      <c r="F123" s="13"/>
      <c r="G123" s="13"/>
      <c r="H123" s="13"/>
      <c r="I123" s="13"/>
      <c r="J123" s="13"/>
    </row>
    <row r="124" spans="2:10" x14ac:dyDescent="0.3">
      <c r="F124" s="25"/>
      <c r="G124" s="25"/>
      <c r="H124" s="25"/>
      <c r="I124" s="25"/>
      <c r="J124" s="25"/>
    </row>
    <row r="125" spans="2:10" x14ac:dyDescent="0.3">
      <c r="F125" s="12"/>
      <c r="G125" s="25"/>
      <c r="H125" s="25"/>
      <c r="I125" s="25"/>
      <c r="J125" s="25"/>
    </row>
    <row r="126" spans="2:10" x14ac:dyDescent="0.3">
      <c r="F126" s="9"/>
      <c r="G126" s="9"/>
      <c r="H126" s="9"/>
    </row>
    <row r="127" spans="2:10" x14ac:dyDescent="0.3">
      <c r="B127" s="5"/>
      <c r="F127" s="15"/>
      <c r="G127" s="15"/>
      <c r="H127" s="15"/>
    </row>
    <row r="128" spans="2:10" x14ac:dyDescent="0.3">
      <c r="F128" s="6"/>
      <c r="G128" s="6"/>
      <c r="H128" s="6"/>
    </row>
    <row r="129" spans="2:10" x14ac:dyDescent="0.3">
      <c r="F129" s="14"/>
      <c r="G129" s="14"/>
      <c r="H129" s="14"/>
      <c r="I129" s="14"/>
      <c r="J129" s="14"/>
    </row>
    <row r="130" spans="2:10" x14ac:dyDescent="0.3">
      <c r="F130" s="14"/>
      <c r="G130" s="6"/>
      <c r="H130" s="6"/>
    </row>
    <row r="131" spans="2:10" x14ac:dyDescent="0.3">
      <c r="F131" s="14"/>
      <c r="G131" s="6"/>
      <c r="H131" s="6"/>
    </row>
    <row r="132" spans="2:10" x14ac:dyDescent="0.3">
      <c r="F132" s="14"/>
      <c r="G132" s="6"/>
      <c r="H132" s="6"/>
    </row>
    <row r="133" spans="2:10" x14ac:dyDescent="0.3">
      <c r="F133" s="15"/>
      <c r="G133" s="6"/>
      <c r="H133" s="6"/>
    </row>
    <row r="134" spans="2:10" x14ac:dyDescent="0.3">
      <c r="F134" s="6"/>
      <c r="G134" s="6"/>
      <c r="H134" s="6"/>
    </row>
    <row r="135" spans="2:10" x14ac:dyDescent="0.3">
      <c r="B135" s="5"/>
      <c r="F135" s="6"/>
      <c r="G135" s="6"/>
      <c r="H135" s="6"/>
    </row>
    <row r="136" spans="2:10" x14ac:dyDescent="0.3">
      <c r="F136" s="6"/>
      <c r="G136" s="6"/>
      <c r="H136" s="6"/>
    </row>
    <row r="137" spans="2:10" x14ac:dyDescent="0.3">
      <c r="F137" s="14"/>
      <c r="G137" s="6"/>
      <c r="H137" s="6"/>
    </row>
    <row r="138" spans="2:10" x14ac:dyDescent="0.3">
      <c r="F138" s="9"/>
      <c r="G138" s="9"/>
      <c r="H138" s="9"/>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3074" r:id="rId4" name="Drop Down 2">
              <controlPr defaultSize="0" autoLine="0" autoPict="0">
                <anchor moveWithCells="1">
                  <from>
                    <xdr:col>1</xdr:col>
                    <xdr:colOff>0</xdr:colOff>
                    <xdr:row>9</xdr:row>
                    <xdr:rowOff>0</xdr:rowOff>
                  </from>
                  <to>
                    <xdr:col>3</xdr:col>
                    <xdr:colOff>861060</xdr:colOff>
                    <xdr:row>10</xdr:row>
                    <xdr:rowOff>15240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95AF-FDE0-40AF-9B1D-946EE3A6BF23}">
  <dimension ref="A2:P908"/>
  <sheetViews>
    <sheetView showGridLines="0" showWhiteSpace="0" zoomScale="102" zoomScaleNormal="79" zoomScalePageLayoutView="50" workbookViewId="0">
      <selection activeCell="A2" sqref="A2"/>
    </sheetView>
  </sheetViews>
  <sheetFormatPr defaultRowHeight="14.4" x14ac:dyDescent="0.3"/>
  <cols>
    <col min="2" max="12" width="14.5546875" bestFit="1" customWidth="1"/>
    <col min="13" max="13" width="8.88671875" customWidth="1"/>
    <col min="15" max="16" width="10.44140625" bestFit="1" customWidth="1"/>
    <col min="17" max="17" width="11" bestFit="1" customWidth="1"/>
    <col min="18" max="18" width="14" bestFit="1" customWidth="1"/>
  </cols>
  <sheetData>
    <row r="2" spans="1:16" ht="15.6" x14ac:dyDescent="0.35">
      <c r="A2" s="44"/>
      <c r="B2" s="44"/>
      <c r="C2" s="44"/>
      <c r="D2" s="44"/>
      <c r="E2" s="44"/>
      <c r="F2" s="44"/>
      <c r="G2" s="44"/>
      <c r="H2" s="44"/>
      <c r="I2" s="44"/>
      <c r="J2" s="44"/>
      <c r="K2" s="44"/>
      <c r="L2" s="44"/>
    </row>
    <row r="3" spans="1:16" ht="28.8" x14ac:dyDescent="0.65">
      <c r="A3" s="44"/>
      <c r="B3" s="45" t="str">
        <f>Cover!$B$2</f>
        <v>ASOS PLC</v>
      </c>
      <c r="C3" s="45"/>
      <c r="D3" s="46"/>
      <c r="E3" s="47"/>
      <c r="F3" s="47"/>
      <c r="G3" s="47"/>
      <c r="H3" s="47"/>
      <c r="I3" s="47"/>
      <c r="J3" s="47"/>
      <c r="K3" s="47"/>
      <c r="L3" s="47"/>
    </row>
    <row r="4" spans="1:16" ht="21" x14ac:dyDescent="0.5">
      <c r="A4" s="44"/>
      <c r="B4" s="48" t="s">
        <v>0</v>
      </c>
      <c r="C4" s="49"/>
      <c r="D4" s="47"/>
      <c r="E4" s="47"/>
      <c r="F4" s="47"/>
      <c r="G4" s="47"/>
      <c r="H4" s="47"/>
      <c r="I4" s="47"/>
      <c r="J4" s="47"/>
      <c r="K4" s="47"/>
      <c r="L4" s="164" t="str">
        <f>"Currently Running: "&amp;CHOOSE(Assumptions!$B$10,Assumptions!$F$15,Assumptions!$F$16,Assumptions!$F$17)&amp;"Scenario"</f>
        <v>Currently Running: Base Scenario</v>
      </c>
    </row>
    <row r="5" spans="1:16" ht="15.6" x14ac:dyDescent="0.35">
      <c r="A5" s="44"/>
      <c r="B5" s="50"/>
      <c r="C5" s="50"/>
      <c r="D5" s="50"/>
      <c r="E5" s="50"/>
      <c r="F5" s="50"/>
      <c r="G5" s="50"/>
      <c r="H5" s="50"/>
      <c r="I5" s="50"/>
      <c r="J5" s="50"/>
      <c r="K5" s="51"/>
      <c r="L5" s="51"/>
    </row>
    <row r="6" spans="1:16" ht="15.6" x14ac:dyDescent="0.35">
      <c r="A6" s="44"/>
      <c r="B6" s="51"/>
      <c r="C6" s="51"/>
      <c r="D6" s="51"/>
      <c r="E6" s="51"/>
      <c r="F6" s="249" t="s">
        <v>374</v>
      </c>
      <c r="G6" s="52"/>
      <c r="H6" s="52"/>
      <c r="I6" s="52"/>
      <c r="J6" s="52"/>
      <c r="K6" s="52"/>
      <c r="L6" s="52"/>
    </row>
    <row r="7" spans="1:16" ht="15.6" x14ac:dyDescent="0.35">
      <c r="A7" s="44"/>
      <c r="B7" s="51"/>
      <c r="C7" s="51"/>
      <c r="D7" s="51"/>
      <c r="E7" s="51"/>
      <c r="F7" s="53">
        <v>2024</v>
      </c>
      <c r="G7" s="53">
        <f>F7+1</f>
        <v>2025</v>
      </c>
      <c r="H7" s="54">
        <f>G7+1</f>
        <v>2026</v>
      </c>
      <c r="I7" s="54">
        <f t="shared" ref="I7:L7" si="0">H7+1</f>
        <v>2027</v>
      </c>
      <c r="J7" s="54">
        <f t="shared" si="0"/>
        <v>2028</v>
      </c>
      <c r="K7" s="54">
        <f t="shared" si="0"/>
        <v>2029</v>
      </c>
      <c r="L7" s="54">
        <f t="shared" si="0"/>
        <v>2030</v>
      </c>
    </row>
    <row r="8" spans="1:16" ht="16.2" thickBot="1" x14ac:dyDescent="0.4">
      <c r="A8" s="44"/>
      <c r="B8" s="55" t="s">
        <v>191</v>
      </c>
      <c r="C8" s="55"/>
      <c r="D8" s="55"/>
      <c r="E8" s="55"/>
      <c r="F8" s="56" t="s">
        <v>50</v>
      </c>
      <c r="G8" s="56"/>
      <c r="H8" s="57"/>
      <c r="I8" s="57"/>
      <c r="J8" s="57"/>
      <c r="K8" s="57"/>
      <c r="L8" s="177" t="s">
        <v>37</v>
      </c>
    </row>
    <row r="9" spans="1:16" ht="15.6" x14ac:dyDescent="0.35">
      <c r="A9" s="44"/>
      <c r="B9" s="51"/>
      <c r="C9" s="51"/>
      <c r="D9" s="51"/>
      <c r="E9" s="51"/>
      <c r="F9" s="58"/>
      <c r="G9" s="58"/>
      <c r="H9" s="59"/>
      <c r="I9" s="59"/>
      <c r="J9" s="59"/>
      <c r="K9" s="59"/>
      <c r="L9" s="59"/>
    </row>
    <row r="10" spans="1:16" ht="15.6" x14ac:dyDescent="0.35">
      <c r="A10" s="44"/>
      <c r="B10" s="426" t="s">
        <v>5</v>
      </c>
      <c r="C10" s="426"/>
      <c r="D10" s="61"/>
      <c r="E10" s="61"/>
      <c r="F10" s="186">
        <v>2905800000</v>
      </c>
      <c r="G10" s="186">
        <v>2477800000</v>
      </c>
      <c r="H10" s="187">
        <f>H220</f>
        <v>2328376549.0751638</v>
      </c>
      <c r="I10" s="187">
        <f t="shared" ref="I10:L10" si="1">I220</f>
        <v>2257234879.0849037</v>
      </c>
      <c r="J10" s="187">
        <f t="shared" si="1"/>
        <v>2254222000.1086302</v>
      </c>
      <c r="K10" s="187">
        <f t="shared" si="1"/>
        <v>2287596480.3111777</v>
      </c>
      <c r="L10" s="187">
        <f t="shared" si="1"/>
        <v>2361191874.6213264</v>
      </c>
    </row>
    <row r="11" spans="1:16" ht="15.6" x14ac:dyDescent="0.35">
      <c r="A11" s="44"/>
      <c r="B11" s="127" t="s">
        <v>44</v>
      </c>
      <c r="C11" s="127"/>
      <c r="D11" s="127"/>
      <c r="E11" s="127"/>
      <c r="F11" s="309">
        <v>-1743300000</v>
      </c>
      <c r="G11" s="309">
        <v>-1311100000</v>
      </c>
      <c r="H11" s="309">
        <f>-H246</f>
        <v>-1240521700.3676472</v>
      </c>
      <c r="I11" s="309">
        <f t="shared" ref="I11:L11" si="2">-I246</f>
        <v>-1195302683.5477941</v>
      </c>
      <c r="J11" s="309">
        <f t="shared" si="2"/>
        <v>-1188707910.1213238</v>
      </c>
      <c r="K11" s="309">
        <f t="shared" si="2"/>
        <v>-1202505412.6495178</v>
      </c>
      <c r="L11" s="309">
        <f t="shared" si="2"/>
        <v>-1238580575.0290031</v>
      </c>
    </row>
    <row r="12" spans="1:16" ht="15.6" x14ac:dyDescent="0.35">
      <c r="A12" s="44"/>
      <c r="B12" s="191" t="s">
        <v>45</v>
      </c>
      <c r="C12" s="191"/>
      <c r="D12" s="191"/>
      <c r="E12" s="191"/>
      <c r="F12" s="396">
        <f>SUM(F10:F11)</f>
        <v>1162500000</v>
      </c>
      <c r="G12" s="396">
        <f t="shared" ref="G12:L12" si="3">SUM(G10:G11)</f>
        <v>1166700000</v>
      </c>
      <c r="H12" s="229">
        <f t="shared" si="3"/>
        <v>1087854848.7075167</v>
      </c>
      <c r="I12" s="229">
        <f t="shared" si="3"/>
        <v>1061932195.5371096</v>
      </c>
      <c r="J12" s="229">
        <f t="shared" si="3"/>
        <v>1065514089.9873064</v>
      </c>
      <c r="K12" s="229">
        <f t="shared" si="3"/>
        <v>1085091067.66166</v>
      </c>
      <c r="L12" s="229">
        <f t="shared" si="3"/>
        <v>1122611299.5923233</v>
      </c>
      <c r="O12" s="179"/>
      <c r="P12" s="179"/>
    </row>
    <row r="13" spans="1:16" ht="15.6" x14ac:dyDescent="0.35">
      <c r="A13" s="44"/>
      <c r="B13" s="427" t="s">
        <v>46</v>
      </c>
      <c r="C13" s="427"/>
      <c r="D13" s="428"/>
      <c r="E13" s="428"/>
      <c r="F13" s="439">
        <f>F12/F10</f>
        <v>0.40006194507536652</v>
      </c>
      <c r="G13" s="439">
        <f>G12/G10</f>
        <v>0.47086124788118494</v>
      </c>
      <c r="H13" s="439">
        <f t="shared" ref="H13:L13" si="4">H12/H10</f>
        <v>0.46721603047394328</v>
      </c>
      <c r="I13" s="439">
        <f t="shared" si="4"/>
        <v>0.47045710899506532</v>
      </c>
      <c r="J13" s="439">
        <f t="shared" si="4"/>
        <v>0.47267486961619559</v>
      </c>
      <c r="K13" s="439">
        <f t="shared" si="4"/>
        <v>0.47433674470160792</v>
      </c>
      <c r="L13" s="439">
        <f t="shared" si="4"/>
        <v>0.47544264049797347</v>
      </c>
    </row>
    <row r="14" spans="1:16" ht="15.6" x14ac:dyDescent="0.35">
      <c r="A14" s="44"/>
      <c r="B14" s="61"/>
      <c r="C14" s="61"/>
      <c r="D14" s="63"/>
      <c r="E14" s="63"/>
      <c r="F14" s="60"/>
      <c r="G14" s="60"/>
      <c r="H14" s="60"/>
      <c r="I14" s="60"/>
      <c r="J14" s="60"/>
      <c r="K14" s="60"/>
      <c r="L14" s="60"/>
    </row>
    <row r="15" spans="1:16" ht="15.6" x14ac:dyDescent="0.35">
      <c r="A15" s="44"/>
      <c r="B15" s="61" t="s">
        <v>192</v>
      </c>
      <c r="C15" s="61"/>
      <c r="D15" s="63"/>
      <c r="E15" s="63"/>
      <c r="F15" s="186">
        <v>-326100000</v>
      </c>
      <c r="G15" s="186">
        <v>-262300000</v>
      </c>
      <c r="H15" s="425">
        <f>-H275</f>
        <v>-247526338.23529407</v>
      </c>
      <c r="I15" s="425">
        <f t="shared" ref="I15:L15" si="5">-I275</f>
        <v>-238503603.97058824</v>
      </c>
      <c r="J15" s="425">
        <f t="shared" si="5"/>
        <v>-237187722.01764703</v>
      </c>
      <c r="K15" s="425">
        <f t="shared" si="5"/>
        <v>-239940793.79106617</v>
      </c>
      <c r="L15" s="425">
        <f t="shared" si="5"/>
        <v>-247139017.60479814</v>
      </c>
    </row>
    <row r="16" spans="1:16" ht="15.6" x14ac:dyDescent="0.35">
      <c r="A16" s="44"/>
      <c r="B16" s="61" t="s">
        <v>193</v>
      </c>
      <c r="C16" s="63"/>
      <c r="D16" s="63"/>
      <c r="E16" s="63"/>
      <c r="F16" s="186">
        <v>-1170300000</v>
      </c>
      <c r="G16" s="186">
        <v>-1133200000</v>
      </c>
      <c r="H16" s="187">
        <f>-H308</f>
        <v>-989825059.47295928</v>
      </c>
      <c r="I16" s="187">
        <f t="shared" ref="I16:L16" si="6">-I308</f>
        <v>-999801943.36834681</v>
      </c>
      <c r="J16" s="187">
        <f t="shared" si="6"/>
        <v>-1020111908.7714163</v>
      </c>
      <c r="K16" s="187">
        <f t="shared" si="6"/>
        <v>-1043310506.6178255</v>
      </c>
      <c r="L16" s="187">
        <f t="shared" si="6"/>
        <v>-1073914634.3950875</v>
      </c>
    </row>
    <row r="17" spans="1:12" ht="15.6" x14ac:dyDescent="0.35">
      <c r="A17" s="44"/>
      <c r="B17" s="61" t="s">
        <v>194</v>
      </c>
      <c r="C17" s="63"/>
      <c r="D17" s="63"/>
      <c r="E17" s="63"/>
      <c r="F17" s="186">
        <v>2000000</v>
      </c>
      <c r="G17" s="186">
        <v>16500000</v>
      </c>
      <c r="H17" s="187">
        <f>G17</f>
        <v>16500000</v>
      </c>
      <c r="I17" s="187">
        <f t="shared" ref="I17:L17" si="7">H17</f>
        <v>16500000</v>
      </c>
      <c r="J17" s="187">
        <f t="shared" si="7"/>
        <v>16500000</v>
      </c>
      <c r="K17" s="187">
        <f t="shared" si="7"/>
        <v>16500000</v>
      </c>
      <c r="L17" s="187">
        <f t="shared" si="7"/>
        <v>16500000</v>
      </c>
    </row>
    <row r="18" spans="1:12" ht="15.6" x14ac:dyDescent="0.35">
      <c r="A18" s="44"/>
      <c r="B18" s="191" t="s">
        <v>39</v>
      </c>
      <c r="C18" s="191"/>
      <c r="D18" s="191"/>
      <c r="E18" s="191"/>
      <c r="F18" s="396">
        <f>F12+SUM(F15:F17)</f>
        <v>-331900000</v>
      </c>
      <c r="G18" s="396">
        <f t="shared" ref="G18" si="8">G12+SUM(G15:G17)</f>
        <v>-212300000</v>
      </c>
      <c r="H18" s="229">
        <f>SUM(H15:H17)+H12</f>
        <v>-132996549.00073671</v>
      </c>
      <c r="I18" s="229">
        <f t="shared" ref="I18:L18" si="9">SUM(I15:I17)+I12</f>
        <v>-159873351.80182552</v>
      </c>
      <c r="J18" s="229">
        <f t="shared" si="9"/>
        <v>-175285540.8017571</v>
      </c>
      <c r="K18" s="229">
        <f t="shared" si="9"/>
        <v>-181660232.74723172</v>
      </c>
      <c r="L18" s="229">
        <f t="shared" si="9"/>
        <v>-181942352.40756226</v>
      </c>
    </row>
    <row r="19" spans="1:12" ht="15.6" x14ac:dyDescent="0.35">
      <c r="A19" s="44"/>
      <c r="B19" s="427" t="s">
        <v>142</v>
      </c>
      <c r="C19" s="428"/>
      <c r="D19" s="428"/>
      <c r="E19" s="428"/>
      <c r="F19" s="439">
        <f t="shared" ref="F19:L19" si="10">F18/F10</f>
        <v>-0.11421983618968959</v>
      </c>
      <c r="G19" s="439">
        <f t="shared" si="10"/>
        <v>-8.5680845911695863E-2</v>
      </c>
      <c r="H19" s="439">
        <f t="shared" si="10"/>
        <v>-5.7119862787470194E-2</v>
      </c>
      <c r="I19" s="439">
        <f t="shared" si="10"/>
        <v>-7.0827078423774448E-2</v>
      </c>
      <c r="J19" s="439">
        <f t="shared" si="10"/>
        <v>-7.7758774776091333E-2</v>
      </c>
      <c r="K19" s="439">
        <f t="shared" si="10"/>
        <v>-7.9410960066926134E-2</v>
      </c>
      <c r="L19" s="439">
        <f t="shared" si="10"/>
        <v>-7.7055301758033143E-2</v>
      </c>
    </row>
    <row r="20" spans="1:12" ht="15.6" x14ac:dyDescent="0.35">
      <c r="A20" s="44"/>
      <c r="B20" s="63"/>
      <c r="C20" s="63"/>
      <c r="D20" s="63"/>
      <c r="E20" s="63"/>
      <c r="F20" s="64"/>
      <c r="G20" s="64"/>
      <c r="H20" s="64"/>
      <c r="I20" s="64"/>
      <c r="J20" s="64"/>
      <c r="K20" s="64"/>
      <c r="L20" s="64"/>
    </row>
    <row r="21" spans="1:12" ht="15.6" x14ac:dyDescent="0.35">
      <c r="A21" s="44"/>
      <c r="B21" s="104" t="s">
        <v>114</v>
      </c>
      <c r="C21" s="61"/>
      <c r="D21" s="63"/>
      <c r="E21" s="63"/>
      <c r="F21" s="463">
        <v>28900000</v>
      </c>
      <c r="G21" s="463">
        <v>26700000</v>
      </c>
      <c r="H21" s="325">
        <f>H448</f>
        <v>32542701.23926013</v>
      </c>
      <c r="I21" s="325">
        <f t="shared" ref="I21:L21" si="11">I448</f>
        <v>36211190.381788187</v>
      </c>
      <c r="J21" s="325">
        <f t="shared" si="11"/>
        <v>39820355.885143012</v>
      </c>
      <c r="K21" s="325">
        <f t="shared" si="11"/>
        <v>43453810.669478863</v>
      </c>
      <c r="L21" s="325">
        <f t="shared" si="11"/>
        <v>47172841.353424862</v>
      </c>
    </row>
    <row r="22" spans="1:12" ht="15.6" x14ac:dyDescent="0.35">
      <c r="A22" s="44"/>
      <c r="B22" s="104" t="s">
        <v>115</v>
      </c>
      <c r="C22" s="61"/>
      <c r="D22" s="63"/>
      <c r="E22" s="63"/>
      <c r="F22" s="463">
        <v>25100000</v>
      </c>
      <c r="G22" s="463">
        <v>24000000</v>
      </c>
      <c r="H22" s="325">
        <f>H398</f>
        <v>17210000</v>
      </c>
      <c r="I22" s="325">
        <f t="shared" ref="I22:L22" si="12">I398</f>
        <v>17210000</v>
      </c>
      <c r="J22" s="325">
        <f t="shared" si="12"/>
        <v>17210000</v>
      </c>
      <c r="K22" s="325">
        <f t="shared" si="12"/>
        <v>17210000</v>
      </c>
      <c r="L22" s="325">
        <f t="shared" si="12"/>
        <v>17210000</v>
      </c>
    </row>
    <row r="23" spans="1:12" ht="15.6" x14ac:dyDescent="0.35">
      <c r="A23" s="44"/>
      <c r="B23" s="167" t="s">
        <v>24</v>
      </c>
      <c r="C23" s="65"/>
      <c r="D23" s="65"/>
      <c r="E23" s="65"/>
      <c r="F23" s="464">
        <v>117300000</v>
      </c>
      <c r="G23" s="464">
        <v>115500000</v>
      </c>
      <c r="H23" s="358">
        <f>H475</f>
        <v>95419469.431481093</v>
      </c>
      <c r="I23" s="358">
        <f t="shared" ref="I23:L23" si="13">I475</f>
        <v>110780101.78830108</v>
      </c>
      <c r="J23" s="358">
        <f t="shared" si="13"/>
        <v>125892335.26045635</v>
      </c>
      <c r="K23" s="358">
        <f t="shared" si="13"/>
        <v>141106272.37704542</v>
      </c>
      <c r="L23" s="358">
        <f t="shared" si="13"/>
        <v>156678531.37532607</v>
      </c>
    </row>
    <row r="24" spans="1:12" ht="15.6" x14ac:dyDescent="0.35">
      <c r="A24" s="44"/>
      <c r="B24" s="429" t="s">
        <v>47</v>
      </c>
      <c r="C24" s="115"/>
      <c r="D24" s="115"/>
      <c r="E24" s="115"/>
      <c r="F24" s="425">
        <f>SUM(F21:F23)</f>
        <v>171300000</v>
      </c>
      <c r="G24" s="425">
        <f t="shared" ref="G24" si="14">SUM(G21:G23)</f>
        <v>166200000</v>
      </c>
      <c r="H24" s="425">
        <f>SUM(H21:H23)</f>
        <v>145172170.67074123</v>
      </c>
      <c r="I24" s="425">
        <f t="shared" ref="I24:L24" si="15">SUM(I21:I23)</f>
        <v>164201292.17008927</v>
      </c>
      <c r="J24" s="425">
        <f t="shared" si="15"/>
        <v>182922691.14559937</v>
      </c>
      <c r="K24" s="425">
        <f t="shared" si="15"/>
        <v>201770083.04652429</v>
      </c>
      <c r="L24" s="425">
        <f t="shared" si="15"/>
        <v>221061372.72875094</v>
      </c>
    </row>
    <row r="25" spans="1:12" ht="15.6" x14ac:dyDescent="0.35">
      <c r="A25" s="44"/>
      <c r="B25" s="191" t="s">
        <v>140</v>
      </c>
      <c r="C25" s="191"/>
      <c r="D25" s="191"/>
      <c r="E25" s="191"/>
      <c r="F25" s="396">
        <f t="shared" ref="F25" si="16">F18-F24</f>
        <v>-503200000</v>
      </c>
      <c r="G25" s="396">
        <f t="shared" ref="G25" si="17">G18-G24</f>
        <v>-378500000</v>
      </c>
      <c r="H25" s="229">
        <f>H18+H24</f>
        <v>12175621.670004517</v>
      </c>
      <c r="I25" s="229">
        <f t="shared" ref="I25:L25" si="18">I18+I24</f>
        <v>4327940.3682637513</v>
      </c>
      <c r="J25" s="229">
        <f t="shared" si="18"/>
        <v>7637150.343842268</v>
      </c>
      <c r="K25" s="229">
        <f t="shared" si="18"/>
        <v>20109850.299292564</v>
      </c>
      <c r="L25" s="229">
        <f t="shared" si="18"/>
        <v>39119020.321188688</v>
      </c>
    </row>
    <row r="26" spans="1:12" ht="15.6" x14ac:dyDescent="0.35">
      <c r="A26" s="44"/>
      <c r="B26" s="427" t="s">
        <v>141</v>
      </c>
      <c r="C26" s="428"/>
      <c r="D26" s="428"/>
      <c r="E26" s="428"/>
      <c r="F26" s="440">
        <f t="shared" ref="F26:L26" si="19">F25/F10</f>
        <v>-0.17317089958015006</v>
      </c>
      <c r="G26" s="440">
        <f t="shared" si="19"/>
        <v>-0.15275647752038099</v>
      </c>
      <c r="H26" s="440">
        <f t="shared" si="19"/>
        <v>5.2292322196943186E-3</v>
      </c>
      <c r="I26" s="440">
        <f t="shared" si="19"/>
        <v>1.9173637658914449E-3</v>
      </c>
      <c r="J26" s="440">
        <f t="shared" si="19"/>
        <v>3.3879317757852761E-3</v>
      </c>
      <c r="K26" s="440">
        <f t="shared" si="19"/>
        <v>8.7908206155995899E-3</v>
      </c>
      <c r="L26" s="440">
        <f t="shared" si="19"/>
        <v>1.6567488962523368E-2</v>
      </c>
    </row>
    <row r="27" spans="1:12" ht="15.6" x14ac:dyDescent="0.35">
      <c r="A27" s="44"/>
      <c r="B27" s="63"/>
      <c r="C27" s="63"/>
      <c r="D27" s="63"/>
      <c r="E27" s="63"/>
      <c r="F27" s="66"/>
      <c r="G27" s="66"/>
      <c r="H27" s="67"/>
      <c r="I27" s="67"/>
      <c r="J27" s="67"/>
      <c r="K27" s="67"/>
      <c r="L27" s="67"/>
    </row>
    <row r="28" spans="1:12" ht="15.6" x14ac:dyDescent="0.35">
      <c r="A28" s="44"/>
      <c r="B28" s="61" t="s">
        <v>195</v>
      </c>
      <c r="C28" s="63"/>
      <c r="D28" s="63"/>
      <c r="E28" s="63"/>
      <c r="F28" s="186">
        <v>12000000</v>
      </c>
      <c r="G28" s="186">
        <v>4800000</v>
      </c>
      <c r="H28" s="187">
        <f>H603</f>
        <v>3189000</v>
      </c>
      <c r="I28" s="187">
        <f>I603</f>
        <v>768770.49146530277</v>
      </c>
      <c r="J28" s="187">
        <f>J603</f>
        <v>300000</v>
      </c>
      <c r="K28" s="187">
        <f>K603</f>
        <v>300000</v>
      </c>
      <c r="L28" s="187">
        <f>L603</f>
        <v>300000</v>
      </c>
    </row>
    <row r="29" spans="1:12" ht="15.6" x14ac:dyDescent="0.35">
      <c r="A29" s="44"/>
      <c r="B29" s="65" t="s">
        <v>48</v>
      </c>
      <c r="C29" s="65"/>
      <c r="D29" s="68"/>
      <c r="E29" s="68"/>
      <c r="F29" s="189">
        <v>-59400000</v>
      </c>
      <c r="G29" s="189">
        <v>-74100000</v>
      </c>
      <c r="H29" s="369">
        <f>-H601+H410</f>
        <v>-55039600</v>
      </c>
      <c r="I29" s="369">
        <f>-I601+I410</f>
        <v>-53478550</v>
      </c>
      <c r="J29" s="369">
        <f>-J601+J410</f>
        <v>-66887552.355637223</v>
      </c>
      <c r="K29" s="369">
        <f>-K601+K410</f>
        <v>-87047744.84249939</v>
      </c>
      <c r="L29" s="369">
        <f>-L601+L410</f>
        <v>-107633687.83110371</v>
      </c>
    </row>
    <row r="30" spans="1:12" ht="15.6" x14ac:dyDescent="0.35">
      <c r="A30" s="44"/>
      <c r="B30" s="69" t="s">
        <v>40</v>
      </c>
      <c r="C30" s="69"/>
      <c r="D30" s="69"/>
      <c r="E30" s="69"/>
      <c r="F30" s="188">
        <f>SUM(F28:F29)</f>
        <v>-47400000</v>
      </c>
      <c r="G30" s="188">
        <f t="shared" ref="G30:L30" si="20">SUM(G28:G29)</f>
        <v>-69300000</v>
      </c>
      <c r="H30" s="188">
        <f t="shared" si="20"/>
        <v>-51850600</v>
      </c>
      <c r="I30" s="188">
        <f t="shared" si="20"/>
        <v>-52709779.5085347</v>
      </c>
      <c r="J30" s="188">
        <f t="shared" si="20"/>
        <v>-66587552.355637223</v>
      </c>
      <c r="K30" s="188">
        <f t="shared" si="20"/>
        <v>-86747744.84249939</v>
      </c>
      <c r="L30" s="188">
        <f t="shared" si="20"/>
        <v>-107333687.83110371</v>
      </c>
    </row>
    <row r="31" spans="1:12" ht="15.6" x14ac:dyDescent="0.35">
      <c r="A31" s="44"/>
      <c r="B31" s="63"/>
      <c r="C31" s="63"/>
      <c r="D31" s="63"/>
      <c r="E31" s="63"/>
      <c r="F31" s="67"/>
      <c r="G31" s="67"/>
      <c r="H31" s="67"/>
      <c r="I31" s="67"/>
      <c r="J31" s="67"/>
      <c r="K31" s="67"/>
      <c r="L31" s="67"/>
    </row>
    <row r="32" spans="1:12" ht="15.6" x14ac:dyDescent="0.35">
      <c r="A32" s="44"/>
      <c r="B32" s="191" t="s">
        <v>196</v>
      </c>
      <c r="C32" s="191"/>
      <c r="D32" s="191"/>
      <c r="E32" s="191"/>
      <c r="F32" s="396">
        <f t="shared" ref="F32:L32" si="21">F18+F30</f>
        <v>-379300000</v>
      </c>
      <c r="G32" s="396">
        <f t="shared" si="21"/>
        <v>-281600000</v>
      </c>
      <c r="H32" s="229">
        <f t="shared" si="21"/>
        <v>-184847149.00073671</v>
      </c>
      <c r="I32" s="229">
        <f t="shared" si="21"/>
        <v>-212583131.31036022</v>
      </c>
      <c r="J32" s="229">
        <f t="shared" si="21"/>
        <v>-241873093.15739432</v>
      </c>
      <c r="K32" s="229">
        <f t="shared" si="21"/>
        <v>-268407977.5897311</v>
      </c>
      <c r="L32" s="229">
        <f t="shared" si="21"/>
        <v>-289276040.23866594</v>
      </c>
    </row>
    <row r="33" spans="1:12" ht="15.6" x14ac:dyDescent="0.35">
      <c r="A33" s="44"/>
      <c r="B33" s="61" t="s">
        <v>197</v>
      </c>
      <c r="C33" s="61"/>
      <c r="D33" s="61"/>
      <c r="E33" s="61"/>
      <c r="F33" s="186">
        <v>40600000</v>
      </c>
      <c r="G33" s="186">
        <v>-16800000</v>
      </c>
      <c r="H33" s="309">
        <f>H659</f>
        <v>0</v>
      </c>
      <c r="I33" s="309">
        <f t="shared" ref="I33:L33" si="22">-I659</f>
        <v>0</v>
      </c>
      <c r="J33" s="309">
        <f>-J659</f>
        <v>0</v>
      </c>
      <c r="K33" s="309">
        <f t="shared" ref="K33:L33" si="23">-K659</f>
        <v>0</v>
      </c>
      <c r="L33" s="309">
        <f t="shared" si="23"/>
        <v>0</v>
      </c>
    </row>
    <row r="34" spans="1:12" ht="15.6" x14ac:dyDescent="0.35">
      <c r="A34" s="44"/>
      <c r="B34" s="191" t="s">
        <v>41</v>
      </c>
      <c r="C34" s="191"/>
      <c r="D34" s="191"/>
      <c r="E34" s="191"/>
      <c r="F34" s="396">
        <f t="shared" ref="F34:L34" si="24">F32+F33</f>
        <v>-338700000</v>
      </c>
      <c r="G34" s="396">
        <f t="shared" si="24"/>
        <v>-298400000</v>
      </c>
      <c r="H34" s="229">
        <f t="shared" si="24"/>
        <v>-184847149.00073671</v>
      </c>
      <c r="I34" s="229">
        <f t="shared" si="24"/>
        <v>-212583131.31036022</v>
      </c>
      <c r="J34" s="229">
        <f t="shared" si="24"/>
        <v>-241873093.15739432</v>
      </c>
      <c r="K34" s="229">
        <f t="shared" si="24"/>
        <v>-268407977.5897311</v>
      </c>
      <c r="L34" s="229">
        <f t="shared" si="24"/>
        <v>-289276040.23866594</v>
      </c>
    </row>
    <row r="35" spans="1:12" ht="15.6" x14ac:dyDescent="0.35">
      <c r="A35" s="44"/>
      <c r="B35" s="427" t="s">
        <v>42</v>
      </c>
      <c r="C35" s="427"/>
      <c r="D35" s="427"/>
      <c r="E35" s="427"/>
      <c r="F35" s="441">
        <f t="shared" ref="F35:L35" si="25">F34/F10</f>
        <v>-0.11655998348131323</v>
      </c>
      <c r="G35" s="441">
        <f t="shared" si="25"/>
        <v>-0.12042941318911939</v>
      </c>
      <c r="H35" s="441">
        <f t="shared" si="25"/>
        <v>-7.938885532675477E-2</v>
      </c>
      <c r="I35" s="441">
        <f t="shared" si="25"/>
        <v>-9.4178560361668107E-2</v>
      </c>
      <c r="J35" s="441">
        <f t="shared" si="25"/>
        <v>-0.10729781412200685</v>
      </c>
      <c r="K35" s="441">
        <f t="shared" si="25"/>
        <v>-0.11733187207615393</v>
      </c>
      <c r="L35" s="441">
        <f t="shared" si="25"/>
        <v>-0.12251272052384911</v>
      </c>
    </row>
    <row r="36" spans="1:12" ht="16.2" thickBot="1" x14ac:dyDescent="0.4">
      <c r="A36" s="44"/>
      <c r="B36" s="431"/>
      <c r="C36" s="431"/>
      <c r="D36" s="431"/>
      <c r="E36" s="431"/>
      <c r="F36" s="432"/>
      <c r="G36" s="432"/>
      <c r="H36" s="432"/>
      <c r="I36" s="432"/>
      <c r="J36" s="432"/>
      <c r="K36" s="432"/>
      <c r="L36" s="432"/>
    </row>
    <row r="37" spans="1:12" ht="15.6" x14ac:dyDescent="0.35">
      <c r="A37" s="44"/>
      <c r="B37" s="61" t="s">
        <v>354</v>
      </c>
      <c r="C37" s="61"/>
      <c r="D37" s="61"/>
      <c r="E37" s="433" t="s">
        <v>59</v>
      </c>
      <c r="F37" s="430">
        <v>-284.39999999999998</v>
      </c>
      <c r="G37" s="430">
        <v>-250.1</v>
      </c>
      <c r="H37" s="184">
        <f>H34/H38*100</f>
        <v>-154.94312573406265</v>
      </c>
      <c r="I37" s="184">
        <f t="shared" ref="I37:L37" si="26">I34/I38*100</f>
        <v>-178.19206312687362</v>
      </c>
      <c r="J37" s="184">
        <f t="shared" si="26"/>
        <v>-202.74358185867084</v>
      </c>
      <c r="K37" s="184">
        <f t="shared" si="26"/>
        <v>-224.98573142475365</v>
      </c>
      <c r="L37" s="184">
        <f t="shared" si="26"/>
        <v>-242.4778208203403</v>
      </c>
    </row>
    <row r="38" spans="1:12" ht="15.6" x14ac:dyDescent="0.35">
      <c r="A38" s="44"/>
      <c r="B38" s="61" t="s">
        <v>355</v>
      </c>
      <c r="C38" s="61"/>
      <c r="D38" s="61"/>
      <c r="E38" s="433" t="s">
        <v>356</v>
      </c>
      <c r="F38" s="437">
        <v>119100000</v>
      </c>
      <c r="G38" s="437">
        <v>119300000</v>
      </c>
      <c r="H38" s="436">
        <f>G38</f>
        <v>119300000</v>
      </c>
      <c r="I38" s="436">
        <f t="shared" ref="I38:L38" si="27">H38</f>
        <v>119300000</v>
      </c>
      <c r="J38" s="436">
        <f t="shared" si="27"/>
        <v>119300000</v>
      </c>
      <c r="K38" s="436">
        <f t="shared" si="27"/>
        <v>119300000</v>
      </c>
      <c r="L38" s="436">
        <f t="shared" si="27"/>
        <v>119300000</v>
      </c>
    </row>
    <row r="39" spans="1:12" ht="15.6" x14ac:dyDescent="0.35">
      <c r="A39" s="44"/>
      <c r="B39" s="61"/>
      <c r="C39" s="61"/>
      <c r="D39" s="61"/>
      <c r="E39" s="61"/>
      <c r="F39" s="70"/>
      <c r="G39" s="70"/>
      <c r="H39" s="71"/>
      <c r="I39" s="71"/>
      <c r="J39" s="71"/>
      <c r="K39" s="71"/>
      <c r="L39" s="71"/>
    </row>
    <row r="40" spans="1:12" ht="15.6" x14ac:dyDescent="0.35">
      <c r="A40" s="44"/>
      <c r="B40" s="44"/>
      <c r="C40" s="44"/>
      <c r="D40" s="44"/>
      <c r="E40" s="44"/>
      <c r="F40" s="44"/>
      <c r="G40" s="44"/>
      <c r="H40" s="44"/>
      <c r="I40" s="44"/>
      <c r="J40" s="44"/>
      <c r="K40" s="44"/>
      <c r="L40" s="44"/>
    </row>
    <row r="41" spans="1:12" ht="15.6" x14ac:dyDescent="0.35">
      <c r="A41" s="44"/>
      <c r="B41" s="44"/>
      <c r="C41" s="44"/>
      <c r="D41" s="44"/>
      <c r="E41" s="44"/>
      <c r="F41" s="44"/>
      <c r="G41" s="44"/>
      <c r="H41" s="44"/>
      <c r="I41" s="44"/>
      <c r="J41" s="44"/>
      <c r="K41" s="44"/>
      <c r="L41" s="44"/>
    </row>
    <row r="42" spans="1:12" ht="28.8" x14ac:dyDescent="0.65">
      <c r="A42" s="44"/>
      <c r="B42" s="45" t="str">
        <f>Cover!$B$2</f>
        <v>ASOS PLC</v>
      </c>
      <c r="C42" s="45"/>
      <c r="D42" s="46"/>
      <c r="E42" s="47"/>
      <c r="F42" s="47"/>
      <c r="G42" s="47"/>
      <c r="H42" s="47"/>
      <c r="I42" s="47"/>
      <c r="J42" s="47"/>
      <c r="K42" s="47"/>
      <c r="L42" s="47"/>
    </row>
    <row r="43" spans="1:12" ht="21" x14ac:dyDescent="0.5">
      <c r="A43" s="44"/>
      <c r="B43" s="48" t="s">
        <v>1</v>
      </c>
      <c r="C43" s="49"/>
      <c r="D43" s="47"/>
      <c r="E43" s="47"/>
      <c r="F43" s="47"/>
      <c r="G43" s="47"/>
      <c r="H43" s="47"/>
      <c r="I43" s="47"/>
      <c r="J43" s="47"/>
      <c r="K43" s="47"/>
      <c r="L43" s="164" t="str">
        <f>"Currently Running: "&amp;CHOOSE(Assumptions!$B$10,Assumptions!$F$15,Assumptions!$F$16,Assumptions!$F$17)&amp;"Scenario"</f>
        <v>Currently Running: Base Scenario</v>
      </c>
    </row>
    <row r="44" spans="1:12" ht="15.6" x14ac:dyDescent="0.35">
      <c r="A44" s="44"/>
      <c r="B44" s="50"/>
      <c r="C44" s="50"/>
      <c r="D44" s="50"/>
      <c r="E44" s="50"/>
      <c r="F44" s="50"/>
      <c r="G44" s="50"/>
      <c r="H44" s="50"/>
      <c r="I44" s="50"/>
      <c r="J44" s="50"/>
      <c r="K44" s="51"/>
      <c r="L44" s="51"/>
    </row>
    <row r="45" spans="1:12" ht="15.6" x14ac:dyDescent="0.35">
      <c r="A45" s="44"/>
      <c r="B45" s="51"/>
      <c r="C45" s="51"/>
      <c r="D45" s="51"/>
      <c r="E45" s="51"/>
      <c r="F45" s="249" t="s">
        <v>374</v>
      </c>
      <c r="G45" s="52"/>
      <c r="H45" s="52"/>
      <c r="I45" s="52"/>
      <c r="J45" s="52"/>
      <c r="K45" s="52"/>
      <c r="L45" s="52"/>
    </row>
    <row r="46" spans="1:12" ht="15.6" x14ac:dyDescent="0.35">
      <c r="A46" s="44"/>
      <c r="B46" s="51"/>
      <c r="C46" s="51"/>
      <c r="D46" s="51"/>
      <c r="E46" s="51"/>
      <c r="F46" s="53">
        <f>F7</f>
        <v>2024</v>
      </c>
      <c r="G46" s="53">
        <f>F46+1</f>
        <v>2025</v>
      </c>
      <c r="H46" s="54">
        <f>G46+1</f>
        <v>2026</v>
      </c>
      <c r="I46" s="54">
        <f t="shared" ref="I46" si="28">H46+1</f>
        <v>2027</v>
      </c>
      <c r="J46" s="54">
        <f t="shared" ref="J46" si="29">I46+1</f>
        <v>2028</v>
      </c>
      <c r="K46" s="54">
        <f t="shared" ref="K46" si="30">J46+1</f>
        <v>2029</v>
      </c>
      <c r="L46" s="54">
        <f t="shared" ref="L46" si="31">K46+1</f>
        <v>2030</v>
      </c>
    </row>
    <row r="47" spans="1:12" ht="16.2" thickBot="1" x14ac:dyDescent="0.4">
      <c r="A47" s="44"/>
      <c r="B47" s="55" t="s">
        <v>191</v>
      </c>
      <c r="C47" s="55"/>
      <c r="D47" s="55"/>
      <c r="E47" s="55"/>
      <c r="F47" s="56" t="s">
        <v>50</v>
      </c>
      <c r="G47" s="56"/>
      <c r="H47" s="57"/>
      <c r="I47" s="57"/>
      <c r="J47" s="57"/>
      <c r="K47" s="57"/>
      <c r="L47" s="177" t="s">
        <v>37</v>
      </c>
    </row>
    <row r="48" spans="1:12" ht="15.6" x14ac:dyDescent="0.35">
      <c r="A48" s="44"/>
      <c r="B48" s="51"/>
      <c r="C48" s="51"/>
      <c r="D48" s="51"/>
      <c r="E48" s="51"/>
      <c r="F48" s="72"/>
      <c r="G48" s="72"/>
      <c r="H48" s="73"/>
      <c r="I48" s="73"/>
      <c r="J48" s="73"/>
      <c r="K48" s="73"/>
      <c r="L48" s="73"/>
    </row>
    <row r="49" spans="1:16" ht="15.6" x14ac:dyDescent="0.35">
      <c r="A49" s="44"/>
      <c r="B49" s="202" t="s">
        <v>2</v>
      </c>
      <c r="C49" s="203"/>
      <c r="D49" s="204"/>
      <c r="E49" s="204"/>
      <c r="F49" s="205"/>
      <c r="G49" s="205"/>
      <c r="H49" s="205"/>
      <c r="I49" s="205"/>
      <c r="J49" s="205"/>
      <c r="K49" s="205"/>
      <c r="L49" s="206"/>
    </row>
    <row r="50" spans="1:16" ht="15.6" x14ac:dyDescent="0.35">
      <c r="A50" s="44"/>
      <c r="B50" s="61"/>
      <c r="C50" s="61"/>
      <c r="D50" s="61"/>
      <c r="E50" s="61"/>
      <c r="F50" s="74"/>
      <c r="G50" s="74"/>
      <c r="H50" s="75"/>
      <c r="I50" s="75"/>
      <c r="J50" s="75"/>
      <c r="K50" s="75"/>
      <c r="L50" s="75"/>
    </row>
    <row r="51" spans="1:16" ht="15.6" x14ac:dyDescent="0.35">
      <c r="A51" s="44"/>
      <c r="B51" s="217" t="s">
        <v>7</v>
      </c>
      <c r="C51" s="243"/>
      <c r="D51" s="243"/>
      <c r="E51" s="244"/>
      <c r="F51" s="247">
        <v>520300000</v>
      </c>
      <c r="G51" s="247">
        <v>402300000</v>
      </c>
      <c r="H51" s="262">
        <f>H258</f>
        <v>383866085.01838231</v>
      </c>
      <c r="I51" s="262">
        <f t="shared" ref="I51:L51" si="32">I258</f>
        <v>366858002.1920957</v>
      </c>
      <c r="J51" s="262">
        <f t="shared" si="32"/>
        <v>352921797.25974292</v>
      </c>
      <c r="K51" s="262">
        <f t="shared" si="32"/>
        <v>342462708.44027025</v>
      </c>
      <c r="L51" s="262">
        <f t="shared" si="32"/>
        <v>335899195.5036664</v>
      </c>
    </row>
    <row r="52" spans="1:16" ht="15.6" x14ac:dyDescent="0.35">
      <c r="A52" s="44"/>
      <c r="B52" s="217" t="s">
        <v>198</v>
      </c>
      <c r="C52" s="243"/>
      <c r="D52" s="243"/>
      <c r="E52" s="244"/>
      <c r="F52" s="247">
        <v>165500000</v>
      </c>
      <c r="G52" s="247">
        <v>0</v>
      </c>
      <c r="H52" s="373">
        <f>G52</f>
        <v>0</v>
      </c>
      <c r="I52" s="373">
        <f t="shared" ref="I52:L52" si="33">H52</f>
        <v>0</v>
      </c>
      <c r="J52" s="373">
        <f t="shared" si="33"/>
        <v>0</v>
      </c>
      <c r="K52" s="373">
        <f t="shared" si="33"/>
        <v>0</v>
      </c>
      <c r="L52" s="373">
        <f t="shared" si="33"/>
        <v>0</v>
      </c>
    </row>
    <row r="53" spans="1:16" ht="15.6" x14ac:dyDescent="0.35">
      <c r="A53" s="44"/>
      <c r="B53" s="217" t="s">
        <v>51</v>
      </c>
      <c r="C53" s="243"/>
      <c r="D53" s="243"/>
      <c r="E53" s="244"/>
      <c r="F53" s="247">
        <v>53400000</v>
      </c>
      <c r="G53" s="247">
        <v>49200000</v>
      </c>
      <c r="H53" s="262">
        <f>H347</f>
        <v>46567530.981503278</v>
      </c>
      <c r="I53" s="262">
        <f t="shared" ref="I53:L53" si="34">I347</f>
        <v>45144697.581698075</v>
      </c>
      <c r="J53" s="262">
        <f t="shared" si="34"/>
        <v>45084440.002172604</v>
      </c>
      <c r="K53" s="262">
        <f t="shared" si="34"/>
        <v>45751929.606223553</v>
      </c>
      <c r="L53" s="262">
        <f t="shared" si="34"/>
        <v>47223837.49242653</v>
      </c>
    </row>
    <row r="54" spans="1:16" ht="15.6" x14ac:dyDescent="0.35">
      <c r="A54" s="44"/>
      <c r="B54" s="217" t="s">
        <v>199</v>
      </c>
      <c r="C54" s="243"/>
      <c r="D54" s="243"/>
      <c r="E54" s="244"/>
      <c r="F54" s="247">
        <v>9500000</v>
      </c>
      <c r="G54" s="247">
        <v>1200000</v>
      </c>
      <c r="H54" s="301">
        <f>G54</f>
        <v>1200000</v>
      </c>
      <c r="I54" s="301">
        <f t="shared" ref="I54:L54" si="35">H54</f>
        <v>1200000</v>
      </c>
      <c r="J54" s="301">
        <f t="shared" si="35"/>
        <v>1200000</v>
      </c>
      <c r="K54" s="301">
        <f t="shared" si="35"/>
        <v>1200000</v>
      </c>
      <c r="L54" s="301">
        <f t="shared" si="35"/>
        <v>1200000</v>
      </c>
      <c r="N54" t="s">
        <v>303</v>
      </c>
    </row>
    <row r="55" spans="1:16" ht="15.6" x14ac:dyDescent="0.35">
      <c r="A55" s="44"/>
      <c r="B55" s="217" t="s">
        <v>52</v>
      </c>
      <c r="C55" s="243"/>
      <c r="D55" s="243"/>
      <c r="E55" s="244"/>
      <c r="F55" s="247">
        <v>391000000</v>
      </c>
      <c r="G55" s="247">
        <v>318900000</v>
      </c>
      <c r="H55" s="301">
        <f>H146</f>
        <v>76877049.146530271</v>
      </c>
      <c r="I55" s="301">
        <f t="shared" ref="I55:L55" si="36">I146</f>
        <v>30000000</v>
      </c>
      <c r="J55" s="301">
        <f t="shared" si="36"/>
        <v>30000000</v>
      </c>
      <c r="K55" s="301">
        <f>K146</f>
        <v>30000000</v>
      </c>
      <c r="L55" s="301">
        <f t="shared" si="36"/>
        <v>30000000</v>
      </c>
    </row>
    <row r="56" spans="1:16" ht="15.6" x14ac:dyDescent="0.35">
      <c r="A56" s="44"/>
      <c r="B56" s="217" t="s">
        <v>200</v>
      </c>
      <c r="C56" s="243"/>
      <c r="D56" s="243"/>
      <c r="E56" s="244"/>
      <c r="F56" s="247">
        <v>6700000</v>
      </c>
      <c r="G56" s="247">
        <v>3700000</v>
      </c>
      <c r="H56" s="301">
        <f>H668</f>
        <v>3700000</v>
      </c>
      <c r="I56" s="301">
        <f t="shared" ref="I56:L56" si="37">I668</f>
        <v>3700000</v>
      </c>
      <c r="J56" s="301">
        <f t="shared" si="37"/>
        <v>3700000</v>
      </c>
      <c r="K56" s="301">
        <f t="shared" si="37"/>
        <v>3700000</v>
      </c>
      <c r="L56" s="301">
        <f t="shared" si="37"/>
        <v>3700000</v>
      </c>
    </row>
    <row r="57" spans="1:16" ht="15.6" x14ac:dyDescent="0.35">
      <c r="A57" s="44"/>
      <c r="B57" s="218" t="s">
        <v>53</v>
      </c>
      <c r="C57" s="230"/>
      <c r="D57" s="230"/>
      <c r="E57" s="231"/>
      <c r="F57" s="395">
        <f>SUM(F51:F56)</f>
        <v>1146400000</v>
      </c>
      <c r="G57" s="395">
        <f t="shared" ref="G57:L57" si="38">SUM(G51:G56)</f>
        <v>775300000</v>
      </c>
      <c r="H57" s="233">
        <f t="shared" si="38"/>
        <v>512210665.14641583</v>
      </c>
      <c r="I57" s="233">
        <f t="shared" si="38"/>
        <v>446902699.77379376</v>
      </c>
      <c r="J57" s="233">
        <f t="shared" si="38"/>
        <v>432906237.2619155</v>
      </c>
      <c r="K57" s="233">
        <f t="shared" si="38"/>
        <v>423114638.04649377</v>
      </c>
      <c r="L57" s="233">
        <f t="shared" si="38"/>
        <v>418023032.99609292</v>
      </c>
    </row>
    <row r="58" spans="1:16" ht="15.6" x14ac:dyDescent="0.35">
      <c r="A58" s="44"/>
      <c r="B58" s="61"/>
      <c r="C58" s="61"/>
      <c r="D58" s="61"/>
      <c r="E58" s="61"/>
      <c r="F58" s="187"/>
      <c r="G58" s="187"/>
      <c r="H58" s="187"/>
      <c r="I58" s="187"/>
      <c r="J58" s="187"/>
      <c r="K58" s="187"/>
      <c r="L58" s="187"/>
    </row>
    <row r="59" spans="1:16" ht="15.6" x14ac:dyDescent="0.35">
      <c r="A59" s="44"/>
      <c r="B59" s="217" t="s">
        <v>54</v>
      </c>
      <c r="C59" s="243"/>
      <c r="D59" s="243"/>
      <c r="E59" s="244"/>
      <c r="F59" s="390"/>
      <c r="G59" s="387"/>
      <c r="H59" s="182"/>
      <c r="I59" s="182"/>
      <c r="J59" s="182"/>
      <c r="K59" s="182"/>
      <c r="L59" s="182"/>
      <c r="O59" s="35"/>
      <c r="P59" s="35"/>
    </row>
    <row r="60" spans="1:16" ht="15.6" x14ac:dyDescent="0.35">
      <c r="A60" s="44"/>
      <c r="B60" s="227" t="s">
        <v>55</v>
      </c>
      <c r="C60" s="236"/>
      <c r="D60" s="236"/>
      <c r="E60" s="237"/>
      <c r="F60" s="389"/>
      <c r="G60" s="388"/>
      <c r="H60" s="182"/>
      <c r="I60" s="182"/>
      <c r="J60" s="182"/>
      <c r="K60" s="182"/>
      <c r="L60" s="182"/>
    </row>
    <row r="61" spans="1:16" ht="15.6" x14ac:dyDescent="0.35">
      <c r="A61" s="44"/>
      <c r="B61" s="217" t="s">
        <v>56</v>
      </c>
      <c r="C61" s="243"/>
      <c r="D61" s="243"/>
      <c r="E61" s="244"/>
      <c r="F61" s="247">
        <v>283200000</v>
      </c>
      <c r="G61" s="247">
        <v>153400000</v>
      </c>
      <c r="H61" s="301">
        <f>H457</f>
        <v>139484311.15334117</v>
      </c>
      <c r="I61" s="301">
        <f t="shared" ref="I61:L61" si="39">I457</f>
        <v>121330999.80423221</v>
      </c>
      <c r="J61" s="301">
        <f t="shared" si="39"/>
        <v>99544419.919958234</v>
      </c>
      <c r="K61" s="301">
        <f t="shared" si="39"/>
        <v>74391381.092968792</v>
      </c>
      <c r="L61" s="301">
        <f t="shared" si="39"/>
        <v>46108074.736514539</v>
      </c>
    </row>
    <row r="62" spans="1:16" ht="15.6" x14ac:dyDescent="0.35">
      <c r="A62" s="44"/>
      <c r="B62" s="217" t="s">
        <v>201</v>
      </c>
      <c r="C62" s="243"/>
      <c r="D62" s="243"/>
      <c r="E62" s="244"/>
      <c r="F62" s="247">
        <v>514000000</v>
      </c>
      <c r="G62" s="247">
        <v>473600000</v>
      </c>
      <c r="H62" s="301">
        <f>H487</f>
        <v>456175224.88332987</v>
      </c>
      <c r="I62" s="301">
        <f t="shared" ref="I62:L62" si="40">I487</f>
        <v>421006752.34841764</v>
      </c>
      <c r="J62" s="301">
        <f t="shared" si="40"/>
        <v>370625122.55612516</v>
      </c>
      <c r="K62" s="301">
        <f t="shared" si="40"/>
        <v>306147515.87680662</v>
      </c>
      <c r="L62" s="301">
        <f t="shared" si="40"/>
        <v>228562908.78656009</v>
      </c>
    </row>
    <row r="63" spans="1:16" ht="15.6" x14ac:dyDescent="0.35">
      <c r="A63" s="44"/>
      <c r="B63" s="217" t="s">
        <v>58</v>
      </c>
      <c r="C63" s="243"/>
      <c r="D63" s="243"/>
      <c r="E63" s="244"/>
      <c r="F63" s="247">
        <v>254000000</v>
      </c>
      <c r="G63" s="247">
        <v>172100000</v>
      </c>
      <c r="H63" s="262">
        <f>H404</f>
        <v>154890000</v>
      </c>
      <c r="I63" s="301">
        <f t="shared" ref="I63:L63" si="41">I404</f>
        <v>137680000</v>
      </c>
      <c r="J63" s="301">
        <f t="shared" si="41"/>
        <v>120470000</v>
      </c>
      <c r="K63" s="301">
        <f t="shared" si="41"/>
        <v>103260000</v>
      </c>
      <c r="L63" s="301">
        <f t="shared" si="41"/>
        <v>86050000</v>
      </c>
    </row>
    <row r="64" spans="1:16" ht="15.6" x14ac:dyDescent="0.35">
      <c r="A64" s="44"/>
      <c r="B64" s="217" t="s">
        <v>202</v>
      </c>
      <c r="C64" s="243"/>
      <c r="D64" s="243"/>
      <c r="E64" s="244"/>
      <c r="F64" s="247">
        <v>7100000</v>
      </c>
      <c r="G64" s="247">
        <v>6200000</v>
      </c>
      <c r="H64" s="301">
        <f>G64</f>
        <v>6200000</v>
      </c>
      <c r="I64" s="301">
        <f t="shared" ref="I64:L64" si="42">H64</f>
        <v>6200000</v>
      </c>
      <c r="J64" s="301">
        <f t="shared" si="42"/>
        <v>6200000</v>
      </c>
      <c r="K64" s="301">
        <f t="shared" si="42"/>
        <v>6200000</v>
      </c>
      <c r="L64" s="301">
        <f t="shared" si="42"/>
        <v>6200000</v>
      </c>
    </row>
    <row r="65" spans="1:14" ht="15.6" x14ac:dyDescent="0.35">
      <c r="A65" s="44"/>
      <c r="B65" s="217" t="s">
        <v>203</v>
      </c>
      <c r="C65" s="243"/>
      <c r="D65" s="243"/>
      <c r="E65" s="244"/>
      <c r="F65" s="247">
        <v>0</v>
      </c>
      <c r="G65" s="247">
        <v>44900000</v>
      </c>
      <c r="H65" s="301">
        <f>G65</f>
        <v>44900000</v>
      </c>
      <c r="I65" s="301">
        <f t="shared" ref="I65:L65" si="43">H65</f>
        <v>44900000</v>
      </c>
      <c r="J65" s="301">
        <f t="shared" si="43"/>
        <v>44900000</v>
      </c>
      <c r="K65" s="301">
        <f t="shared" si="43"/>
        <v>44900000</v>
      </c>
      <c r="L65" s="301">
        <f t="shared" si="43"/>
        <v>44900000</v>
      </c>
    </row>
    <row r="66" spans="1:14" ht="15.6" x14ac:dyDescent="0.35">
      <c r="A66" s="44"/>
      <c r="B66" s="217" t="s">
        <v>51</v>
      </c>
      <c r="C66" s="243"/>
      <c r="D66" s="243"/>
      <c r="E66" s="244"/>
      <c r="F66" s="247">
        <v>3700000</v>
      </c>
      <c r="G66" s="247">
        <v>1800000</v>
      </c>
      <c r="H66" s="301">
        <f>G66</f>
        <v>1800000</v>
      </c>
      <c r="I66" s="301">
        <f t="shared" ref="I66:L66" si="44">H66</f>
        <v>1800000</v>
      </c>
      <c r="J66" s="301">
        <f t="shared" si="44"/>
        <v>1800000</v>
      </c>
      <c r="K66" s="301">
        <f t="shared" si="44"/>
        <v>1800000</v>
      </c>
      <c r="L66" s="301">
        <f t="shared" si="44"/>
        <v>1800000</v>
      </c>
      <c r="N66" t="s">
        <v>303</v>
      </c>
    </row>
    <row r="67" spans="1:14" ht="15.6" x14ac:dyDescent="0.35">
      <c r="A67" s="44"/>
      <c r="B67" s="217" t="s">
        <v>199</v>
      </c>
      <c r="C67" s="243"/>
      <c r="D67" s="243"/>
      <c r="E67" s="244"/>
      <c r="F67" s="247">
        <v>300000</v>
      </c>
      <c r="G67" s="247">
        <v>100000</v>
      </c>
      <c r="H67" s="301">
        <f>G67</f>
        <v>100000</v>
      </c>
      <c r="I67" s="301">
        <f t="shared" ref="I67:L67" si="45">H67</f>
        <v>100000</v>
      </c>
      <c r="J67" s="301">
        <f t="shared" si="45"/>
        <v>100000</v>
      </c>
      <c r="K67" s="301">
        <f t="shared" si="45"/>
        <v>100000</v>
      </c>
      <c r="L67" s="301">
        <f t="shared" si="45"/>
        <v>100000</v>
      </c>
      <c r="N67" t="s">
        <v>303</v>
      </c>
    </row>
    <row r="68" spans="1:14" ht="15.6" x14ac:dyDescent="0.35">
      <c r="A68" s="44"/>
      <c r="B68" s="217" t="s">
        <v>174</v>
      </c>
      <c r="C68" s="243"/>
      <c r="D68" s="243"/>
      <c r="E68" s="244"/>
      <c r="F68" s="247">
        <v>62500000</v>
      </c>
      <c r="G68" s="247">
        <v>44700000</v>
      </c>
      <c r="H68" s="301">
        <f>H682</f>
        <v>44700000</v>
      </c>
      <c r="I68" s="301">
        <f t="shared" ref="I68:L68" si="46">I682</f>
        <v>44700000</v>
      </c>
      <c r="J68" s="301">
        <f t="shared" si="46"/>
        <v>44700000</v>
      </c>
      <c r="K68" s="301">
        <f t="shared" si="46"/>
        <v>44700000</v>
      </c>
      <c r="L68" s="301">
        <f t="shared" si="46"/>
        <v>44700000</v>
      </c>
    </row>
    <row r="69" spans="1:14" ht="15.6" x14ac:dyDescent="0.35">
      <c r="A69" s="44"/>
      <c r="B69" s="218" t="s">
        <v>57</v>
      </c>
      <c r="C69" s="230"/>
      <c r="D69" s="230"/>
      <c r="E69" s="231"/>
      <c r="F69" s="395">
        <f>SUM(F61:F68)+F57</f>
        <v>2271200000</v>
      </c>
      <c r="G69" s="395">
        <f>SUM(G61:G68)+G57</f>
        <v>1672100000</v>
      </c>
      <c r="H69" s="233">
        <f>SUM(H57)+SUM(H61:H68)</f>
        <v>1360460201.1830869</v>
      </c>
      <c r="I69" s="233">
        <f>SUM(I57)+SUM(I61:I68)</f>
        <v>1224620451.9264436</v>
      </c>
      <c r="J69" s="233">
        <f>SUM(J57)+SUM(J61:J68)</f>
        <v>1121245779.737999</v>
      </c>
      <c r="K69" s="233">
        <f>SUM(K57)+SUM(K61:K68)</f>
        <v>1004613535.0162692</v>
      </c>
      <c r="L69" s="233">
        <f>SUM(L57)+SUM(L61:L68)</f>
        <v>876444016.51916754</v>
      </c>
    </row>
    <row r="70" spans="1:14" ht="15.6" x14ac:dyDescent="0.35">
      <c r="A70" s="44"/>
      <c r="B70" s="63"/>
      <c r="C70" s="63"/>
      <c r="D70" s="61"/>
      <c r="E70" s="61"/>
      <c r="F70" s="76"/>
      <c r="G70" s="76"/>
      <c r="H70" s="76"/>
      <c r="I70" s="76"/>
      <c r="J70" s="76"/>
      <c r="K70" s="61"/>
      <c r="L70" s="61"/>
    </row>
    <row r="71" spans="1:14" ht="15.6" x14ac:dyDescent="0.35">
      <c r="A71" s="44"/>
      <c r="B71" s="202" t="s">
        <v>319</v>
      </c>
      <c r="C71" s="203"/>
      <c r="D71" s="204"/>
      <c r="E71" s="204"/>
      <c r="F71" s="205"/>
      <c r="G71" s="205"/>
      <c r="H71" s="205"/>
      <c r="I71" s="205"/>
      <c r="J71" s="205"/>
      <c r="K71" s="205"/>
      <c r="L71" s="206"/>
    </row>
    <row r="72" spans="1:14" ht="15.6" x14ac:dyDescent="0.35">
      <c r="A72" s="44"/>
      <c r="B72" s="61"/>
      <c r="C72" s="61"/>
      <c r="D72" s="61"/>
      <c r="E72" s="61"/>
      <c r="F72" s="74"/>
      <c r="G72" s="74"/>
      <c r="H72" s="75"/>
      <c r="I72" s="75"/>
      <c r="J72" s="75"/>
      <c r="K72" s="75"/>
      <c r="L72" s="75"/>
    </row>
    <row r="73" spans="1:14" ht="15.6" x14ac:dyDescent="0.35">
      <c r="A73" s="44"/>
      <c r="B73" s="217" t="s">
        <v>8</v>
      </c>
      <c r="C73" s="243"/>
      <c r="D73" s="243"/>
      <c r="E73" s="244"/>
      <c r="F73" s="247">
        <v>-671700000</v>
      </c>
      <c r="G73" s="247">
        <v>-619300000</v>
      </c>
      <c r="H73" s="301">
        <f>-H351</f>
        <v>-620260850.18382359</v>
      </c>
      <c r="I73" s="301">
        <f t="shared" ref="I73:L73" si="47">-I351</f>
        <v>-597651341.77389705</v>
      </c>
      <c r="J73" s="301">
        <f t="shared" si="47"/>
        <v>-594353955.06066191</v>
      </c>
      <c r="K73" s="301">
        <f t="shared" si="47"/>
        <v>-601252706.32475889</v>
      </c>
      <c r="L73" s="301">
        <f t="shared" si="47"/>
        <v>-619290287.51450157</v>
      </c>
    </row>
    <row r="74" spans="1:14" ht="15.6" x14ac:dyDescent="0.35">
      <c r="A74" s="44"/>
      <c r="B74" s="217" t="s">
        <v>206</v>
      </c>
      <c r="C74" s="243"/>
      <c r="D74" s="243"/>
      <c r="E74" s="244"/>
      <c r="F74" s="247">
        <v>-6600000</v>
      </c>
      <c r="G74" s="247">
        <v>-9800000</v>
      </c>
      <c r="H74" s="262">
        <f>G74</f>
        <v>-9800000</v>
      </c>
      <c r="I74" s="301">
        <f t="shared" ref="I74:L74" si="48">H74</f>
        <v>-9800000</v>
      </c>
      <c r="J74" s="301">
        <f t="shared" si="48"/>
        <v>-9800000</v>
      </c>
      <c r="K74" s="301">
        <f t="shared" si="48"/>
        <v>-9800000</v>
      </c>
      <c r="L74" s="301">
        <f t="shared" si="48"/>
        <v>-9800000</v>
      </c>
    </row>
    <row r="75" spans="1:14" ht="15.6" x14ac:dyDescent="0.35">
      <c r="A75" s="44"/>
      <c r="B75" s="217" t="s">
        <v>3</v>
      </c>
      <c r="C75" s="243"/>
      <c r="D75" s="243"/>
      <c r="E75" s="244"/>
      <c r="F75" s="247">
        <v>-27200000</v>
      </c>
      <c r="G75" s="247">
        <v>-27500000</v>
      </c>
      <c r="H75" s="301">
        <f>H419</f>
        <v>-26125950</v>
      </c>
      <c r="I75" s="301">
        <f t="shared" ref="I75:L75" si="49">I419</f>
        <v>-26909728.5</v>
      </c>
      <c r="J75" s="301">
        <f t="shared" si="49"/>
        <v>-27717020.355</v>
      </c>
      <c r="K75" s="301">
        <f t="shared" si="49"/>
        <v>-28548530.96565</v>
      </c>
      <c r="L75" s="301">
        <f t="shared" si="49"/>
        <v>0</v>
      </c>
    </row>
    <row r="76" spans="1:14" ht="15.6" x14ac:dyDescent="0.35">
      <c r="A76" s="44"/>
      <c r="B76" s="217" t="s">
        <v>175</v>
      </c>
      <c r="C76" s="243"/>
      <c r="D76" s="243"/>
      <c r="E76" s="244"/>
      <c r="F76" s="247">
        <v>-2700000</v>
      </c>
      <c r="G76" s="247">
        <v>-4400000</v>
      </c>
      <c r="H76" s="301">
        <f>H332</f>
        <v>-3604017.6125244615</v>
      </c>
      <c r="I76" s="301">
        <f t="shared" ref="I76:L76" si="50">I332</f>
        <v>-3344688.8454011739</v>
      </c>
      <c r="J76" s="301">
        <f t="shared" si="50"/>
        <v>-3085360.0782778864</v>
      </c>
      <c r="K76" s="301">
        <f t="shared" si="50"/>
        <v>-2826031.3111545988</v>
      </c>
      <c r="L76" s="301">
        <f t="shared" si="50"/>
        <v>-2566702.5440313108</v>
      </c>
    </row>
    <row r="77" spans="1:14" ht="15.6" x14ac:dyDescent="0.35">
      <c r="A77" s="44"/>
      <c r="B77" s="217" t="s">
        <v>205</v>
      </c>
      <c r="C77" s="243"/>
      <c r="D77" s="243"/>
      <c r="E77" s="244"/>
      <c r="F77" s="247">
        <v>-4200000</v>
      </c>
      <c r="G77" s="247">
        <v>0</v>
      </c>
      <c r="H77" s="301">
        <f>(H676)+(H676)</f>
        <v>0</v>
      </c>
      <c r="I77" s="301">
        <f>0+((I676)+(I676))</f>
        <v>0</v>
      </c>
      <c r="J77" s="301">
        <f>0+((J676)+(J676))</f>
        <v>0</v>
      </c>
      <c r="K77" s="301">
        <f>0+((K676)+(K676))</f>
        <v>0</v>
      </c>
      <c r="L77" s="301">
        <f>0+((L676)+(L676))</f>
        <v>0</v>
      </c>
    </row>
    <row r="78" spans="1:14" ht="15.6" x14ac:dyDescent="0.35">
      <c r="A78" s="44"/>
      <c r="B78" s="218" t="s">
        <v>60</v>
      </c>
      <c r="C78" s="230"/>
      <c r="D78" s="230"/>
      <c r="E78" s="231"/>
      <c r="F78" s="395">
        <f>SUM(F73:F77)</f>
        <v>-712400000</v>
      </c>
      <c r="G78" s="395">
        <f>SUM(G73:G77)</f>
        <v>-661000000</v>
      </c>
      <c r="H78" s="233">
        <f t="shared" ref="H78:L78" si="51">SUM(H73:H77)</f>
        <v>-659790817.79634809</v>
      </c>
      <c r="I78" s="233">
        <f t="shared" si="51"/>
        <v>-637705759.11929822</v>
      </c>
      <c r="J78" s="233">
        <f t="shared" si="51"/>
        <v>-634956335.49393988</v>
      </c>
      <c r="K78" s="233">
        <f t="shared" si="51"/>
        <v>-642427268.60156345</v>
      </c>
      <c r="L78" s="233">
        <f t="shared" si="51"/>
        <v>-631656990.05853283</v>
      </c>
    </row>
    <row r="79" spans="1:14" ht="15.6" x14ac:dyDescent="0.35">
      <c r="A79" s="44"/>
      <c r="B79" s="63"/>
      <c r="C79" s="63"/>
      <c r="D79" s="63"/>
      <c r="E79" s="63"/>
      <c r="F79" s="362"/>
      <c r="G79" s="362"/>
      <c r="H79" s="259"/>
      <c r="I79" s="259"/>
      <c r="J79" s="259"/>
      <c r="K79" s="259"/>
      <c r="L79" s="259"/>
    </row>
    <row r="80" spans="1:14" ht="15.6" x14ac:dyDescent="0.35">
      <c r="A80" s="44"/>
      <c r="B80" s="217" t="s">
        <v>177</v>
      </c>
      <c r="C80" s="242"/>
      <c r="D80" s="243"/>
      <c r="E80" s="244"/>
      <c r="F80" s="247">
        <v>-1600000</v>
      </c>
      <c r="G80" s="247">
        <v>-96400000</v>
      </c>
      <c r="H80" s="393"/>
      <c r="I80" s="393"/>
      <c r="J80" s="393"/>
      <c r="K80" s="393"/>
      <c r="L80" s="393"/>
    </row>
    <row r="81" spans="1:12" ht="15.6" x14ac:dyDescent="0.35">
      <c r="A81" s="44"/>
      <c r="B81" s="217" t="s">
        <v>176</v>
      </c>
      <c r="C81" s="391"/>
      <c r="D81" s="391"/>
      <c r="E81" s="392"/>
      <c r="F81" s="247">
        <v>-686500000</v>
      </c>
      <c r="G81" s="247">
        <v>-407200000</v>
      </c>
      <c r="H81" s="394"/>
      <c r="I81" s="394"/>
      <c r="J81" s="394"/>
      <c r="K81" s="394"/>
      <c r="L81" s="394"/>
    </row>
    <row r="82" spans="1:12" ht="15.6" x14ac:dyDescent="0.35">
      <c r="A82" s="44"/>
      <c r="B82" s="316" t="s">
        <v>61</v>
      </c>
      <c r="C82" s="317"/>
      <c r="D82" s="317"/>
      <c r="E82" s="318"/>
      <c r="F82" s="397">
        <f>SUM(F80,F81)</f>
        <v>-688100000</v>
      </c>
      <c r="G82" s="397">
        <f t="shared" ref="G82" si="52">SUM(G80,G81)</f>
        <v>-503600000</v>
      </c>
      <c r="H82" s="263">
        <f>-H566</f>
        <v>-419700000</v>
      </c>
      <c r="I82" s="263">
        <f>-I566</f>
        <v>-551202340.46364355</v>
      </c>
      <c r="J82" s="263">
        <f>-J566</f>
        <v>-725931376.64582825</v>
      </c>
      <c r="K82" s="263">
        <f>-K566</f>
        <v>-904548878.60473251</v>
      </c>
      <c r="L82" s="263">
        <f>-L566</f>
        <v>-1082189850.1222041</v>
      </c>
    </row>
    <row r="83" spans="1:12" ht="15.6" x14ac:dyDescent="0.35">
      <c r="A83" s="44"/>
      <c r="B83" s="242"/>
      <c r="C83" s="242"/>
      <c r="D83" s="242"/>
      <c r="E83" s="242"/>
      <c r="F83" s="399"/>
      <c r="G83" s="399"/>
      <c r="H83" s="335"/>
      <c r="I83" s="335"/>
      <c r="J83" s="335"/>
      <c r="K83" s="335"/>
      <c r="L83" s="335"/>
    </row>
    <row r="84" spans="1:12" ht="15.6" x14ac:dyDescent="0.35">
      <c r="A84" s="44"/>
      <c r="B84" s="225" t="s">
        <v>175</v>
      </c>
      <c r="C84" s="61"/>
      <c r="D84" s="61"/>
      <c r="E84" s="220"/>
      <c r="F84" s="360">
        <v>-86500000</v>
      </c>
      <c r="G84" s="360">
        <v>-97800000</v>
      </c>
      <c r="H84" s="398">
        <f>H333</f>
        <v>-80107482.387475535</v>
      </c>
      <c r="I84" s="398">
        <f t="shared" ref="I84:L84" si="53">I333</f>
        <v>-74343311.154598832</v>
      </c>
      <c r="J84" s="398">
        <f t="shared" si="53"/>
        <v>-68579139.921722114</v>
      </c>
      <c r="K84" s="398">
        <f t="shared" si="53"/>
        <v>-62814968.688845403</v>
      </c>
      <c r="L84" s="398">
        <f t="shared" si="53"/>
        <v>-57050797.455968685</v>
      </c>
    </row>
    <row r="85" spans="1:12" ht="15.6" x14ac:dyDescent="0.35">
      <c r="A85" s="44"/>
      <c r="B85" s="223" t="s">
        <v>206</v>
      </c>
      <c r="C85" s="224"/>
      <c r="D85" s="224"/>
      <c r="E85" s="219"/>
      <c r="F85" s="247">
        <v>-500000</v>
      </c>
      <c r="G85" s="247">
        <v>-300000</v>
      </c>
      <c r="H85" s="301">
        <f>G85</f>
        <v>-300000</v>
      </c>
      <c r="I85" s="301">
        <f t="shared" ref="I85:L85" si="54">H85</f>
        <v>-300000</v>
      </c>
      <c r="J85" s="301">
        <f t="shared" si="54"/>
        <v>-300000</v>
      </c>
      <c r="K85" s="301">
        <f t="shared" si="54"/>
        <v>-300000</v>
      </c>
      <c r="L85" s="301">
        <f t="shared" si="54"/>
        <v>-300000</v>
      </c>
    </row>
    <row r="86" spans="1:12" ht="15.6" x14ac:dyDescent="0.35">
      <c r="A86" s="44"/>
      <c r="B86" s="217" t="s">
        <v>3</v>
      </c>
      <c r="C86" s="243"/>
      <c r="D86" s="243"/>
      <c r="E86" s="244"/>
      <c r="F86" s="247">
        <v>-262400000</v>
      </c>
      <c r="G86" s="247">
        <v>-197000000</v>
      </c>
      <c r="H86" s="301">
        <f>H420</f>
        <v>-173009050</v>
      </c>
      <c r="I86" s="301">
        <f t="shared" ref="I86:L86" si="55">I420</f>
        <v>-146099321.5</v>
      </c>
      <c r="J86" s="301">
        <f t="shared" si="55"/>
        <v>-118382301.145</v>
      </c>
      <c r="K86" s="301">
        <f t="shared" si="55"/>
        <v>-89833770.179350019</v>
      </c>
      <c r="L86" s="301">
        <f t="shared" si="55"/>
        <v>-89833770.179350019</v>
      </c>
    </row>
    <row r="87" spans="1:12" ht="15.6" x14ac:dyDescent="0.35">
      <c r="A87" s="44"/>
      <c r="B87" s="218" t="s">
        <v>321</v>
      </c>
      <c r="C87" s="230"/>
      <c r="D87" s="230"/>
      <c r="E87" s="231"/>
      <c r="F87" s="395">
        <f>SUM(F82:F86)</f>
        <v>-1037500000</v>
      </c>
      <c r="G87" s="395">
        <f t="shared" ref="G87:L87" si="56">SUM(G82:G86)</f>
        <v>-798700000</v>
      </c>
      <c r="H87" s="233">
        <f>SUM(H82:H86)</f>
        <v>-673116532.38747549</v>
      </c>
      <c r="I87" s="233">
        <f t="shared" si="56"/>
        <v>-771944973.11824238</v>
      </c>
      <c r="J87" s="233">
        <f t="shared" si="56"/>
        <v>-913192817.7125504</v>
      </c>
      <c r="K87" s="233">
        <f t="shared" si="56"/>
        <v>-1057497617.4729279</v>
      </c>
      <c r="L87" s="233">
        <f t="shared" si="56"/>
        <v>-1229374417.7575226</v>
      </c>
    </row>
    <row r="88" spans="1:12" ht="15.6" x14ac:dyDescent="0.35">
      <c r="A88" s="44"/>
      <c r="B88" s="63"/>
      <c r="C88" s="63"/>
      <c r="D88" s="63"/>
      <c r="E88" s="63"/>
      <c r="F88" s="188"/>
      <c r="G88" s="188"/>
      <c r="H88" s="259"/>
      <c r="I88" s="259"/>
      <c r="J88" s="259"/>
      <c r="K88" s="259"/>
      <c r="L88" s="259"/>
    </row>
    <row r="89" spans="1:12" ht="15.6" x14ac:dyDescent="0.35">
      <c r="A89" s="44"/>
      <c r="B89" s="218" t="s">
        <v>322</v>
      </c>
      <c r="C89" s="230"/>
      <c r="D89" s="230"/>
      <c r="E89" s="231"/>
      <c r="F89" s="395">
        <f>F87+F78</f>
        <v>-1749900000</v>
      </c>
      <c r="G89" s="395">
        <f t="shared" ref="G89:L89" si="57">G87+G78</f>
        <v>-1459700000</v>
      </c>
      <c r="H89" s="233">
        <f t="shared" si="57"/>
        <v>-1332907350.1838236</v>
      </c>
      <c r="I89" s="233">
        <f t="shared" si="57"/>
        <v>-1409650732.2375407</v>
      </c>
      <c r="J89" s="233">
        <f t="shared" si="57"/>
        <v>-1548149153.2064903</v>
      </c>
      <c r="K89" s="233">
        <f t="shared" si="57"/>
        <v>-1699924886.0744915</v>
      </c>
      <c r="L89" s="233">
        <f t="shared" si="57"/>
        <v>-1861031407.8160553</v>
      </c>
    </row>
    <row r="90" spans="1:12" ht="15.6" x14ac:dyDescent="0.35">
      <c r="A90" s="44"/>
      <c r="B90" s="63"/>
      <c r="C90" s="63"/>
      <c r="D90" s="63"/>
      <c r="E90" s="63"/>
      <c r="F90" s="362"/>
      <c r="G90" s="362"/>
      <c r="H90" s="259"/>
      <c r="I90" s="259"/>
      <c r="J90" s="259"/>
      <c r="K90" s="259"/>
      <c r="L90" s="259"/>
    </row>
    <row r="91" spans="1:12" ht="15.6" x14ac:dyDescent="0.35">
      <c r="A91" s="44"/>
      <c r="B91" s="217" t="s">
        <v>178</v>
      </c>
      <c r="C91" s="243"/>
      <c r="D91" s="243"/>
      <c r="E91" s="244"/>
      <c r="F91" s="247">
        <v>4200000</v>
      </c>
      <c r="G91" s="247">
        <v>4200000</v>
      </c>
      <c r="H91" s="301">
        <f>G91</f>
        <v>4200000</v>
      </c>
      <c r="I91" s="301">
        <f t="shared" ref="I91:L91" si="58">H91</f>
        <v>4200000</v>
      </c>
      <c r="J91" s="301">
        <f t="shared" si="58"/>
        <v>4200000</v>
      </c>
      <c r="K91" s="301">
        <f t="shared" si="58"/>
        <v>4200000</v>
      </c>
      <c r="L91" s="301">
        <f t="shared" si="58"/>
        <v>4200000</v>
      </c>
    </row>
    <row r="92" spans="1:12" ht="15.6" x14ac:dyDescent="0.35">
      <c r="A92" s="44"/>
      <c r="B92" s="217" t="s">
        <v>207</v>
      </c>
      <c r="C92" s="243"/>
      <c r="D92" s="243"/>
      <c r="E92" s="244"/>
      <c r="F92" s="247">
        <v>322600000</v>
      </c>
      <c r="G92" s="247">
        <v>322600000</v>
      </c>
      <c r="H92" s="262">
        <f t="shared" ref="H92:L92" si="59">G92</f>
        <v>322600000</v>
      </c>
      <c r="I92" s="301">
        <f t="shared" si="59"/>
        <v>322600000</v>
      </c>
      <c r="J92" s="301">
        <f t="shared" si="59"/>
        <v>322600000</v>
      </c>
      <c r="K92" s="301">
        <f t="shared" si="59"/>
        <v>322600000</v>
      </c>
      <c r="L92" s="301">
        <f t="shared" si="59"/>
        <v>322600000</v>
      </c>
    </row>
    <row r="93" spans="1:12" ht="15.6" x14ac:dyDescent="0.35">
      <c r="A93" s="44"/>
      <c r="B93" s="217" t="s">
        <v>208</v>
      </c>
      <c r="C93" s="243"/>
      <c r="D93" s="243"/>
      <c r="E93" s="244"/>
      <c r="F93" s="247">
        <v>61900000</v>
      </c>
      <c r="G93" s="247">
        <v>3600000</v>
      </c>
      <c r="H93" s="301">
        <f t="shared" ref="H93:L93" si="60">G93</f>
        <v>3600000</v>
      </c>
      <c r="I93" s="301">
        <f t="shared" si="60"/>
        <v>3600000</v>
      </c>
      <c r="J93" s="301">
        <f t="shared" si="60"/>
        <v>3600000</v>
      </c>
      <c r="K93" s="301">
        <f t="shared" si="60"/>
        <v>3600000</v>
      </c>
      <c r="L93" s="301">
        <f t="shared" si="60"/>
        <v>3600000</v>
      </c>
    </row>
    <row r="94" spans="1:12" ht="15.6" x14ac:dyDescent="0.35">
      <c r="A94" s="44"/>
      <c r="B94" s="217" t="s">
        <v>62</v>
      </c>
      <c r="C94" s="243"/>
      <c r="D94" s="243"/>
      <c r="E94" s="244"/>
      <c r="F94" s="247">
        <v>132600000</v>
      </c>
      <c r="G94" s="247">
        <v>-118000000</v>
      </c>
      <c r="H94" s="301">
        <f>H707</f>
        <v>-302847149.00073671</v>
      </c>
      <c r="I94" s="301">
        <f t="shared" ref="I94:L94" si="61">I707</f>
        <v>-515430280.31109691</v>
      </c>
      <c r="J94" s="301">
        <f t="shared" si="61"/>
        <v>-757303373.4684912</v>
      </c>
      <c r="K94" s="301">
        <f t="shared" si="61"/>
        <v>-1025711351.0582223</v>
      </c>
      <c r="L94" s="301">
        <f t="shared" si="61"/>
        <v>-1314987391.2968884</v>
      </c>
    </row>
    <row r="95" spans="1:12" ht="15.6" x14ac:dyDescent="0.35">
      <c r="A95" s="44"/>
      <c r="B95" s="218" t="s">
        <v>63</v>
      </c>
      <c r="C95" s="230"/>
      <c r="D95" s="230"/>
      <c r="E95" s="231"/>
      <c r="F95" s="395">
        <f>SUM(F91:F94)-F89</f>
        <v>2271200000</v>
      </c>
      <c r="G95" s="395">
        <f t="shared" ref="G95" si="62">SUM(G91:G94)-G89</f>
        <v>1672100000</v>
      </c>
      <c r="H95" s="233">
        <f>SUM(H91:H94)-H89</f>
        <v>1360460201.1830869</v>
      </c>
      <c r="I95" s="233">
        <f>SUM(I91:I94)-I89</f>
        <v>1224620451.9264438</v>
      </c>
      <c r="J95" s="233">
        <f t="shared" ref="J95:L95" si="63">SUM(J91:J94)-J89</f>
        <v>1121245779.737999</v>
      </c>
      <c r="K95" s="233">
        <f t="shared" si="63"/>
        <v>1004613535.0162692</v>
      </c>
      <c r="L95" s="233">
        <f t="shared" si="63"/>
        <v>876444016.51916695</v>
      </c>
    </row>
    <row r="96" spans="1:12" ht="15.6" x14ac:dyDescent="0.35">
      <c r="A96" s="44"/>
      <c r="B96" s="61" t="s">
        <v>155</v>
      </c>
      <c r="C96" s="61"/>
      <c r="D96" s="61"/>
      <c r="E96" s="61"/>
      <c r="F96" s="187">
        <f t="shared" ref="F96:L96" si="64">F69-F95</f>
        <v>0</v>
      </c>
      <c r="G96" s="187">
        <f t="shared" si="64"/>
        <v>0</v>
      </c>
      <c r="H96" s="187">
        <f>H69-H95</f>
        <v>0</v>
      </c>
      <c r="I96" s="187">
        <f t="shared" si="64"/>
        <v>0</v>
      </c>
      <c r="J96" s="187">
        <f t="shared" si="64"/>
        <v>0</v>
      </c>
      <c r="K96" s="187">
        <f t="shared" si="64"/>
        <v>0</v>
      </c>
      <c r="L96" s="187">
        <f t="shared" si="64"/>
        <v>0</v>
      </c>
    </row>
    <row r="97" spans="1:12" ht="15.6" x14ac:dyDescent="0.35">
      <c r="A97" s="44"/>
      <c r="B97" s="61"/>
      <c r="C97" s="61"/>
      <c r="D97" s="61"/>
      <c r="E97" s="61"/>
      <c r="F97" s="62"/>
      <c r="G97" s="62"/>
      <c r="H97" s="62"/>
      <c r="I97" s="62"/>
      <c r="J97" s="62"/>
      <c r="K97" s="62"/>
      <c r="L97" s="62"/>
    </row>
    <row r="98" spans="1:12" ht="15.6" x14ac:dyDescent="0.35">
      <c r="A98" s="44"/>
      <c r="B98" s="61" t="s">
        <v>184</v>
      </c>
      <c r="C98" s="61"/>
      <c r="D98" s="61"/>
      <c r="E98" s="61"/>
      <c r="F98" s="62"/>
      <c r="G98" s="62"/>
      <c r="H98" s="62"/>
      <c r="I98" s="62"/>
      <c r="J98" s="62"/>
      <c r="K98" s="62"/>
      <c r="L98" s="62"/>
    </row>
    <row r="99" spans="1:12" ht="15.6" x14ac:dyDescent="0.35">
      <c r="A99" s="44"/>
      <c r="B99" s="61"/>
      <c r="C99" s="61"/>
      <c r="D99" s="61"/>
      <c r="E99" s="61"/>
      <c r="F99" s="62"/>
      <c r="G99" s="62"/>
      <c r="H99" s="62"/>
      <c r="I99" s="62"/>
      <c r="J99" s="62"/>
      <c r="K99" s="62"/>
      <c r="L99" s="62"/>
    </row>
    <row r="100" spans="1:12" ht="15.6" x14ac:dyDescent="0.35">
      <c r="A100" s="44"/>
      <c r="B100" s="61"/>
      <c r="C100" s="61"/>
      <c r="D100" s="61"/>
      <c r="E100" s="61"/>
      <c r="F100" s="62"/>
      <c r="G100" s="62"/>
      <c r="H100" s="62"/>
      <c r="I100" s="62"/>
      <c r="J100" s="62"/>
      <c r="K100" s="62"/>
      <c r="L100" s="62"/>
    </row>
    <row r="101" spans="1:12" ht="15.6" x14ac:dyDescent="0.35">
      <c r="A101" s="44"/>
      <c r="B101" s="77"/>
      <c r="C101" s="77"/>
      <c r="D101" s="44"/>
      <c r="E101" s="44"/>
      <c r="F101" s="44"/>
      <c r="G101" s="78"/>
      <c r="H101" s="78"/>
      <c r="I101" s="78"/>
      <c r="J101" s="78"/>
      <c r="K101" s="78"/>
      <c r="L101" s="78"/>
    </row>
    <row r="102" spans="1:12" ht="15.6" x14ac:dyDescent="0.35">
      <c r="A102" s="44"/>
      <c r="B102" s="44"/>
      <c r="C102" s="44"/>
      <c r="D102" s="44"/>
      <c r="E102" s="44"/>
      <c r="F102" s="44"/>
      <c r="G102" s="44"/>
      <c r="H102" s="79"/>
      <c r="I102" s="79"/>
      <c r="J102" s="79"/>
      <c r="K102" s="44"/>
      <c r="L102" s="44"/>
    </row>
    <row r="103" spans="1:12" ht="28.8" x14ac:dyDescent="0.65">
      <c r="A103" s="44"/>
      <c r="B103" s="45" t="str">
        <f>Cover!$B$2</f>
        <v>ASOS PLC</v>
      </c>
      <c r="C103" s="45"/>
      <c r="D103" s="46"/>
      <c r="E103" s="47"/>
      <c r="F103" s="47"/>
      <c r="G103" s="47"/>
      <c r="H103" s="47"/>
      <c r="I103" s="47"/>
      <c r="J103" s="47"/>
      <c r="K103" s="47"/>
      <c r="L103" s="47"/>
    </row>
    <row r="104" spans="1:12" ht="21" x14ac:dyDescent="0.5">
      <c r="A104" s="44"/>
      <c r="B104" s="48" t="s">
        <v>38</v>
      </c>
      <c r="C104" s="49"/>
      <c r="D104" s="47"/>
      <c r="E104" s="47"/>
      <c r="F104" s="47"/>
      <c r="G104" s="47"/>
      <c r="H104" s="47"/>
      <c r="I104" s="47"/>
      <c r="J104" s="47"/>
      <c r="K104" s="47"/>
      <c r="L104" s="164" t="str">
        <f>"Currently Running: "&amp;CHOOSE(Assumptions!$B$10,Assumptions!$F$15,Assumptions!$F$16,Assumptions!$F$17)&amp;"Scenario"</f>
        <v>Currently Running: Base Scenario</v>
      </c>
    </row>
    <row r="105" spans="1:12" ht="15.6" x14ac:dyDescent="0.35">
      <c r="A105" s="44"/>
      <c r="B105" s="50"/>
      <c r="C105" s="50"/>
      <c r="D105" s="50"/>
      <c r="E105" s="50"/>
      <c r="F105" s="50"/>
      <c r="G105" s="50"/>
      <c r="H105" s="50"/>
      <c r="I105" s="50"/>
      <c r="J105" s="50"/>
      <c r="K105" s="51"/>
      <c r="L105" s="51"/>
    </row>
    <row r="106" spans="1:12" ht="15.6" x14ac:dyDescent="0.35">
      <c r="A106" s="44"/>
      <c r="B106" s="51"/>
      <c r="C106" s="51"/>
      <c r="D106" s="51"/>
      <c r="E106" s="51"/>
      <c r="F106" s="249" t="s">
        <v>374</v>
      </c>
      <c r="G106" s="52"/>
      <c r="H106" s="52"/>
      <c r="I106" s="52"/>
      <c r="J106" s="52"/>
      <c r="K106" s="52"/>
      <c r="L106" s="52"/>
    </row>
    <row r="107" spans="1:12" ht="15.6" x14ac:dyDescent="0.35">
      <c r="A107" s="44"/>
      <c r="B107" s="51"/>
      <c r="C107" s="51"/>
      <c r="D107" s="51"/>
      <c r="E107" s="51"/>
      <c r="F107" s="53">
        <f>F46</f>
        <v>2024</v>
      </c>
      <c r="G107" s="53">
        <f>F107+1</f>
        <v>2025</v>
      </c>
      <c r="H107" s="54">
        <f>G107+1</f>
        <v>2026</v>
      </c>
      <c r="I107" s="54">
        <f t="shared" ref="I107" si="65">H107+1</f>
        <v>2027</v>
      </c>
      <c r="J107" s="54">
        <f t="shared" ref="J107" si="66">I107+1</f>
        <v>2028</v>
      </c>
      <c r="K107" s="54">
        <f t="shared" ref="K107" si="67">J107+1</f>
        <v>2029</v>
      </c>
      <c r="L107" s="54">
        <f t="shared" ref="L107" si="68">K107+1</f>
        <v>2030</v>
      </c>
    </row>
    <row r="108" spans="1:12" ht="16.2" thickBot="1" x14ac:dyDescent="0.4">
      <c r="A108" s="44"/>
      <c r="B108" s="55" t="s">
        <v>191</v>
      </c>
      <c r="C108" s="55"/>
      <c r="D108" s="55"/>
      <c r="E108" s="55"/>
      <c r="F108" s="56" t="s">
        <v>50</v>
      </c>
      <c r="G108" s="56"/>
      <c r="H108" s="57"/>
      <c r="I108" s="57"/>
      <c r="J108" s="57"/>
      <c r="K108" s="57"/>
      <c r="L108" s="57" t="s">
        <v>37</v>
      </c>
    </row>
    <row r="109" spans="1:12" ht="15.6" x14ac:dyDescent="0.35">
      <c r="A109" s="44"/>
      <c r="B109" s="51"/>
      <c r="C109" s="51"/>
      <c r="D109" s="51"/>
      <c r="E109" s="51"/>
      <c r="F109" s="72"/>
      <c r="G109" s="72"/>
      <c r="H109" s="73"/>
      <c r="I109" s="73"/>
      <c r="J109" s="73"/>
      <c r="K109" s="73"/>
      <c r="L109" s="73"/>
    </row>
    <row r="110" spans="1:12" ht="15.6" x14ac:dyDescent="0.35">
      <c r="A110" s="44"/>
      <c r="B110" s="202" t="s">
        <v>66</v>
      </c>
      <c r="C110" s="203"/>
      <c r="D110" s="204"/>
      <c r="E110" s="204"/>
      <c r="F110" s="205"/>
      <c r="G110" s="205"/>
      <c r="H110" s="205"/>
      <c r="I110" s="205"/>
      <c r="J110" s="205"/>
      <c r="K110" s="205"/>
      <c r="L110" s="206"/>
    </row>
    <row r="111" spans="1:12" ht="15.6" x14ac:dyDescent="0.35">
      <c r="A111" s="44"/>
      <c r="B111" s="61"/>
      <c r="C111" s="61"/>
      <c r="D111" s="61"/>
      <c r="E111" s="61"/>
      <c r="F111" s="80"/>
      <c r="G111" s="80"/>
      <c r="H111" s="81"/>
      <c r="I111" s="81"/>
      <c r="J111" s="81"/>
      <c r="K111" s="81"/>
      <c r="L111" s="81"/>
    </row>
    <row r="112" spans="1:12" ht="15.6" x14ac:dyDescent="0.35">
      <c r="A112" s="44"/>
      <c r="B112" s="217" t="s">
        <v>304</v>
      </c>
      <c r="C112" s="243"/>
      <c r="D112" s="243"/>
      <c r="E112" s="244"/>
      <c r="F112" s="371"/>
      <c r="G112" s="371"/>
      <c r="H112" s="301">
        <f>H34</f>
        <v>-184847149.00073671</v>
      </c>
      <c r="I112" s="301">
        <f>I34</f>
        <v>-212583131.31036022</v>
      </c>
      <c r="J112" s="301">
        <f>J34</f>
        <v>-241873093.15739432</v>
      </c>
      <c r="K112" s="301">
        <f>K34</f>
        <v>-268407977.5897311</v>
      </c>
      <c r="L112" s="301">
        <f>L34</f>
        <v>-289276040.23866594</v>
      </c>
    </row>
    <row r="113" spans="1:12" ht="15.6" x14ac:dyDescent="0.35">
      <c r="A113" s="44"/>
      <c r="B113" s="322" t="s">
        <v>35</v>
      </c>
      <c r="C113" s="243"/>
      <c r="D113" s="243"/>
      <c r="E113" s="244"/>
      <c r="F113" s="371"/>
      <c r="G113" s="371"/>
      <c r="H113" s="301">
        <f>H448</f>
        <v>32542701.23926013</v>
      </c>
      <c r="I113" s="301">
        <f t="shared" ref="I113:L113" si="69">I448</f>
        <v>36211190.381788187</v>
      </c>
      <c r="J113" s="301">
        <f t="shared" si="69"/>
        <v>39820355.885143012</v>
      </c>
      <c r="K113" s="301">
        <f t="shared" si="69"/>
        <v>43453810.669478863</v>
      </c>
      <c r="L113" s="301">
        <f t="shared" si="69"/>
        <v>47172841.353424862</v>
      </c>
    </row>
    <row r="114" spans="1:12" ht="15.6" x14ac:dyDescent="0.35">
      <c r="A114" s="44"/>
      <c r="B114" s="322" t="s">
        <v>12</v>
      </c>
      <c r="C114" s="243"/>
      <c r="D114" s="243"/>
      <c r="E114" s="244"/>
      <c r="F114" s="371"/>
      <c r="G114" s="371"/>
      <c r="H114" s="301">
        <f>H398</f>
        <v>17210000</v>
      </c>
      <c r="I114" s="301">
        <f t="shared" ref="I114:L114" si="70">I398</f>
        <v>17210000</v>
      </c>
      <c r="J114" s="301">
        <f t="shared" si="70"/>
        <v>17210000</v>
      </c>
      <c r="K114" s="301">
        <f t="shared" si="70"/>
        <v>17210000</v>
      </c>
      <c r="L114" s="301">
        <f t="shared" si="70"/>
        <v>17210000</v>
      </c>
    </row>
    <row r="115" spans="1:12" ht="15.6" x14ac:dyDescent="0.35">
      <c r="A115" s="44"/>
      <c r="B115" s="322" t="s">
        <v>112</v>
      </c>
      <c r="C115" s="243"/>
      <c r="D115" s="243"/>
      <c r="E115" s="244"/>
      <c r="F115" s="371"/>
      <c r="G115" s="371"/>
      <c r="H115" s="301">
        <f>H475</f>
        <v>95419469.431481093</v>
      </c>
      <c r="I115" s="301">
        <f t="shared" ref="I115:L115" si="71">I475</f>
        <v>110780101.78830108</v>
      </c>
      <c r="J115" s="301">
        <f t="shared" si="71"/>
        <v>125892335.26045635</v>
      </c>
      <c r="K115" s="301">
        <f t="shared" si="71"/>
        <v>141106272.37704542</v>
      </c>
      <c r="L115" s="301">
        <f t="shared" si="71"/>
        <v>156678531.37532607</v>
      </c>
    </row>
    <row r="116" spans="1:12" ht="15.6" x14ac:dyDescent="0.35">
      <c r="A116" s="44"/>
      <c r="B116" s="105"/>
      <c r="C116" s="61"/>
      <c r="D116" s="61"/>
      <c r="E116" s="61"/>
      <c r="F116" s="80"/>
      <c r="G116" s="80"/>
      <c r="H116" s="187"/>
      <c r="I116" s="187"/>
      <c r="J116" s="187"/>
      <c r="K116" s="187"/>
      <c r="L116" s="187"/>
    </row>
    <row r="117" spans="1:12" ht="15.6" x14ac:dyDescent="0.35">
      <c r="A117" s="44"/>
      <c r="B117" s="322" t="s">
        <v>65</v>
      </c>
      <c r="C117" s="243"/>
      <c r="D117" s="243"/>
      <c r="E117" s="244"/>
      <c r="F117" s="371"/>
      <c r="G117" s="371"/>
      <c r="H117" s="301">
        <f>-H355</f>
        <v>22027234.183938026</v>
      </c>
      <c r="I117" s="301">
        <f t="shared" ref="I117:L117" si="72">-I355</f>
        <v>-4178592.1838347316</v>
      </c>
      <c r="J117" s="301">
        <f t="shared" si="72"/>
        <v>10699075.798643112</v>
      </c>
      <c r="K117" s="301">
        <f t="shared" si="72"/>
        <v>16690350.479518712</v>
      </c>
      <c r="L117" s="301">
        <f t="shared" si="72"/>
        <v>23129186.240143538</v>
      </c>
    </row>
    <row r="118" spans="1:12" ht="15.6" x14ac:dyDescent="0.35">
      <c r="A118" s="44"/>
      <c r="B118" s="372" t="s">
        <v>189</v>
      </c>
      <c r="C118" s="243"/>
      <c r="D118" s="243"/>
      <c r="E118" s="244"/>
      <c r="F118" s="371"/>
      <c r="G118" s="371"/>
      <c r="H118" s="373">
        <f>-H33</f>
        <v>0</v>
      </c>
      <c r="I118" s="373">
        <f>-I33</f>
        <v>0</v>
      </c>
      <c r="J118" s="373">
        <f>-J33</f>
        <v>0</v>
      </c>
      <c r="K118" s="373">
        <f>-K33</f>
        <v>0</v>
      </c>
      <c r="L118" s="373">
        <f>-L33</f>
        <v>0</v>
      </c>
    </row>
    <row r="119" spans="1:12" ht="15.6" x14ac:dyDescent="0.35">
      <c r="A119" s="44"/>
      <c r="B119" s="372" t="s">
        <v>190</v>
      </c>
      <c r="C119" s="243"/>
      <c r="D119" s="243"/>
      <c r="E119" s="244"/>
      <c r="F119" s="371"/>
      <c r="G119" s="371"/>
      <c r="H119" s="373">
        <f>-H662</f>
        <v>0</v>
      </c>
      <c r="I119" s="373">
        <f t="shared" ref="I119:L119" si="73">-I662</f>
        <v>0</v>
      </c>
      <c r="J119" s="373">
        <f t="shared" si="73"/>
        <v>0</v>
      </c>
      <c r="K119" s="373">
        <f t="shared" si="73"/>
        <v>0</v>
      </c>
      <c r="L119" s="373">
        <f t="shared" si="73"/>
        <v>0</v>
      </c>
    </row>
    <row r="120" spans="1:12" ht="15.6" x14ac:dyDescent="0.35">
      <c r="A120" s="44"/>
      <c r="B120" s="322" t="s">
        <v>320</v>
      </c>
      <c r="C120" s="243"/>
      <c r="D120" s="243"/>
      <c r="E120" s="244"/>
      <c r="F120" s="371"/>
      <c r="G120" s="371"/>
      <c r="H120" s="373"/>
      <c r="I120" s="373"/>
      <c r="J120" s="373"/>
      <c r="K120" s="373"/>
      <c r="L120" s="373"/>
    </row>
    <row r="121" spans="1:12" ht="15.6" x14ac:dyDescent="0.35">
      <c r="A121" s="44"/>
      <c r="B121" s="322" t="s">
        <v>305</v>
      </c>
      <c r="C121" s="243"/>
      <c r="D121" s="243"/>
      <c r="E121" s="244"/>
      <c r="F121" s="371"/>
      <c r="G121" s="371"/>
      <c r="H121" s="301">
        <f>-H328</f>
        <v>-18488500</v>
      </c>
      <c r="I121" s="301">
        <f>-I328</f>
        <v>-6023500</v>
      </c>
      <c r="J121" s="301">
        <f>-J328</f>
        <v>-6023500</v>
      </c>
      <c r="K121" s="301">
        <f>-K328</f>
        <v>-6023500</v>
      </c>
      <c r="L121" s="301">
        <f>-L328</f>
        <v>-6023500</v>
      </c>
    </row>
    <row r="122" spans="1:12" ht="15.6" x14ac:dyDescent="0.35">
      <c r="A122" s="44"/>
      <c r="B122" s="61"/>
      <c r="C122" s="61"/>
      <c r="D122" s="61"/>
      <c r="E122" s="61"/>
      <c r="F122" s="80"/>
      <c r="G122" s="80"/>
      <c r="H122" s="190"/>
      <c r="I122" s="190"/>
      <c r="J122" s="190"/>
      <c r="K122" s="190"/>
      <c r="L122" s="190"/>
    </row>
    <row r="123" spans="1:12" ht="15.6" x14ac:dyDescent="0.35">
      <c r="A123" s="44"/>
      <c r="B123" s="218" t="s">
        <v>154</v>
      </c>
      <c r="C123" s="230"/>
      <c r="D123" s="230"/>
      <c r="E123" s="231"/>
      <c r="F123" s="213"/>
      <c r="G123" s="213"/>
      <c r="H123" s="233">
        <f>SUM(H112:H115)+SUM(H117:H121)</f>
        <v>-36136244.146057457</v>
      </c>
      <c r="I123" s="233">
        <f t="shared" ref="I123:L123" si="74">SUM(I112:I115)+SUM(I117:I121)</f>
        <v>-58583931.32410568</v>
      </c>
      <c r="J123" s="233">
        <f t="shared" si="74"/>
        <v>-54274826.213151842</v>
      </c>
      <c r="K123" s="233">
        <f t="shared" si="74"/>
        <v>-55971044.063688099</v>
      </c>
      <c r="L123" s="233">
        <f t="shared" si="74"/>
        <v>-51108981.269771487</v>
      </c>
    </row>
    <row r="124" spans="1:12" ht="15.6" x14ac:dyDescent="0.35">
      <c r="A124" s="44"/>
      <c r="B124" s="61"/>
      <c r="C124" s="61"/>
      <c r="D124" s="61"/>
      <c r="E124" s="61"/>
      <c r="F124" s="80"/>
      <c r="G124" s="80"/>
      <c r="H124" s="81"/>
      <c r="I124" s="81"/>
      <c r="J124" s="81"/>
      <c r="K124" s="81"/>
      <c r="L124" s="81"/>
    </row>
    <row r="125" spans="1:12" ht="15.6" x14ac:dyDescent="0.35">
      <c r="A125" s="44"/>
      <c r="B125" s="202" t="s">
        <v>67</v>
      </c>
      <c r="C125" s="203"/>
      <c r="D125" s="204"/>
      <c r="E125" s="204"/>
      <c r="F125" s="205"/>
      <c r="G125" s="205"/>
      <c r="H125" s="205"/>
      <c r="I125" s="205"/>
      <c r="J125" s="205"/>
      <c r="K125" s="205"/>
      <c r="L125" s="206"/>
    </row>
    <row r="126" spans="1:12" ht="15.6" x14ac:dyDescent="0.35">
      <c r="A126" s="44"/>
      <c r="B126" s="61"/>
      <c r="C126" s="61"/>
      <c r="D126" s="61"/>
      <c r="E126" s="61"/>
      <c r="F126" s="80"/>
      <c r="G126" s="80"/>
      <c r="H126" s="81"/>
      <c r="I126" s="81"/>
      <c r="J126" s="81"/>
      <c r="K126" s="81"/>
      <c r="L126" s="81"/>
    </row>
    <row r="127" spans="1:12" ht="15.6" x14ac:dyDescent="0.35">
      <c r="A127" s="44"/>
      <c r="B127" s="217" t="s">
        <v>26</v>
      </c>
      <c r="C127" s="243"/>
      <c r="D127" s="243"/>
      <c r="E127" s="244"/>
      <c r="F127" s="371"/>
      <c r="G127" s="371"/>
      <c r="H127" s="301">
        <f>-H434</f>
        <v>-18627012.392601311</v>
      </c>
      <c r="I127" s="301">
        <f t="shared" ref="I127:L127" si="75">-I434</f>
        <v>-18057879.03267923</v>
      </c>
      <c r="J127" s="301">
        <f t="shared" si="75"/>
        <v>-18033776.000869043</v>
      </c>
      <c r="K127" s="301">
        <f t="shared" si="75"/>
        <v>-18300771.842489421</v>
      </c>
      <c r="L127" s="301">
        <f t="shared" si="75"/>
        <v>-18889534.996970613</v>
      </c>
    </row>
    <row r="128" spans="1:12" ht="15.6" x14ac:dyDescent="0.35">
      <c r="A128" s="44"/>
      <c r="B128" s="223" t="s">
        <v>27</v>
      </c>
      <c r="C128" s="224"/>
      <c r="D128" s="224"/>
      <c r="E128" s="219"/>
      <c r="F128" s="374"/>
      <c r="G128" s="374"/>
      <c r="H128" s="301">
        <f>-H461</f>
        <v>-77994694.314810961</v>
      </c>
      <c r="I128" s="301">
        <f t="shared" ref="I128:L128" si="76">-I461</f>
        <v>-75611629.253388897</v>
      </c>
      <c r="J128" s="301">
        <f t="shared" si="76"/>
        <v>-75510705.468163818</v>
      </c>
      <c r="K128" s="301">
        <f t="shared" si="76"/>
        <v>-76628665.69772692</v>
      </c>
      <c r="L128" s="301">
        <f t="shared" si="76"/>
        <v>-79093924.285079554</v>
      </c>
    </row>
    <row r="129" spans="1:12" ht="15.6" x14ac:dyDescent="0.35">
      <c r="A129" s="44"/>
      <c r="B129" s="243"/>
      <c r="C129" s="243"/>
      <c r="D129" s="243"/>
      <c r="E129" s="243"/>
      <c r="F129" s="376"/>
      <c r="G129" s="376"/>
      <c r="H129" s="274"/>
      <c r="I129" s="274"/>
      <c r="J129" s="274"/>
      <c r="K129" s="274"/>
      <c r="L129" s="274"/>
    </row>
    <row r="130" spans="1:12" ht="15.6" x14ac:dyDescent="0.35">
      <c r="A130" s="44"/>
      <c r="B130" s="287" t="s">
        <v>28</v>
      </c>
      <c r="C130" s="288"/>
      <c r="D130" s="288"/>
      <c r="E130" s="289"/>
      <c r="F130" s="375"/>
      <c r="G130" s="375"/>
      <c r="H130" s="284">
        <f>H127+H128</f>
        <v>-96621706.707412273</v>
      </c>
      <c r="I130" s="284">
        <f t="shared" ref="I130:L130" si="77">I127+I128</f>
        <v>-93669508.286068127</v>
      </c>
      <c r="J130" s="284">
        <f t="shared" si="77"/>
        <v>-93544481.469032854</v>
      </c>
      <c r="K130" s="284">
        <f t="shared" si="77"/>
        <v>-94929437.540216342</v>
      </c>
      <c r="L130" s="284">
        <f t="shared" si="77"/>
        <v>-97983459.282050163</v>
      </c>
    </row>
    <row r="131" spans="1:12" ht="15.6" x14ac:dyDescent="0.35">
      <c r="A131" s="44"/>
      <c r="B131" s="61"/>
      <c r="C131" s="61"/>
      <c r="D131" s="61"/>
      <c r="E131" s="61"/>
      <c r="F131" s="80"/>
      <c r="G131" s="80"/>
      <c r="H131" s="82"/>
      <c r="I131" s="82"/>
      <c r="J131" s="82"/>
      <c r="K131" s="82"/>
      <c r="L131" s="82"/>
    </row>
    <row r="132" spans="1:12" ht="15.6" x14ac:dyDescent="0.35">
      <c r="A132" s="44"/>
      <c r="B132" s="202" t="s">
        <v>70</v>
      </c>
      <c r="C132" s="203"/>
      <c r="D132" s="204"/>
      <c r="E132" s="204"/>
      <c r="F132" s="205"/>
      <c r="G132" s="205"/>
      <c r="H132" s="205"/>
      <c r="I132" s="205"/>
      <c r="J132" s="205"/>
      <c r="K132" s="205"/>
      <c r="L132" s="206"/>
    </row>
    <row r="133" spans="1:12" ht="15.6" x14ac:dyDescent="0.35">
      <c r="A133" s="44"/>
      <c r="B133" s="61"/>
      <c r="C133" s="61"/>
      <c r="D133" s="61"/>
      <c r="E133" s="61"/>
      <c r="F133" s="80"/>
      <c r="G133" s="80"/>
      <c r="H133" s="82"/>
      <c r="I133" s="82"/>
      <c r="J133" s="82"/>
      <c r="K133" s="82"/>
      <c r="L133" s="82"/>
    </row>
    <row r="134" spans="1:12" ht="15.6" x14ac:dyDescent="0.35">
      <c r="A134" s="44"/>
      <c r="B134" s="217" t="s">
        <v>68</v>
      </c>
      <c r="C134" s="243"/>
      <c r="D134" s="243"/>
      <c r="E134" s="244"/>
      <c r="F134" s="371"/>
      <c r="G134" s="371"/>
      <c r="H134" s="301">
        <f>H563</f>
        <v>150000000</v>
      </c>
      <c r="I134" s="301">
        <f t="shared" ref="I134:L134" si="78">I563</f>
        <v>131502340.46364355</v>
      </c>
      <c r="J134" s="301">
        <f t="shared" si="78"/>
        <v>174729036.1821847</v>
      </c>
      <c r="K134" s="301">
        <f t="shared" si="78"/>
        <v>448317501.95890439</v>
      </c>
      <c r="L134" s="301">
        <f t="shared" si="78"/>
        <v>177640971.51747164</v>
      </c>
    </row>
    <row r="135" spans="1:12" ht="15.6" x14ac:dyDescent="0.35">
      <c r="A135" s="44"/>
      <c r="B135" s="217" t="s">
        <v>69</v>
      </c>
      <c r="C135" s="243"/>
      <c r="D135" s="243"/>
      <c r="E135" s="244"/>
      <c r="F135" s="371"/>
      <c r="G135" s="371"/>
      <c r="H135" s="301">
        <f>H564</f>
        <v>-233900000</v>
      </c>
      <c r="I135" s="301">
        <f t="shared" ref="I135:L135" si="79">I564</f>
        <v>0</v>
      </c>
      <c r="J135" s="301">
        <f t="shared" si="79"/>
        <v>0</v>
      </c>
      <c r="K135" s="301">
        <f t="shared" si="79"/>
        <v>-269700000</v>
      </c>
      <c r="L135" s="301">
        <f t="shared" si="79"/>
        <v>0</v>
      </c>
    </row>
    <row r="136" spans="1:12" ht="15.6" x14ac:dyDescent="0.35">
      <c r="A136" s="44"/>
      <c r="B136" s="217" t="s">
        <v>29</v>
      </c>
      <c r="C136" s="243"/>
      <c r="D136" s="243"/>
      <c r="E136" s="244"/>
      <c r="F136" s="371"/>
      <c r="G136" s="371"/>
      <c r="H136" s="301">
        <f>-H418</f>
        <v>-25365000</v>
      </c>
      <c r="I136" s="301">
        <f t="shared" ref="I136:L136" si="80">-I418</f>
        <v>-26125950</v>
      </c>
      <c r="J136" s="301">
        <f t="shared" si="80"/>
        <v>-26909728.5</v>
      </c>
      <c r="K136" s="301">
        <f t="shared" si="80"/>
        <v>-27717020.355</v>
      </c>
      <c r="L136" s="301">
        <f t="shared" si="80"/>
        <v>-28548530.96565</v>
      </c>
    </row>
    <row r="137" spans="1:12" ht="15.6" x14ac:dyDescent="0.35">
      <c r="A137" s="44"/>
      <c r="B137" s="217" t="s">
        <v>30</v>
      </c>
      <c r="C137" s="243"/>
      <c r="D137" s="243"/>
      <c r="E137" s="244"/>
      <c r="F137" s="371"/>
      <c r="G137" s="371"/>
      <c r="H137" s="267">
        <f>-H698</f>
        <v>0</v>
      </c>
      <c r="I137" s="267">
        <f t="shared" ref="I137:L137" si="81">-I698</f>
        <v>0</v>
      </c>
      <c r="J137" s="267">
        <f t="shared" si="81"/>
        <v>0</v>
      </c>
      <c r="K137" s="267">
        <f t="shared" si="81"/>
        <v>0</v>
      </c>
      <c r="L137" s="267">
        <f t="shared" si="81"/>
        <v>0</v>
      </c>
    </row>
    <row r="138" spans="1:12" ht="15.6" x14ac:dyDescent="0.35">
      <c r="A138" s="44"/>
      <c r="B138" s="217" t="s">
        <v>36</v>
      </c>
      <c r="C138" s="243"/>
      <c r="D138" s="243"/>
      <c r="E138" s="244"/>
      <c r="F138" s="371"/>
      <c r="G138" s="371"/>
      <c r="H138" s="267">
        <f>H705</f>
        <v>0</v>
      </c>
      <c r="I138" s="267">
        <f t="shared" ref="I138:L138" si="82">I705</f>
        <v>0</v>
      </c>
      <c r="J138" s="267">
        <f t="shared" si="82"/>
        <v>0</v>
      </c>
      <c r="K138" s="267">
        <f t="shared" si="82"/>
        <v>0</v>
      </c>
      <c r="L138" s="267">
        <f t="shared" si="82"/>
        <v>0</v>
      </c>
    </row>
    <row r="139" spans="1:12" ht="15.6" x14ac:dyDescent="0.35">
      <c r="A139" s="44"/>
      <c r="B139" s="61"/>
      <c r="C139" s="61"/>
      <c r="D139" s="61"/>
      <c r="E139" s="61"/>
      <c r="F139" s="80"/>
      <c r="G139" s="80"/>
      <c r="H139" s="192"/>
      <c r="I139" s="192"/>
      <c r="J139" s="192"/>
      <c r="K139" s="192"/>
      <c r="L139" s="192"/>
    </row>
    <row r="140" spans="1:12" ht="15.6" x14ac:dyDescent="0.35">
      <c r="A140" s="44"/>
      <c r="B140" s="287" t="s">
        <v>31</v>
      </c>
      <c r="C140" s="288"/>
      <c r="D140" s="288"/>
      <c r="E140" s="289"/>
      <c r="F140" s="375"/>
      <c r="G140" s="375"/>
      <c r="H140" s="284">
        <f>SUM(H134:H138)</f>
        <v>-109265000</v>
      </c>
      <c r="I140" s="284">
        <f t="shared" ref="I140:L140" si="83">SUM(I134:I138)</f>
        <v>105376390.46364355</v>
      </c>
      <c r="J140" s="284">
        <f t="shared" si="83"/>
        <v>147819307.6821847</v>
      </c>
      <c r="K140" s="284">
        <f t="shared" si="83"/>
        <v>150900481.6039044</v>
      </c>
      <c r="L140" s="284">
        <f t="shared" si="83"/>
        <v>149092440.55182165</v>
      </c>
    </row>
    <row r="141" spans="1:12" ht="15.6" x14ac:dyDescent="0.35">
      <c r="A141" s="44"/>
      <c r="B141" s="61"/>
      <c r="C141" s="61"/>
      <c r="D141" s="61"/>
      <c r="E141" s="61"/>
      <c r="F141" s="80"/>
      <c r="G141" s="80"/>
      <c r="H141" s="81"/>
      <c r="I141" s="81"/>
      <c r="J141" s="81"/>
      <c r="K141" s="81"/>
      <c r="L141" s="81"/>
    </row>
    <row r="142" spans="1:12" ht="15.6" x14ac:dyDescent="0.35">
      <c r="A142" s="44"/>
      <c r="B142" s="202" t="s">
        <v>70</v>
      </c>
      <c r="C142" s="203"/>
      <c r="D142" s="204"/>
      <c r="E142" s="204"/>
      <c r="F142" s="205"/>
      <c r="G142" s="205"/>
      <c r="H142" s="205"/>
      <c r="I142" s="205"/>
      <c r="J142" s="205"/>
      <c r="K142" s="205"/>
      <c r="L142" s="206"/>
    </row>
    <row r="143" spans="1:12" ht="15.6" x14ac:dyDescent="0.35">
      <c r="A143" s="44"/>
      <c r="B143" s="61"/>
      <c r="C143" s="61"/>
      <c r="D143" s="61"/>
      <c r="E143" s="61"/>
      <c r="F143" s="80"/>
      <c r="G143" s="80"/>
      <c r="H143" s="81"/>
      <c r="I143" s="81"/>
      <c r="J143" s="81"/>
      <c r="K143" s="81"/>
      <c r="L143" s="81"/>
    </row>
    <row r="144" spans="1:12" ht="15.6" x14ac:dyDescent="0.35">
      <c r="A144" s="44"/>
      <c r="B144" s="217" t="s">
        <v>32</v>
      </c>
      <c r="C144" s="243"/>
      <c r="D144" s="243"/>
      <c r="E144" s="244"/>
      <c r="F144" s="377"/>
      <c r="G144" s="377"/>
      <c r="H144" s="261">
        <f>G55</f>
        <v>318900000</v>
      </c>
      <c r="I144" s="261">
        <f>H146</f>
        <v>76877049.146530271</v>
      </c>
      <c r="J144" s="261">
        <f t="shared" ref="J144:L144" si="84">I146</f>
        <v>30000000</v>
      </c>
      <c r="K144" s="261">
        <f t="shared" si="84"/>
        <v>30000000</v>
      </c>
      <c r="L144" s="261">
        <f t="shared" si="84"/>
        <v>30000000</v>
      </c>
    </row>
    <row r="145" spans="1:12" ht="15.6" x14ac:dyDescent="0.35">
      <c r="A145" s="44"/>
      <c r="B145" s="217" t="s">
        <v>33</v>
      </c>
      <c r="C145" s="243"/>
      <c r="D145" s="243"/>
      <c r="E145" s="244"/>
      <c r="F145" s="371"/>
      <c r="G145" s="371"/>
      <c r="H145" s="261">
        <f>H123+H130+H140</f>
        <v>-242022950.85346973</v>
      </c>
      <c r="I145" s="261">
        <f t="shared" ref="I145:L145" si="85">I123+I130+I140</f>
        <v>-46877049.146530271</v>
      </c>
      <c r="J145" s="261">
        <f t="shared" si="85"/>
        <v>0</v>
      </c>
      <c r="K145" s="261">
        <f t="shared" si="85"/>
        <v>0</v>
      </c>
      <c r="L145" s="261">
        <f t="shared" si="85"/>
        <v>0</v>
      </c>
    </row>
    <row r="146" spans="1:12" ht="15.6" x14ac:dyDescent="0.35">
      <c r="A146" s="44"/>
      <c r="B146" s="217" t="s">
        <v>34</v>
      </c>
      <c r="C146" s="243"/>
      <c r="D146" s="243"/>
      <c r="E146" s="244"/>
      <c r="F146" s="371"/>
      <c r="G146" s="371"/>
      <c r="H146" s="261">
        <f>SUM(H144:H145)</f>
        <v>76877049.146530271</v>
      </c>
      <c r="I146" s="261">
        <f t="shared" ref="I146:L146" si="86">SUM(I144:I145)</f>
        <v>30000000</v>
      </c>
      <c r="J146" s="261">
        <f t="shared" si="86"/>
        <v>30000000</v>
      </c>
      <c r="K146" s="261">
        <f t="shared" si="86"/>
        <v>30000000</v>
      </c>
      <c r="L146" s="261">
        <f t="shared" si="86"/>
        <v>30000000</v>
      </c>
    </row>
    <row r="147" spans="1:12" ht="15.6" x14ac:dyDescent="0.35">
      <c r="A147" s="44"/>
      <c r="B147" s="44"/>
      <c r="C147" s="44"/>
      <c r="D147" s="44"/>
      <c r="E147" s="44"/>
      <c r="F147" s="84"/>
      <c r="G147" s="84"/>
      <c r="H147" s="85"/>
      <c r="I147" s="85"/>
      <c r="J147" s="85"/>
      <c r="K147" s="85"/>
      <c r="L147" s="85"/>
    </row>
    <row r="148" spans="1:12" ht="15.6" x14ac:dyDescent="0.35">
      <c r="A148" s="44"/>
      <c r="B148" s="44"/>
      <c r="C148" s="44"/>
      <c r="D148" s="44"/>
      <c r="E148" s="44"/>
      <c r="F148" s="84"/>
      <c r="G148" s="84"/>
      <c r="H148" s="85"/>
      <c r="I148" s="85"/>
      <c r="J148" s="85"/>
      <c r="K148" s="85"/>
      <c r="L148" s="85"/>
    </row>
    <row r="149" spans="1:12" ht="15.6" x14ac:dyDescent="0.35">
      <c r="A149" s="44"/>
      <c r="B149" s="44"/>
      <c r="C149" s="44"/>
      <c r="D149" s="44"/>
      <c r="E149" s="44"/>
      <c r="F149" s="84"/>
      <c r="G149" s="84"/>
      <c r="H149" s="85"/>
      <c r="I149" s="85"/>
      <c r="J149" s="85"/>
      <c r="K149" s="85"/>
      <c r="L149" s="85"/>
    </row>
    <row r="150" spans="1:12" ht="15.6" x14ac:dyDescent="0.35">
      <c r="A150" s="44"/>
      <c r="B150" s="44"/>
      <c r="C150" s="44"/>
      <c r="D150" s="44"/>
      <c r="E150" s="44"/>
      <c r="F150" s="84"/>
      <c r="G150" s="84"/>
      <c r="H150" s="85"/>
      <c r="I150" s="85"/>
      <c r="J150" s="85"/>
      <c r="K150" s="85"/>
      <c r="L150" s="85"/>
    </row>
    <row r="151" spans="1:12" ht="28.8" x14ac:dyDescent="0.65">
      <c r="A151" s="44"/>
      <c r="B151" s="45" t="str">
        <f>Cover!$B$2</f>
        <v>ASOS PLC</v>
      </c>
      <c r="C151" s="45"/>
      <c r="D151" s="46"/>
      <c r="E151" s="47"/>
      <c r="F151" s="47"/>
      <c r="G151" s="47"/>
      <c r="H151" s="47"/>
      <c r="I151" s="47"/>
      <c r="J151" s="47"/>
      <c r="K151" s="47"/>
      <c r="L151" s="47"/>
    </row>
    <row r="152" spans="1:12" ht="21" x14ac:dyDescent="0.5">
      <c r="A152" s="44"/>
      <c r="B152" s="48" t="s">
        <v>4</v>
      </c>
      <c r="C152" s="49"/>
      <c r="D152" s="47"/>
      <c r="E152" s="47"/>
      <c r="F152" s="47"/>
      <c r="G152" s="47"/>
      <c r="H152" s="47"/>
      <c r="I152" s="47"/>
      <c r="J152" s="47"/>
      <c r="K152" s="47"/>
      <c r="L152" s="164" t="str">
        <f>"Currently Running: "&amp;CHOOSE(Assumptions!$B$10,Assumptions!$F$15,Assumptions!$F$16,Assumptions!$F$17)&amp;"Scenario"</f>
        <v>Currently Running: Base Scenario</v>
      </c>
    </row>
    <row r="153" spans="1:12" ht="15.6" x14ac:dyDescent="0.35">
      <c r="A153" s="44"/>
      <c r="B153" s="50"/>
      <c r="C153" s="50"/>
      <c r="D153" s="50"/>
      <c r="E153" s="50"/>
      <c r="F153" s="50"/>
      <c r="G153" s="50"/>
      <c r="H153" s="50"/>
      <c r="I153" s="50"/>
      <c r="J153" s="50"/>
      <c r="K153" s="51"/>
      <c r="L153" s="51"/>
    </row>
    <row r="154" spans="1:12" ht="15.6" x14ac:dyDescent="0.35">
      <c r="A154" s="44"/>
      <c r="B154" s="51"/>
      <c r="C154" s="51"/>
      <c r="D154" s="51"/>
      <c r="E154" s="51"/>
      <c r="F154" s="249" t="s">
        <v>374</v>
      </c>
      <c r="G154" s="52"/>
      <c r="H154" s="52"/>
      <c r="I154" s="52"/>
      <c r="J154" s="52"/>
      <c r="K154" s="52"/>
      <c r="L154" s="52"/>
    </row>
    <row r="155" spans="1:12" ht="15.6" x14ac:dyDescent="0.35">
      <c r="A155" s="44"/>
      <c r="B155" s="51"/>
      <c r="C155" s="51"/>
      <c r="D155" s="51"/>
      <c r="E155" s="51"/>
      <c r="F155" s="53">
        <f>$F$107</f>
        <v>2024</v>
      </c>
      <c r="G155" s="53">
        <f>F155+1</f>
        <v>2025</v>
      </c>
      <c r="H155" s="54">
        <f>G155+1</f>
        <v>2026</v>
      </c>
      <c r="I155" s="54">
        <f t="shared" ref="I155" si="87">H155+1</f>
        <v>2027</v>
      </c>
      <c r="J155" s="54">
        <f t="shared" ref="J155" si="88">I155+1</f>
        <v>2028</v>
      </c>
      <c r="K155" s="54">
        <f t="shared" ref="K155" si="89">J155+1</f>
        <v>2029</v>
      </c>
      <c r="L155" s="54">
        <f t="shared" ref="L155" si="90">K155+1</f>
        <v>2030</v>
      </c>
    </row>
    <row r="156" spans="1:12" ht="16.2" thickBot="1" x14ac:dyDescent="0.4">
      <c r="A156" s="44"/>
      <c r="B156" s="55" t="s">
        <v>191</v>
      </c>
      <c r="C156" s="55"/>
      <c r="D156" s="55"/>
      <c r="E156" s="55"/>
      <c r="F156" s="56" t="s">
        <v>50</v>
      </c>
      <c r="G156" s="56"/>
      <c r="H156" s="57"/>
      <c r="I156" s="57"/>
      <c r="J156" s="57"/>
      <c r="K156" s="57"/>
      <c r="L156" s="57" t="s">
        <v>37</v>
      </c>
    </row>
    <row r="157" spans="1:12" ht="15.6" x14ac:dyDescent="0.35">
      <c r="A157" s="44"/>
      <c r="B157" s="51"/>
      <c r="C157" s="51"/>
      <c r="D157" s="51"/>
      <c r="E157" s="51"/>
      <c r="F157" s="72"/>
      <c r="G157" s="72"/>
      <c r="H157" s="73"/>
      <c r="I157" s="73"/>
      <c r="J157" s="73"/>
      <c r="K157" s="73"/>
      <c r="L157" s="73"/>
    </row>
    <row r="158" spans="1:12" ht="15.6" x14ac:dyDescent="0.35">
      <c r="A158" s="44"/>
      <c r="B158" s="202" t="s">
        <v>332</v>
      </c>
      <c r="C158" s="203"/>
      <c r="D158" s="204"/>
      <c r="E158" s="204"/>
      <c r="F158" s="205"/>
      <c r="G158" s="205"/>
      <c r="H158" s="205"/>
      <c r="I158" s="205"/>
      <c r="J158" s="205"/>
      <c r="K158" s="205"/>
      <c r="L158" s="206"/>
    </row>
    <row r="159" spans="1:12" ht="15.6" x14ac:dyDescent="0.35">
      <c r="A159" s="44"/>
      <c r="B159" s="51"/>
      <c r="C159" s="51"/>
      <c r="D159" s="51"/>
      <c r="E159" s="51"/>
      <c r="F159" s="72"/>
      <c r="G159" s="72"/>
      <c r="H159" s="73"/>
      <c r="I159" s="73"/>
      <c r="J159" s="73"/>
      <c r="K159" s="73"/>
      <c r="L159" s="73"/>
    </row>
    <row r="160" spans="1:12" ht="15.6" x14ac:dyDescent="0.35">
      <c r="A160" s="44"/>
      <c r="B160" s="416" t="s">
        <v>333</v>
      </c>
      <c r="C160" s="417"/>
      <c r="D160" s="417"/>
      <c r="E160" s="418"/>
      <c r="F160" s="209">
        <f>F199</f>
        <v>19700000</v>
      </c>
      <c r="G160" s="209">
        <f t="shared" ref="G160:L160" si="91">G199</f>
        <v>17000000</v>
      </c>
      <c r="H160" s="209">
        <f t="shared" si="91"/>
        <v>15500000</v>
      </c>
      <c r="I160" s="209">
        <f t="shared" si="91"/>
        <v>14500000</v>
      </c>
      <c r="J160" s="209">
        <f t="shared" si="91"/>
        <v>14000000</v>
      </c>
      <c r="K160" s="209">
        <f t="shared" si="91"/>
        <v>13750000</v>
      </c>
      <c r="L160" s="209">
        <f t="shared" si="91"/>
        <v>13750000</v>
      </c>
    </row>
    <row r="161" spans="1:12" ht="15.6" x14ac:dyDescent="0.35">
      <c r="A161" s="44"/>
      <c r="B161" s="416" t="s">
        <v>210</v>
      </c>
      <c r="C161" s="417"/>
      <c r="D161" s="417"/>
      <c r="E161" s="418"/>
      <c r="F161" s="209">
        <f>F201</f>
        <v>68000000</v>
      </c>
      <c r="G161" s="209">
        <f t="shared" ref="G161:L161" si="92">G201</f>
        <v>57000000</v>
      </c>
      <c r="H161" s="209">
        <f t="shared" si="92"/>
        <v>51970588.235294119</v>
      </c>
      <c r="I161" s="209">
        <f t="shared" si="92"/>
        <v>48617647.058823533</v>
      </c>
      <c r="J161" s="209">
        <f t="shared" si="92"/>
        <v>46941176.470588237</v>
      </c>
      <c r="K161" s="209">
        <f t="shared" si="92"/>
        <v>46102941.176470593</v>
      </c>
      <c r="L161" s="209">
        <f t="shared" si="92"/>
        <v>46102941.176470593</v>
      </c>
    </row>
    <row r="162" spans="1:12" ht="15.6" x14ac:dyDescent="0.35">
      <c r="A162" s="44"/>
      <c r="B162" s="416" t="s">
        <v>214</v>
      </c>
      <c r="C162" s="417"/>
      <c r="D162" s="417"/>
      <c r="E162" s="418"/>
      <c r="F162" s="262">
        <f>F205</f>
        <v>2917800000</v>
      </c>
      <c r="G162" s="262">
        <f t="shared" ref="G162:L162" si="93">G205</f>
        <v>2456300000</v>
      </c>
      <c r="H162" s="262">
        <f t="shared" si="93"/>
        <v>2305343735.8685937</v>
      </c>
      <c r="I162" s="262">
        <f t="shared" si="93"/>
        <v>2230457767.4577932</v>
      </c>
      <c r="J162" s="262">
        <f t="shared" si="93"/>
        <v>2227286315.9038215</v>
      </c>
      <c r="K162" s="262">
        <f t="shared" si="93"/>
        <v>2262417347.6959767</v>
      </c>
      <c r="L162" s="262">
        <f t="shared" si="93"/>
        <v>2339886183.8119226</v>
      </c>
    </row>
    <row r="163" spans="1:12" ht="15.6" x14ac:dyDescent="0.35">
      <c r="A163" s="44"/>
      <c r="B163" s="416" t="s">
        <v>368</v>
      </c>
      <c r="C163" s="417"/>
      <c r="D163" s="417"/>
      <c r="E163" s="418"/>
      <c r="F163" s="434"/>
      <c r="G163" s="308"/>
      <c r="H163" s="308">
        <f>H221</f>
        <v>-6.0304887773361918E-2</v>
      </c>
      <c r="I163" s="308">
        <f>I221</f>
        <v>-3.0554194517427927E-2</v>
      </c>
      <c r="J163" s="308">
        <f>J221</f>
        <v>-1.3347653822782394E-3</v>
      </c>
      <c r="K163" s="308">
        <f>K221</f>
        <v>1.480532094928505E-2</v>
      </c>
      <c r="L163" s="308">
        <f>L221</f>
        <v>3.2171493068627932E-2</v>
      </c>
    </row>
    <row r="164" spans="1:12" ht="15.6" x14ac:dyDescent="0.35">
      <c r="A164" s="44"/>
      <c r="B164" s="51"/>
      <c r="C164" s="51"/>
      <c r="D164" s="51"/>
      <c r="E164" s="51"/>
      <c r="F164" s="72"/>
      <c r="G164" s="72"/>
      <c r="H164" s="73"/>
      <c r="I164" s="73"/>
      <c r="J164" s="73"/>
      <c r="K164" s="73"/>
      <c r="L164" s="73"/>
    </row>
    <row r="165" spans="1:12" ht="15.6" x14ac:dyDescent="0.35">
      <c r="A165" s="44"/>
      <c r="B165" s="202" t="s">
        <v>334</v>
      </c>
      <c r="C165" s="203"/>
      <c r="D165" s="204"/>
      <c r="E165" s="204"/>
      <c r="F165" s="205"/>
      <c r="G165" s="205"/>
      <c r="H165" s="205"/>
      <c r="I165" s="205"/>
      <c r="J165" s="205"/>
      <c r="K165" s="205"/>
      <c r="L165" s="206"/>
    </row>
    <row r="166" spans="1:12" ht="15.6" x14ac:dyDescent="0.35">
      <c r="A166" s="44"/>
      <c r="B166" s="51"/>
      <c r="C166" s="51"/>
      <c r="D166" s="51"/>
      <c r="E166" s="51"/>
      <c r="F166" s="72"/>
      <c r="G166" s="72"/>
      <c r="H166" s="73"/>
      <c r="I166" s="73"/>
      <c r="J166" s="73"/>
      <c r="K166" s="73"/>
      <c r="L166" s="73"/>
    </row>
    <row r="167" spans="1:12" ht="15.6" x14ac:dyDescent="0.35">
      <c r="A167" s="44"/>
      <c r="B167" s="416" t="s">
        <v>335</v>
      </c>
      <c r="C167" s="417"/>
      <c r="D167" s="417"/>
      <c r="E167" s="418"/>
      <c r="F167" s="442">
        <f t="shared" ref="F167:L167" si="94">F13</f>
        <v>0.40006194507536652</v>
      </c>
      <c r="G167" s="442">
        <f t="shared" si="94"/>
        <v>0.47086124788118494</v>
      </c>
      <c r="H167" s="442">
        <f t="shared" si="94"/>
        <v>0.46721603047394328</v>
      </c>
      <c r="I167" s="442">
        <f t="shared" si="94"/>
        <v>0.47045710899506532</v>
      </c>
      <c r="J167" s="442">
        <f t="shared" si="94"/>
        <v>0.47267486961619559</v>
      </c>
      <c r="K167" s="442">
        <f t="shared" si="94"/>
        <v>0.47433674470160792</v>
      </c>
      <c r="L167" s="442">
        <f t="shared" si="94"/>
        <v>0.47544264049797347</v>
      </c>
    </row>
    <row r="168" spans="1:12" ht="15.6" x14ac:dyDescent="0.35">
      <c r="A168" s="44"/>
      <c r="B168" s="416" t="s">
        <v>142</v>
      </c>
      <c r="C168" s="417"/>
      <c r="D168" s="417"/>
      <c r="E168" s="418"/>
      <c r="F168" s="442">
        <f t="shared" ref="F168:L168" si="95">F19</f>
        <v>-0.11421983618968959</v>
      </c>
      <c r="G168" s="442">
        <f t="shared" si="95"/>
        <v>-8.5680845911695863E-2</v>
      </c>
      <c r="H168" s="442">
        <f t="shared" si="95"/>
        <v>-5.7119862787470194E-2</v>
      </c>
      <c r="I168" s="442">
        <f t="shared" si="95"/>
        <v>-7.0827078423774448E-2</v>
      </c>
      <c r="J168" s="442">
        <f t="shared" si="95"/>
        <v>-7.7758774776091333E-2</v>
      </c>
      <c r="K168" s="442">
        <f t="shared" si="95"/>
        <v>-7.9410960066926134E-2</v>
      </c>
      <c r="L168" s="442">
        <f t="shared" si="95"/>
        <v>-7.7055301758033143E-2</v>
      </c>
    </row>
    <row r="169" spans="1:12" ht="15.6" x14ac:dyDescent="0.35">
      <c r="A169" s="44"/>
      <c r="B169" s="416" t="s">
        <v>141</v>
      </c>
      <c r="C169" s="417"/>
      <c r="D169" s="417"/>
      <c r="E169" s="418"/>
      <c r="F169" s="442">
        <f>F26</f>
        <v>-0.17317089958015006</v>
      </c>
      <c r="G169" s="442">
        <f>G26</f>
        <v>-0.15275647752038099</v>
      </c>
      <c r="H169" s="442">
        <f>H26</f>
        <v>5.2292322196943186E-3</v>
      </c>
      <c r="I169" s="442">
        <f>I26</f>
        <v>1.9173637658914449E-3</v>
      </c>
      <c r="J169" s="442">
        <f>J26</f>
        <v>3.3879317757852761E-3</v>
      </c>
      <c r="K169" s="442">
        <f>K26</f>
        <v>8.7908206155995899E-3</v>
      </c>
      <c r="L169" s="442">
        <f>L26</f>
        <v>1.6567488962523368E-2</v>
      </c>
    </row>
    <row r="170" spans="1:12" ht="15.6" x14ac:dyDescent="0.35">
      <c r="A170" s="44"/>
      <c r="B170" s="416" t="s">
        <v>158</v>
      </c>
      <c r="C170" s="417"/>
      <c r="D170" s="417"/>
      <c r="E170" s="418"/>
      <c r="F170" s="442">
        <f t="shared" ref="F170:L170" si="96">F35</f>
        <v>-0.11655998348131323</v>
      </c>
      <c r="G170" s="442">
        <f t="shared" si="96"/>
        <v>-0.12042941318911939</v>
      </c>
      <c r="H170" s="442">
        <f t="shared" si="96"/>
        <v>-7.938885532675477E-2</v>
      </c>
      <c r="I170" s="442">
        <f t="shared" si="96"/>
        <v>-9.4178560361668107E-2</v>
      </c>
      <c r="J170" s="442">
        <f t="shared" si="96"/>
        <v>-0.10729781412200685</v>
      </c>
      <c r="K170" s="442">
        <f t="shared" si="96"/>
        <v>-0.11733187207615393</v>
      </c>
      <c r="L170" s="442">
        <f t="shared" si="96"/>
        <v>-0.12251272052384911</v>
      </c>
    </row>
    <row r="171" spans="1:12" ht="15.6" x14ac:dyDescent="0.35">
      <c r="A171" s="44"/>
      <c r="B171" s="51"/>
      <c r="C171" s="51"/>
      <c r="D171" s="51"/>
      <c r="E171" s="51"/>
      <c r="F171" s="72"/>
      <c r="G171" s="72"/>
      <c r="H171" s="73"/>
      <c r="I171" s="73"/>
      <c r="J171" s="73"/>
      <c r="K171" s="73"/>
      <c r="L171" s="73"/>
    </row>
    <row r="172" spans="1:12" ht="15.6" x14ac:dyDescent="0.35">
      <c r="A172" s="44"/>
      <c r="B172" s="202" t="s">
        <v>161</v>
      </c>
      <c r="C172" s="203"/>
      <c r="D172" s="204"/>
      <c r="E172" s="204"/>
      <c r="F172" s="205"/>
      <c r="G172" s="205"/>
      <c r="H172" s="205"/>
      <c r="I172" s="205"/>
      <c r="J172" s="205"/>
      <c r="K172" s="205"/>
      <c r="L172" s="206"/>
    </row>
    <row r="173" spans="1:12" ht="15.6" x14ac:dyDescent="0.35">
      <c r="A173" s="44"/>
      <c r="B173" s="51"/>
      <c r="C173" s="51"/>
      <c r="D173" s="51"/>
      <c r="E173" s="51"/>
      <c r="F173" s="72"/>
      <c r="G173" s="72"/>
      <c r="H173" s="73"/>
      <c r="I173" s="73"/>
      <c r="J173" s="73"/>
      <c r="K173" s="73"/>
      <c r="L173" s="73"/>
    </row>
    <row r="174" spans="1:12" ht="15.6" x14ac:dyDescent="0.35">
      <c r="A174" s="44"/>
      <c r="B174" s="416" t="s">
        <v>162</v>
      </c>
      <c r="C174" s="417"/>
      <c r="D174" s="417"/>
      <c r="E174" s="418"/>
      <c r="F174" s="442"/>
      <c r="G174" s="444">
        <f t="shared" ref="G174:L174" si="97">IF(AVERAGE(SUM(H91:H94),SUM(G91:G94))&lt;0,"N/M",G34/AVERAGE(SUM(H91:H94),SUM(G91:G94)))</f>
        <v>-2.4871552786919473</v>
      </c>
      <c r="H174" s="444" t="str">
        <f t="shared" si="97"/>
        <v>N/M</v>
      </c>
      <c r="I174" s="444" t="str">
        <f t="shared" si="97"/>
        <v>N/M</v>
      </c>
      <c r="J174" s="444" t="str">
        <f t="shared" si="97"/>
        <v>N/M</v>
      </c>
      <c r="K174" s="444" t="str">
        <f t="shared" si="97"/>
        <v>N/M</v>
      </c>
      <c r="L174" s="444" t="str">
        <f t="shared" si="97"/>
        <v>N/M</v>
      </c>
    </row>
    <row r="175" spans="1:12" ht="15.6" x14ac:dyDescent="0.35">
      <c r="A175" s="44"/>
      <c r="B175" s="416" t="s">
        <v>336</v>
      </c>
      <c r="C175" s="417"/>
      <c r="D175" s="417"/>
      <c r="E175" s="418"/>
      <c r="F175" s="442"/>
      <c r="G175" s="442"/>
      <c r="H175" s="442"/>
      <c r="I175" s="442"/>
      <c r="J175" s="442"/>
      <c r="K175" s="442"/>
      <c r="L175" s="442"/>
    </row>
    <row r="176" spans="1:12" ht="15.6" x14ac:dyDescent="0.35">
      <c r="A176" s="44"/>
      <c r="B176" s="416" t="s">
        <v>163</v>
      </c>
      <c r="C176" s="417"/>
      <c r="D176" s="417"/>
      <c r="E176" s="418"/>
      <c r="F176" s="443"/>
      <c r="G176" s="442">
        <f t="shared" ref="G176:L176" si="98">IF(AVERAGE(F69,G69)&lt;0, "N/M", G34/AVERAGE(F69,G69))</f>
        <v>-0.15134531990972028</v>
      </c>
      <c r="H176" s="442">
        <f t="shared" si="98"/>
        <v>-0.12190831293546796</v>
      </c>
      <c r="I176" s="442">
        <f t="shared" si="98"/>
        <v>-0.16446924474456853</v>
      </c>
      <c r="J176" s="442">
        <f t="shared" si="98"/>
        <v>-0.20621217859108715</v>
      </c>
      <c r="K176" s="442">
        <f t="shared" si="98"/>
        <v>-0.25251715927472546</v>
      </c>
      <c r="L176" s="442">
        <f t="shared" si="98"/>
        <v>-0.3075674532153902</v>
      </c>
    </row>
    <row r="177" spans="1:12" ht="15.6" x14ac:dyDescent="0.35">
      <c r="A177" s="44"/>
      <c r="B177" s="44"/>
      <c r="C177" s="44"/>
      <c r="D177" s="44"/>
      <c r="E177" s="44"/>
      <c r="F177" s="86"/>
      <c r="G177" s="86"/>
      <c r="H177" s="85"/>
      <c r="I177" s="85"/>
      <c r="J177" s="85"/>
      <c r="K177" s="85"/>
      <c r="L177" s="85"/>
    </row>
    <row r="178" spans="1:12" ht="15.6" x14ac:dyDescent="0.35">
      <c r="A178" s="44"/>
      <c r="B178" s="202" t="s">
        <v>337</v>
      </c>
      <c r="C178" s="203"/>
      <c r="D178" s="204"/>
      <c r="E178" s="204"/>
      <c r="F178" s="205"/>
      <c r="G178" s="205"/>
      <c r="H178" s="205"/>
      <c r="I178" s="205"/>
      <c r="J178" s="205"/>
      <c r="K178" s="205"/>
      <c r="L178" s="206"/>
    </row>
    <row r="179" spans="1:12" ht="15.6" x14ac:dyDescent="0.35">
      <c r="A179" s="44"/>
      <c r="B179" s="44"/>
      <c r="C179" s="44"/>
      <c r="D179" s="44"/>
      <c r="E179" s="44"/>
      <c r="F179" s="86"/>
      <c r="G179" s="86"/>
      <c r="H179" s="85"/>
      <c r="I179" s="85"/>
      <c r="J179" s="85"/>
      <c r="K179" s="85"/>
      <c r="L179" s="85"/>
    </row>
    <row r="180" spans="1:12" ht="15.6" x14ac:dyDescent="0.35">
      <c r="A180" s="44"/>
      <c r="B180" s="336" t="s">
        <v>160</v>
      </c>
      <c r="C180" s="326"/>
      <c r="D180" s="326"/>
      <c r="E180" s="327"/>
      <c r="F180" s="435"/>
      <c r="G180" s="435"/>
      <c r="H180" s="262">
        <f>H123+H130</f>
        <v>-132757950.85346973</v>
      </c>
      <c r="I180" s="262">
        <f t="shared" ref="I180:L180" si="99">I123+I130</f>
        <v>-152253439.61017382</v>
      </c>
      <c r="J180" s="262">
        <f t="shared" si="99"/>
        <v>-147819307.6821847</v>
      </c>
      <c r="K180" s="262">
        <f t="shared" si="99"/>
        <v>-150900481.60390443</v>
      </c>
      <c r="L180" s="262">
        <f t="shared" si="99"/>
        <v>-149092440.55182165</v>
      </c>
    </row>
    <row r="181" spans="1:12" ht="15.6" x14ac:dyDescent="0.35">
      <c r="A181" s="44"/>
      <c r="B181" s="336" t="s">
        <v>338</v>
      </c>
      <c r="C181" s="326"/>
      <c r="D181" s="326"/>
      <c r="E181" s="327"/>
      <c r="F181" s="435"/>
      <c r="G181" s="435"/>
      <c r="H181" s="262">
        <f>H180-H415</f>
        <v>-164857950.85346973</v>
      </c>
      <c r="I181" s="262">
        <f>I180-I415</f>
        <v>-184353439.61017382</v>
      </c>
      <c r="J181" s="262">
        <f>J180-J415</f>
        <v>-179919307.6821847</v>
      </c>
      <c r="K181" s="262">
        <f>K180-K415</f>
        <v>-183000481.60390443</v>
      </c>
      <c r="L181" s="262">
        <f>L180-L415</f>
        <v>-181192440.55182165</v>
      </c>
    </row>
    <row r="182" spans="1:12" ht="15.6" x14ac:dyDescent="0.35">
      <c r="A182" s="44"/>
      <c r="B182" s="336" t="s">
        <v>339</v>
      </c>
      <c r="C182" s="326"/>
      <c r="D182" s="326"/>
      <c r="E182" s="327"/>
      <c r="F182" s="435"/>
      <c r="G182" s="435"/>
      <c r="H182" s="465" t="str">
        <f t="shared" ref="H182:I182" si="100">IF(OR(H181 &lt; 0, D34&lt;0), "N/M", H181/H34)</f>
        <v>N/M</v>
      </c>
      <c r="I182" s="465" t="str">
        <f t="shared" si="100"/>
        <v>N/M</v>
      </c>
      <c r="J182" s="465" t="str">
        <f>IF(OR(J181 &lt; 0, F34&lt;0), "N/M", J181/J34)</f>
        <v>N/M</v>
      </c>
      <c r="K182" s="465" t="str">
        <f t="shared" ref="K182:L182" si="101">IF(OR(K181 &lt; 0, G34&lt;0), "N/M", K181/K34)</f>
        <v>N/M</v>
      </c>
      <c r="L182" s="465" t="str">
        <f t="shared" si="101"/>
        <v>N/M</v>
      </c>
    </row>
    <row r="183" spans="1:12" ht="15.6" x14ac:dyDescent="0.35">
      <c r="A183" s="44"/>
      <c r="B183" s="44"/>
      <c r="C183" s="44"/>
      <c r="D183" s="44"/>
      <c r="E183" s="44"/>
      <c r="F183" s="86"/>
      <c r="G183" s="86"/>
      <c r="H183" s="85"/>
      <c r="I183" s="85"/>
      <c r="J183" s="85"/>
      <c r="K183" s="85"/>
      <c r="L183" s="85"/>
    </row>
    <row r="184" spans="1:12" ht="15.6" x14ac:dyDescent="0.35">
      <c r="A184" s="44"/>
      <c r="B184" s="44"/>
      <c r="C184" s="44"/>
      <c r="D184" s="44"/>
      <c r="E184" s="44"/>
      <c r="F184" s="86"/>
      <c r="G184" s="86"/>
      <c r="H184" s="85"/>
      <c r="I184" s="85"/>
      <c r="J184" s="85"/>
      <c r="K184" s="85"/>
      <c r="L184" s="85"/>
    </row>
    <row r="185" spans="1:12" ht="15.6" x14ac:dyDescent="0.35">
      <c r="A185" s="44"/>
      <c r="B185" s="44"/>
      <c r="C185" s="44"/>
      <c r="D185" s="44"/>
      <c r="E185" s="44"/>
      <c r="F185" s="86"/>
      <c r="G185" s="86"/>
      <c r="H185" s="85"/>
      <c r="I185" s="85"/>
      <c r="J185" s="85"/>
      <c r="K185" s="85"/>
      <c r="L185" s="85"/>
    </row>
    <row r="186" spans="1:12" ht="15.6" x14ac:dyDescent="0.35">
      <c r="A186" s="44"/>
      <c r="B186" s="44"/>
      <c r="C186" s="44"/>
      <c r="D186" s="44"/>
      <c r="E186" s="44"/>
      <c r="F186" s="86"/>
      <c r="G186" s="86"/>
      <c r="H186" s="85"/>
      <c r="I186" s="85"/>
      <c r="J186" s="85"/>
      <c r="K186" s="85"/>
      <c r="L186" s="85"/>
    </row>
    <row r="187" spans="1:12" ht="28.8" x14ac:dyDescent="0.65">
      <c r="A187" s="44"/>
      <c r="B187" s="45" t="str">
        <f>Cover!$B$2</f>
        <v>ASOS PLC</v>
      </c>
      <c r="C187" s="45"/>
      <c r="D187" s="46"/>
      <c r="E187" s="47"/>
      <c r="F187" s="47"/>
      <c r="G187" s="47"/>
      <c r="H187" s="47"/>
      <c r="I187" s="47"/>
      <c r="J187" s="47"/>
      <c r="K187" s="47"/>
      <c r="L187" s="47"/>
    </row>
    <row r="188" spans="1:12" ht="21" x14ac:dyDescent="0.5">
      <c r="A188" s="44"/>
      <c r="B188" s="48" t="s">
        <v>6</v>
      </c>
      <c r="C188" s="49"/>
      <c r="D188" s="47"/>
      <c r="E188" s="47"/>
      <c r="F188" s="47"/>
      <c r="G188" s="47"/>
      <c r="H188" s="47"/>
      <c r="I188" s="47"/>
      <c r="J188" s="47"/>
      <c r="K188" s="47"/>
      <c r="L188" s="164" t="str">
        <f>"Currently Running: "&amp;CHOOSE(Assumptions!$B$10,Assumptions!$F$15,Assumptions!$F$16,Assumptions!$F$17)&amp;"Scenario"</f>
        <v>Currently Running: Base Scenario</v>
      </c>
    </row>
    <row r="189" spans="1:12" ht="15.6" x14ac:dyDescent="0.35">
      <c r="A189" s="44"/>
      <c r="B189" s="50"/>
      <c r="C189" s="50"/>
      <c r="D189" s="50"/>
      <c r="E189" s="50"/>
      <c r="F189" s="50"/>
      <c r="G189" s="50"/>
      <c r="H189" s="50"/>
      <c r="I189" s="50"/>
      <c r="J189" s="50"/>
      <c r="K189" s="51"/>
      <c r="L189" s="51"/>
    </row>
    <row r="190" spans="1:12" ht="15.6" x14ac:dyDescent="0.35">
      <c r="A190" s="44"/>
      <c r="B190" s="51"/>
      <c r="C190" s="51"/>
      <c r="D190" s="51"/>
      <c r="E190" s="51"/>
      <c r="F190" s="249" t="s">
        <v>374</v>
      </c>
      <c r="G190" s="250"/>
      <c r="H190" s="250"/>
      <c r="I190" s="250"/>
      <c r="J190" s="250"/>
      <c r="K190" s="250"/>
      <c r="L190" s="251"/>
    </row>
    <row r="191" spans="1:12" ht="15.6" x14ac:dyDescent="0.35">
      <c r="A191" s="44"/>
      <c r="B191" s="51"/>
      <c r="C191" s="51"/>
      <c r="D191" s="51"/>
      <c r="E191" s="51"/>
      <c r="F191" s="53">
        <f>$F$107</f>
        <v>2024</v>
      </c>
      <c r="G191" s="53">
        <f>F191+1</f>
        <v>2025</v>
      </c>
      <c r="H191" s="54">
        <f>G191+1</f>
        <v>2026</v>
      </c>
      <c r="I191" s="54">
        <f t="shared" ref="I191" si="102">H191+1</f>
        <v>2027</v>
      </c>
      <c r="J191" s="54">
        <f t="shared" ref="J191" si="103">I191+1</f>
        <v>2028</v>
      </c>
      <c r="K191" s="54">
        <f t="shared" ref="K191" si="104">J191+1</f>
        <v>2029</v>
      </c>
      <c r="L191" s="54">
        <f t="shared" ref="L191" si="105">K191+1</f>
        <v>2030</v>
      </c>
    </row>
    <row r="192" spans="1:12" ht="16.2" thickBot="1" x14ac:dyDescent="0.4">
      <c r="A192" s="44"/>
      <c r="B192" s="55" t="s">
        <v>191</v>
      </c>
      <c r="C192" s="55"/>
      <c r="D192" s="55"/>
      <c r="E192" s="55"/>
      <c r="F192" s="252" t="s">
        <v>50</v>
      </c>
      <c r="G192" s="253"/>
      <c r="H192" s="57"/>
      <c r="I192" s="57"/>
      <c r="J192" s="57"/>
      <c r="K192" s="57"/>
      <c r="L192" s="254" t="s">
        <v>37</v>
      </c>
    </row>
    <row r="193" spans="1:12" ht="15.6" x14ac:dyDescent="0.35">
      <c r="A193" s="44"/>
      <c r="B193" s="51"/>
      <c r="C193" s="51"/>
      <c r="D193" s="51"/>
      <c r="E193" s="51"/>
      <c r="F193" s="72"/>
      <c r="G193" s="72"/>
      <c r="H193" s="73"/>
      <c r="I193" s="73"/>
      <c r="J193" s="73"/>
      <c r="K193" s="73"/>
      <c r="L193" s="73"/>
    </row>
    <row r="194" spans="1:12" ht="15.6" x14ac:dyDescent="0.35">
      <c r="A194" s="44"/>
      <c r="B194" s="202" t="s">
        <v>211</v>
      </c>
      <c r="C194" s="203"/>
      <c r="D194" s="204"/>
      <c r="E194" s="204"/>
      <c r="F194" s="205"/>
      <c r="G194" s="205"/>
      <c r="H194" s="205"/>
      <c r="I194" s="205"/>
      <c r="J194" s="205"/>
      <c r="K194" s="205"/>
      <c r="L194" s="206"/>
    </row>
    <row r="195" spans="1:12" ht="15.6" x14ac:dyDescent="0.35">
      <c r="A195" s="44"/>
      <c r="B195" s="61"/>
      <c r="C195" s="61"/>
      <c r="D195" s="61"/>
      <c r="E195" s="61"/>
      <c r="F195" s="108"/>
      <c r="G195" s="108"/>
      <c r="H195" s="106"/>
      <c r="I195" s="106"/>
      <c r="J195" s="106"/>
      <c r="K195" s="106"/>
      <c r="L195" s="106"/>
    </row>
    <row r="196" spans="1:12" ht="15.6" x14ac:dyDescent="0.35">
      <c r="A196" s="44"/>
      <c r="B196" s="226" t="s">
        <v>212</v>
      </c>
      <c r="C196" s="191"/>
      <c r="D196" s="191"/>
      <c r="E196" s="221"/>
      <c r="F196" s="211"/>
      <c r="G196" s="211">
        <f>F199</f>
        <v>19700000</v>
      </c>
      <c r="H196" s="212">
        <f>G199</f>
        <v>17000000</v>
      </c>
      <c r="I196" s="212">
        <f t="shared" ref="I196:L196" si="106">H199</f>
        <v>15500000</v>
      </c>
      <c r="J196" s="212">
        <f t="shared" si="106"/>
        <v>14500000</v>
      </c>
      <c r="K196" s="212">
        <f t="shared" si="106"/>
        <v>14000000</v>
      </c>
      <c r="L196" s="212">
        <f t="shared" si="106"/>
        <v>13750000</v>
      </c>
    </row>
    <row r="197" spans="1:12" ht="15.6" x14ac:dyDescent="0.35">
      <c r="A197" s="44"/>
      <c r="B197" s="225" t="s">
        <v>215</v>
      </c>
      <c r="C197" s="61"/>
      <c r="D197" s="61"/>
      <c r="E197" s="220"/>
      <c r="F197" s="210"/>
      <c r="G197" s="210"/>
      <c r="H197" s="415">
        <f>Assumptions!H32</f>
        <v>1000000</v>
      </c>
      <c r="I197" s="415">
        <f>Assumptions!I32</f>
        <v>1000000</v>
      </c>
      <c r="J197" s="415">
        <f>Assumptions!J32</f>
        <v>1000000</v>
      </c>
      <c r="K197" s="415">
        <f>Assumptions!K32</f>
        <v>1000000</v>
      </c>
      <c r="L197" s="415">
        <f>Assumptions!L32</f>
        <v>1000000</v>
      </c>
    </row>
    <row r="198" spans="1:12" ht="15.6" x14ac:dyDescent="0.35">
      <c r="A198" s="44"/>
      <c r="B198" s="225" t="s">
        <v>216</v>
      </c>
      <c r="C198" s="61"/>
      <c r="D198" s="61"/>
      <c r="E198" s="220"/>
      <c r="F198" s="210"/>
      <c r="G198" s="210"/>
      <c r="H198" s="415">
        <f>Assumptions!H37</f>
        <v>-2500000</v>
      </c>
      <c r="I198" s="415">
        <f>Assumptions!I37</f>
        <v>-2000000</v>
      </c>
      <c r="J198" s="415">
        <f>Assumptions!J37</f>
        <v>-1500000</v>
      </c>
      <c r="K198" s="415">
        <f>Assumptions!K37</f>
        <v>-1250000</v>
      </c>
      <c r="L198" s="415">
        <f>Assumptions!L37</f>
        <v>-1000000</v>
      </c>
    </row>
    <row r="199" spans="1:12" ht="15.6" x14ac:dyDescent="0.35">
      <c r="A199" s="44"/>
      <c r="B199" s="226" t="s">
        <v>217</v>
      </c>
      <c r="C199" s="191"/>
      <c r="D199" s="191"/>
      <c r="E199" s="221"/>
      <c r="F199" s="211">
        <v>19700000</v>
      </c>
      <c r="G199" s="211">
        <v>17000000</v>
      </c>
      <c r="H199" s="212">
        <f>SUM(H196:H198)</f>
        <v>15500000</v>
      </c>
      <c r="I199" s="212">
        <f t="shared" ref="I199:L199" si="107">SUM(I196:I198)</f>
        <v>14500000</v>
      </c>
      <c r="J199" s="212">
        <f t="shared" si="107"/>
        <v>14000000</v>
      </c>
      <c r="K199" s="212">
        <f t="shared" si="107"/>
        <v>13750000</v>
      </c>
      <c r="L199" s="212">
        <f t="shared" si="107"/>
        <v>13750000</v>
      </c>
    </row>
    <row r="200" spans="1:12" ht="15.6" x14ac:dyDescent="0.35">
      <c r="A200" s="44"/>
      <c r="B200" s="227" t="s">
        <v>212</v>
      </c>
      <c r="C200" s="228"/>
      <c r="D200" s="228"/>
      <c r="E200" s="222"/>
      <c r="F200" s="215">
        <f>F201/F199</f>
        <v>3.451776649746193</v>
      </c>
      <c r="G200" s="215">
        <f t="shared" ref="G200" si="108">G201/G199</f>
        <v>3.3529411764705883</v>
      </c>
      <c r="H200" s="405">
        <f>Assumptions!H42</f>
        <v>3.3529411764705883</v>
      </c>
      <c r="I200" s="405">
        <f>Assumptions!I42</f>
        <v>3.3529411764705883</v>
      </c>
      <c r="J200" s="405">
        <f>Assumptions!J42</f>
        <v>3.3529411764705883</v>
      </c>
      <c r="K200" s="405">
        <f>Assumptions!K42</f>
        <v>3.3529411764705883</v>
      </c>
      <c r="L200" s="405">
        <f>Assumptions!L42</f>
        <v>3.3529411764705883</v>
      </c>
    </row>
    <row r="201" spans="1:12" ht="15.6" x14ac:dyDescent="0.35">
      <c r="A201" s="44"/>
      <c r="B201" s="226" t="s">
        <v>210</v>
      </c>
      <c r="C201" s="191"/>
      <c r="D201" s="191"/>
      <c r="E201" s="221"/>
      <c r="F201" s="213">
        <v>68000000</v>
      </c>
      <c r="G201" s="213">
        <v>57000000</v>
      </c>
      <c r="H201" s="214">
        <f>H200*H199</f>
        <v>51970588.235294119</v>
      </c>
      <c r="I201" s="214">
        <f t="shared" ref="I201:L201" si="109">I200*I199</f>
        <v>48617647.058823533</v>
      </c>
      <c r="J201" s="214">
        <f t="shared" si="109"/>
        <v>46941176.470588237</v>
      </c>
      <c r="K201" s="214">
        <f t="shared" si="109"/>
        <v>46102941.176470593</v>
      </c>
      <c r="L201" s="214">
        <f t="shared" si="109"/>
        <v>46102941.176470593</v>
      </c>
    </row>
    <row r="202" spans="1:12" ht="15.6" x14ac:dyDescent="0.35">
      <c r="A202" s="44"/>
      <c r="B202" s="61"/>
      <c r="C202" s="63"/>
      <c r="D202" s="63"/>
      <c r="E202" s="63"/>
      <c r="F202" s="201"/>
      <c r="G202" s="201"/>
      <c r="H202" s="190"/>
      <c r="I202" s="190"/>
      <c r="J202" s="190"/>
      <c r="K202" s="190"/>
      <c r="L202" s="190"/>
    </row>
    <row r="203" spans="1:12" ht="15.6" x14ac:dyDescent="0.35">
      <c r="A203" s="44"/>
      <c r="B203" s="223" t="s">
        <v>213</v>
      </c>
      <c r="C203" s="234"/>
      <c r="D203" s="234"/>
      <c r="E203" s="235"/>
      <c r="F203" s="208"/>
      <c r="G203" s="238">
        <f>(G204-F204)/F204</f>
        <v>3.4241620448517043E-2</v>
      </c>
      <c r="H203" s="239">
        <f>G203</f>
        <v>3.4241620448517043E-2</v>
      </c>
      <c r="I203" s="239">
        <f t="shared" ref="I203:L203" si="110">H203</f>
        <v>3.4241620448517043E-2</v>
      </c>
      <c r="J203" s="239">
        <f t="shared" si="110"/>
        <v>3.4241620448517043E-2</v>
      </c>
      <c r="K203" s="239">
        <f t="shared" si="110"/>
        <v>3.4241620448517043E-2</v>
      </c>
      <c r="L203" s="239">
        <f t="shared" si="110"/>
        <v>3.4241620448517043E-2</v>
      </c>
    </row>
    <row r="204" spans="1:12" ht="15.6" x14ac:dyDescent="0.35">
      <c r="A204" s="44"/>
      <c r="B204" s="227" t="s">
        <v>209</v>
      </c>
      <c r="C204" s="236"/>
      <c r="D204" s="236"/>
      <c r="E204" s="237"/>
      <c r="F204" s="240">
        <v>41.47</v>
      </c>
      <c r="G204" s="240">
        <v>42.89</v>
      </c>
      <c r="H204" s="241">
        <f>G204*(1+H203)</f>
        <v>44.358623101036891</v>
      </c>
      <c r="I204" s="241">
        <f t="shared" ref="I204:L204" si="111">H204*(1+I203)</f>
        <v>45.877534236881409</v>
      </c>
      <c r="J204" s="241">
        <f t="shared" si="111"/>
        <v>47.448455351334545</v>
      </c>
      <c r="K204" s="241">
        <f t="shared" si="111"/>
        <v>49.073167350343347</v>
      </c>
      <c r="L204" s="241">
        <f t="shared" si="111"/>
        <v>50.753512120960359</v>
      </c>
    </row>
    <row r="205" spans="1:12" ht="15.6" x14ac:dyDescent="0.35">
      <c r="A205" s="44"/>
      <c r="B205" s="218" t="s">
        <v>214</v>
      </c>
      <c r="C205" s="230"/>
      <c r="D205" s="230"/>
      <c r="E205" s="231"/>
      <c r="F205" s="233">
        <v>2917800000</v>
      </c>
      <c r="G205" s="233">
        <v>2456300000</v>
      </c>
      <c r="H205" s="233">
        <f>H204*H201</f>
        <v>2305343735.8685937</v>
      </c>
      <c r="I205" s="233">
        <f>I204*I201</f>
        <v>2230457767.4577932</v>
      </c>
      <c r="J205" s="233">
        <f>J204*J201</f>
        <v>2227286315.9038215</v>
      </c>
      <c r="K205" s="233">
        <f>K204*K201</f>
        <v>2262417347.6959767</v>
      </c>
      <c r="L205" s="233">
        <f>L204*L201</f>
        <v>2339886183.8119226</v>
      </c>
    </row>
    <row r="206" spans="1:12" ht="15.6" x14ac:dyDescent="0.35">
      <c r="A206" s="44"/>
      <c r="B206" s="61"/>
      <c r="C206" s="61"/>
      <c r="D206" s="61"/>
      <c r="E206" s="61"/>
      <c r="F206" s="196"/>
      <c r="G206" s="196"/>
      <c r="H206" s="197"/>
      <c r="I206" s="197"/>
      <c r="J206" s="197"/>
      <c r="K206" s="197"/>
      <c r="L206" s="197"/>
    </row>
    <row r="207" spans="1:12" ht="15.6" x14ac:dyDescent="0.35">
      <c r="A207" s="44"/>
      <c r="B207" s="217" t="s">
        <v>218</v>
      </c>
      <c r="C207" s="242"/>
      <c r="D207" s="243"/>
      <c r="E207" s="244"/>
      <c r="F207" s="245"/>
      <c r="G207" s="245"/>
      <c r="H207" s="246">
        <v>0.95</v>
      </c>
      <c r="I207" s="246">
        <v>0.95</v>
      </c>
      <c r="J207" s="246">
        <v>0.95</v>
      </c>
      <c r="K207" s="246">
        <v>0.95</v>
      </c>
      <c r="L207" s="246">
        <v>0.95</v>
      </c>
    </row>
    <row r="208" spans="1:12" ht="15.6" x14ac:dyDescent="0.35">
      <c r="A208" s="44"/>
      <c r="B208" s="218" t="s">
        <v>219</v>
      </c>
      <c r="C208" s="230"/>
      <c r="D208" s="230"/>
      <c r="E208" s="231"/>
      <c r="F208" s="233">
        <v>2748900000</v>
      </c>
      <c r="G208" s="233">
        <v>2339500000</v>
      </c>
      <c r="H208" s="233">
        <f>H207*H205</f>
        <v>2190076549.0751638</v>
      </c>
      <c r="I208" s="233">
        <f t="shared" ref="I208:L208" si="112">I207*I205</f>
        <v>2118934879.0849035</v>
      </c>
      <c r="J208" s="233">
        <f t="shared" si="112"/>
        <v>2115922000.1086302</v>
      </c>
      <c r="K208" s="233">
        <f t="shared" si="112"/>
        <v>2149296480.3111777</v>
      </c>
      <c r="L208" s="233">
        <f t="shared" si="112"/>
        <v>2222891874.6213264</v>
      </c>
    </row>
    <row r="209" spans="1:12" ht="15.6" x14ac:dyDescent="0.35">
      <c r="A209" s="44"/>
      <c r="B209" s="61"/>
      <c r="C209" s="63"/>
      <c r="D209" s="63"/>
      <c r="E209" s="63"/>
      <c r="F209" s="193"/>
      <c r="G209" s="193"/>
      <c r="H209" s="195"/>
      <c r="I209" s="195"/>
      <c r="J209" s="195"/>
      <c r="K209" s="195"/>
      <c r="L209" s="195"/>
    </row>
    <row r="210" spans="1:12" ht="15.6" x14ac:dyDescent="0.35">
      <c r="A210" s="44"/>
      <c r="B210" s="202" t="s">
        <v>220</v>
      </c>
      <c r="C210" s="203"/>
      <c r="D210" s="204"/>
      <c r="E210" s="204"/>
      <c r="F210" s="205"/>
      <c r="G210" s="205"/>
      <c r="H210" s="205"/>
      <c r="I210" s="205"/>
      <c r="J210" s="205"/>
      <c r="K210" s="205"/>
      <c r="L210" s="206"/>
    </row>
    <row r="211" spans="1:12" ht="15.6" x14ac:dyDescent="0.35">
      <c r="A211" s="44"/>
      <c r="B211" s="61"/>
      <c r="C211" s="61"/>
      <c r="D211" s="61"/>
      <c r="E211" s="61"/>
      <c r="F211" s="193"/>
      <c r="G211" s="193"/>
      <c r="H211" s="181"/>
      <c r="I211" s="181"/>
      <c r="J211" s="181"/>
      <c r="K211" s="181"/>
      <c r="L211" s="181"/>
    </row>
    <row r="212" spans="1:12" ht="15.6" x14ac:dyDescent="0.35">
      <c r="A212" s="44"/>
      <c r="B212" s="223" t="s">
        <v>221</v>
      </c>
      <c r="C212" s="224"/>
      <c r="D212" s="224"/>
      <c r="E212" s="219"/>
      <c r="F212" s="247"/>
      <c r="G212" s="247">
        <v>16900000</v>
      </c>
      <c r="H212" s="248">
        <v>16900000</v>
      </c>
      <c r="I212" s="248">
        <v>16900000</v>
      </c>
      <c r="J212" s="248">
        <v>16900000</v>
      </c>
      <c r="K212" s="248">
        <v>16900000</v>
      </c>
      <c r="L212" s="248">
        <v>16900000</v>
      </c>
    </row>
    <row r="213" spans="1:12" ht="15.6" x14ac:dyDescent="0.35">
      <c r="A213" s="44"/>
      <c r="B213" s="225" t="s">
        <v>222</v>
      </c>
      <c r="C213" s="61"/>
      <c r="D213" s="61"/>
      <c r="E213" s="220"/>
      <c r="F213" s="247"/>
      <c r="G213" s="247">
        <v>53500000</v>
      </c>
      <c r="H213" s="248">
        <v>53500000</v>
      </c>
      <c r="I213" s="248">
        <v>53500000</v>
      </c>
      <c r="J213" s="248">
        <v>53500000</v>
      </c>
      <c r="K213" s="248">
        <v>53500000</v>
      </c>
      <c r="L213" s="248">
        <v>53500000</v>
      </c>
    </row>
    <row r="214" spans="1:12" ht="15.6" x14ac:dyDescent="0.35">
      <c r="A214" s="44"/>
      <c r="B214" s="225" t="s">
        <v>223</v>
      </c>
      <c r="C214" s="61"/>
      <c r="D214" s="61"/>
      <c r="E214" s="220"/>
      <c r="F214" s="247"/>
      <c r="G214" s="247">
        <v>55500000</v>
      </c>
      <c r="H214" s="248">
        <v>55500000</v>
      </c>
      <c r="I214" s="248">
        <v>55500000</v>
      </c>
      <c r="J214" s="248">
        <v>55500000</v>
      </c>
      <c r="K214" s="248">
        <v>55500000</v>
      </c>
      <c r="L214" s="248">
        <v>55500000</v>
      </c>
    </row>
    <row r="215" spans="1:12" ht="15.6" x14ac:dyDescent="0.35">
      <c r="A215" s="44"/>
      <c r="B215" s="227" t="s">
        <v>224</v>
      </c>
      <c r="C215" s="236"/>
      <c r="D215" s="236"/>
      <c r="E215" s="237"/>
      <c r="F215" s="247"/>
      <c r="G215" s="247">
        <v>12400000</v>
      </c>
      <c r="H215" s="248">
        <v>12400000</v>
      </c>
      <c r="I215" s="248">
        <v>12400000</v>
      </c>
      <c r="J215" s="248">
        <v>12400000</v>
      </c>
      <c r="K215" s="248">
        <v>12400000</v>
      </c>
      <c r="L215" s="248">
        <v>12400000</v>
      </c>
    </row>
    <row r="216" spans="1:12" ht="15.6" x14ac:dyDescent="0.35">
      <c r="A216" s="44"/>
      <c r="B216" s="218" t="s">
        <v>220</v>
      </c>
      <c r="C216" s="230"/>
      <c r="D216" s="230"/>
      <c r="E216" s="231"/>
      <c r="F216" s="232"/>
      <c r="G216" s="233">
        <f>SUM(G212:G215)</f>
        <v>138300000</v>
      </c>
      <c r="H216" s="233">
        <f t="shared" ref="H216:L216" si="113">SUM(H212:H215)</f>
        <v>138300000</v>
      </c>
      <c r="I216" s="233">
        <f t="shared" si="113"/>
        <v>138300000</v>
      </c>
      <c r="J216" s="233">
        <f t="shared" si="113"/>
        <v>138300000</v>
      </c>
      <c r="K216" s="233">
        <f t="shared" si="113"/>
        <v>138300000</v>
      </c>
      <c r="L216" s="233">
        <f t="shared" si="113"/>
        <v>138300000</v>
      </c>
    </row>
    <row r="217" spans="1:12" ht="15.6" x14ac:dyDescent="0.35">
      <c r="A217" s="44"/>
      <c r="B217" s="61"/>
      <c r="C217" s="61"/>
      <c r="D217" s="61"/>
      <c r="E217" s="61"/>
      <c r="F217" s="195"/>
      <c r="G217" s="193"/>
      <c r="H217" s="193"/>
      <c r="I217" s="193"/>
      <c r="J217" s="193"/>
      <c r="K217" s="193"/>
      <c r="L217" s="193"/>
    </row>
    <row r="218" spans="1:12" ht="15.6" x14ac:dyDescent="0.35">
      <c r="A218" s="44"/>
      <c r="B218" s="202" t="s">
        <v>9</v>
      </c>
      <c r="C218" s="203"/>
      <c r="D218" s="204"/>
      <c r="E218" s="204"/>
      <c r="F218" s="205"/>
      <c r="G218" s="205"/>
      <c r="H218" s="205"/>
      <c r="I218" s="205"/>
      <c r="J218" s="205"/>
      <c r="K218" s="205"/>
      <c r="L218" s="206"/>
    </row>
    <row r="219" spans="1:12" ht="15.6" x14ac:dyDescent="0.35">
      <c r="A219" s="44"/>
      <c r="B219" s="61"/>
      <c r="C219" s="61"/>
      <c r="D219" s="61"/>
      <c r="E219" s="61"/>
      <c r="F219" s="195"/>
      <c r="G219" s="193"/>
      <c r="H219" s="193"/>
      <c r="I219" s="193"/>
      <c r="J219" s="193"/>
      <c r="K219" s="193"/>
      <c r="L219" s="193"/>
    </row>
    <row r="220" spans="1:12" ht="15.6" x14ac:dyDescent="0.35">
      <c r="A220" s="44"/>
      <c r="B220" s="218" t="s">
        <v>9</v>
      </c>
      <c r="C220" s="230"/>
      <c r="D220" s="230"/>
      <c r="E220" s="231"/>
      <c r="F220" s="232"/>
      <c r="G220" s="233">
        <f>G216+G208</f>
        <v>2477800000</v>
      </c>
      <c r="H220" s="233">
        <f>H216+H208</f>
        <v>2328376549.0751638</v>
      </c>
      <c r="I220" s="233">
        <f t="shared" ref="I220:L220" si="114">I216+I208</f>
        <v>2257234879.0849037</v>
      </c>
      <c r="J220" s="233">
        <f t="shared" si="114"/>
        <v>2254222000.1086302</v>
      </c>
      <c r="K220" s="233">
        <f t="shared" si="114"/>
        <v>2287596480.3111777</v>
      </c>
      <c r="L220" s="233">
        <f t="shared" si="114"/>
        <v>2361191874.6213264</v>
      </c>
    </row>
    <row r="221" spans="1:12" ht="15.6" x14ac:dyDescent="0.35">
      <c r="A221" s="44"/>
      <c r="B221" s="218" t="s">
        <v>71</v>
      </c>
      <c r="C221" s="230"/>
      <c r="D221" s="230"/>
      <c r="E221" s="231"/>
      <c r="F221" s="232"/>
      <c r="G221" s="233"/>
      <c r="H221" s="324">
        <f>(H220-G220)/G220</f>
        <v>-6.0304887773361918E-2</v>
      </c>
      <c r="I221" s="324">
        <f>(I220-H220)/H220</f>
        <v>-3.0554194517427927E-2</v>
      </c>
      <c r="J221" s="324">
        <f>(J220-I220)/I220</f>
        <v>-1.3347653822782394E-3</v>
      </c>
      <c r="K221" s="324">
        <f>(K220-J220)/J220</f>
        <v>1.480532094928505E-2</v>
      </c>
      <c r="L221" s="324">
        <f>(L220-K220)/K220</f>
        <v>3.2171493068627932E-2</v>
      </c>
    </row>
    <row r="222" spans="1:12" ht="15.6" x14ac:dyDescent="0.35">
      <c r="A222" s="44"/>
      <c r="B222" s="61"/>
      <c r="C222" s="61"/>
      <c r="D222" s="61"/>
      <c r="E222" s="61"/>
      <c r="F222" s="198"/>
      <c r="G222" s="109"/>
      <c r="H222" s="109"/>
      <c r="I222" s="109"/>
      <c r="J222" s="109"/>
      <c r="K222" s="109"/>
      <c r="L222" s="109"/>
    </row>
    <row r="223" spans="1:12" ht="15.6" x14ac:dyDescent="0.35">
      <c r="A223" s="44"/>
      <c r="B223" s="61"/>
      <c r="C223" s="61"/>
      <c r="D223" s="61"/>
      <c r="E223" s="61"/>
      <c r="F223" s="198"/>
      <c r="G223" s="111"/>
      <c r="H223" s="111"/>
      <c r="I223" s="111"/>
      <c r="J223" s="111"/>
      <c r="K223" s="111"/>
      <c r="L223" s="111"/>
    </row>
    <row r="224" spans="1:12" ht="28.8" x14ac:dyDescent="0.65">
      <c r="A224" s="44"/>
      <c r="B224" s="45" t="str">
        <f>Cover!$B$2</f>
        <v>ASOS PLC</v>
      </c>
      <c r="C224" s="45"/>
      <c r="D224" s="46"/>
      <c r="E224" s="47"/>
      <c r="F224" s="47"/>
      <c r="G224" s="47"/>
      <c r="H224" s="47"/>
      <c r="I224" s="47"/>
      <c r="J224" s="47"/>
      <c r="K224" s="47"/>
      <c r="L224" s="47"/>
    </row>
    <row r="225" spans="1:14" ht="21" x14ac:dyDescent="0.5">
      <c r="A225" s="44"/>
      <c r="B225" s="48" t="s">
        <v>233</v>
      </c>
      <c r="C225" s="49"/>
      <c r="D225" s="47"/>
      <c r="E225" s="47"/>
      <c r="F225" s="47"/>
      <c r="G225" s="47"/>
      <c r="H225" s="47"/>
      <c r="I225" s="47"/>
      <c r="J225" s="47"/>
      <c r="K225" s="47"/>
      <c r="L225" s="164" t="str">
        <f>"Currently Running: "&amp;CHOOSE(Assumptions!$B$10,Assumptions!$F$15,Assumptions!$F$16,Assumptions!$F$17)&amp;"Scenario"</f>
        <v>Currently Running: Base Scenario</v>
      </c>
    </row>
    <row r="226" spans="1:14" ht="15.6" x14ac:dyDescent="0.35">
      <c r="A226" s="44"/>
      <c r="B226" s="50"/>
      <c r="C226" s="50"/>
      <c r="D226" s="50"/>
      <c r="E226" s="50"/>
      <c r="F226" s="50"/>
      <c r="G226" s="50"/>
      <c r="H226" s="50"/>
      <c r="I226" s="50"/>
      <c r="J226" s="50"/>
      <c r="K226" s="51"/>
      <c r="L226" s="51"/>
    </row>
    <row r="227" spans="1:14" ht="15.6" x14ac:dyDescent="0.35">
      <c r="A227" s="44"/>
      <c r="B227" s="51"/>
      <c r="C227" s="51"/>
      <c r="D227" s="51"/>
      <c r="E227" s="51"/>
      <c r="F227" s="249" t="s">
        <v>374</v>
      </c>
      <c r="G227" s="250"/>
      <c r="H227" s="250"/>
      <c r="I227" s="250"/>
      <c r="J227" s="250"/>
      <c r="K227" s="250"/>
      <c r="L227" s="251"/>
    </row>
    <row r="228" spans="1:14" ht="15.6" x14ac:dyDescent="0.35">
      <c r="A228" s="44"/>
      <c r="B228" s="51"/>
      <c r="C228" s="51"/>
      <c r="D228" s="51"/>
      <c r="E228" s="51"/>
      <c r="F228" s="53">
        <f>$F$107</f>
        <v>2024</v>
      </c>
      <c r="G228" s="53">
        <f>F228+1</f>
        <v>2025</v>
      </c>
      <c r="H228" s="54">
        <f>G228+1</f>
        <v>2026</v>
      </c>
      <c r="I228" s="54">
        <f t="shared" ref="I228" si="115">H228+1</f>
        <v>2027</v>
      </c>
      <c r="J228" s="54">
        <f t="shared" ref="J228" si="116">I228+1</f>
        <v>2028</v>
      </c>
      <c r="K228" s="54">
        <f t="shared" ref="K228" si="117">J228+1</f>
        <v>2029</v>
      </c>
      <c r="L228" s="54">
        <f t="shared" ref="L228" si="118">K228+1</f>
        <v>2030</v>
      </c>
    </row>
    <row r="229" spans="1:14" ht="16.2" thickBot="1" x14ac:dyDescent="0.4">
      <c r="A229" s="44"/>
      <c r="B229" s="55" t="s">
        <v>191</v>
      </c>
      <c r="C229" s="55"/>
      <c r="D229" s="55"/>
      <c r="E229" s="55"/>
      <c r="F229" s="252" t="s">
        <v>50</v>
      </c>
      <c r="G229" s="253"/>
      <c r="H229" s="57"/>
      <c r="I229" s="57"/>
      <c r="J229" s="57"/>
      <c r="K229" s="57"/>
      <c r="L229" s="254" t="s">
        <v>37</v>
      </c>
    </row>
    <row r="230" spans="1:14" ht="15.6" x14ac:dyDescent="0.35">
      <c r="A230" s="44"/>
      <c r="B230" s="51"/>
      <c r="C230" s="51"/>
      <c r="D230" s="51"/>
      <c r="E230" s="51"/>
      <c r="F230" s="72"/>
      <c r="G230" s="72"/>
      <c r="H230" s="73"/>
      <c r="I230" s="73"/>
      <c r="J230" s="73"/>
      <c r="K230" s="73"/>
      <c r="L230" s="260"/>
    </row>
    <row r="231" spans="1:14" ht="15.6" x14ac:dyDescent="0.35">
      <c r="A231" s="44"/>
      <c r="B231" s="202" t="s">
        <v>235</v>
      </c>
      <c r="C231" s="203"/>
      <c r="D231" s="204"/>
      <c r="E231" s="204"/>
      <c r="F231" s="205"/>
      <c r="G231" s="205"/>
      <c r="H231" s="205"/>
      <c r="I231" s="205"/>
      <c r="J231" s="205"/>
      <c r="K231" s="205"/>
      <c r="L231" s="206"/>
    </row>
    <row r="232" spans="1:14" ht="15.6" x14ac:dyDescent="0.35">
      <c r="A232" s="44"/>
      <c r="B232" s="61"/>
      <c r="C232" s="61"/>
      <c r="D232" s="61"/>
      <c r="E232" s="61"/>
      <c r="F232" s="94"/>
      <c r="G232" s="109"/>
      <c r="H232" s="109"/>
      <c r="I232" s="109"/>
      <c r="J232" s="109"/>
      <c r="K232" s="109"/>
      <c r="L232" s="109"/>
      <c r="N232" t="s">
        <v>369</v>
      </c>
    </row>
    <row r="233" spans="1:14" ht="15.6" x14ac:dyDescent="0.35">
      <c r="A233" s="44"/>
      <c r="B233" s="226" t="s">
        <v>210</v>
      </c>
      <c r="C233" s="191"/>
      <c r="D233" s="191"/>
      <c r="E233" s="221"/>
      <c r="F233" s="214">
        <f t="shared" ref="F233:L233" si="119">F201</f>
        <v>68000000</v>
      </c>
      <c r="G233" s="214">
        <f t="shared" si="119"/>
        <v>57000000</v>
      </c>
      <c r="H233" s="214">
        <f t="shared" si="119"/>
        <v>51970588.235294119</v>
      </c>
      <c r="I233" s="214">
        <f t="shared" si="119"/>
        <v>48617647.058823533</v>
      </c>
      <c r="J233" s="214">
        <f t="shared" si="119"/>
        <v>46941176.470588237</v>
      </c>
      <c r="K233" s="214">
        <f t="shared" si="119"/>
        <v>46102941.176470593</v>
      </c>
      <c r="L233" s="214">
        <f t="shared" si="119"/>
        <v>46102941.176470593</v>
      </c>
    </row>
    <row r="234" spans="1:14" ht="15.6" x14ac:dyDescent="0.35">
      <c r="A234" s="44"/>
      <c r="B234" s="217" t="s">
        <v>225</v>
      </c>
      <c r="C234" s="243"/>
      <c r="D234" s="243"/>
      <c r="E234" s="244"/>
      <c r="F234" s="257"/>
      <c r="G234" s="257"/>
      <c r="H234" s="216">
        <v>2.5</v>
      </c>
      <c r="I234" s="216">
        <v>2.5</v>
      </c>
      <c r="J234" s="216">
        <v>2.5</v>
      </c>
      <c r="K234" s="216">
        <v>2.5</v>
      </c>
      <c r="L234" s="216">
        <v>2.5</v>
      </c>
    </row>
    <row r="235" spans="1:14" ht="15.6" x14ac:dyDescent="0.35">
      <c r="A235" s="44"/>
      <c r="B235" s="226" t="s">
        <v>226</v>
      </c>
      <c r="C235" s="191"/>
      <c r="D235" s="191"/>
      <c r="E235" s="221"/>
      <c r="F235" s="214">
        <f>F203</f>
        <v>0</v>
      </c>
      <c r="G235" s="214"/>
      <c r="H235" s="214">
        <f>H234*H233</f>
        <v>129926470.58823529</v>
      </c>
      <c r="I235" s="214">
        <f t="shared" ref="I235:L235" si="120">I234*I233</f>
        <v>121544117.64705883</v>
      </c>
      <c r="J235" s="214">
        <f t="shared" si="120"/>
        <v>117352941.17647059</v>
      </c>
      <c r="K235" s="214">
        <f t="shared" si="120"/>
        <v>115257352.94117647</v>
      </c>
      <c r="L235" s="214">
        <f t="shared" si="120"/>
        <v>115257352.94117647</v>
      </c>
    </row>
    <row r="236" spans="1:14" ht="15.6" x14ac:dyDescent="0.35">
      <c r="A236" s="44"/>
      <c r="B236" s="61"/>
      <c r="C236" s="61"/>
      <c r="D236" s="61"/>
      <c r="E236" s="61"/>
      <c r="F236" s="74"/>
      <c r="G236" s="107"/>
      <c r="H236" s="107"/>
      <c r="I236" s="107"/>
      <c r="J236" s="107"/>
      <c r="K236" s="107"/>
      <c r="L236" s="107"/>
    </row>
    <row r="237" spans="1:14" ht="15.6" x14ac:dyDescent="0.35">
      <c r="A237" s="44"/>
      <c r="B237" s="217" t="s">
        <v>341</v>
      </c>
      <c r="C237" s="243"/>
      <c r="D237" s="243"/>
      <c r="E237" s="244"/>
      <c r="F237" s="257"/>
      <c r="G237" s="257"/>
      <c r="H237" s="246">
        <v>0.1</v>
      </c>
      <c r="I237" s="246">
        <v>0.1</v>
      </c>
      <c r="J237" s="246">
        <v>0.1</v>
      </c>
      <c r="K237" s="246">
        <v>0.1</v>
      </c>
      <c r="L237" s="246">
        <v>0.1</v>
      </c>
    </row>
    <row r="238" spans="1:14" ht="15.6" x14ac:dyDescent="0.35">
      <c r="A238" s="44"/>
      <c r="B238" s="226" t="s">
        <v>227</v>
      </c>
      <c r="C238" s="191"/>
      <c r="D238" s="191"/>
      <c r="E238" s="221"/>
      <c r="F238" s="214">
        <f>F206</f>
        <v>0</v>
      </c>
      <c r="G238" s="214"/>
      <c r="H238" s="214">
        <f>H235*(1-H237)</f>
        <v>116933823.52941176</v>
      </c>
      <c r="I238" s="214">
        <f t="shared" ref="I238:L238" si="121">I235*(1-I237)</f>
        <v>109389705.88235295</v>
      </c>
      <c r="J238" s="214">
        <f t="shared" si="121"/>
        <v>105617647.05882354</v>
      </c>
      <c r="K238" s="214">
        <f t="shared" si="121"/>
        <v>103731617.64705883</v>
      </c>
      <c r="L238" s="214">
        <f t="shared" si="121"/>
        <v>103731617.64705883</v>
      </c>
    </row>
    <row r="239" spans="1:14" ht="15.6" x14ac:dyDescent="0.35">
      <c r="A239" s="44"/>
      <c r="B239" s="61"/>
      <c r="C239" s="61"/>
      <c r="D239" s="61"/>
      <c r="E239" s="61"/>
      <c r="F239" s="74"/>
      <c r="G239" s="107"/>
      <c r="H239" s="108"/>
      <c r="I239" s="108"/>
      <c r="J239" s="108"/>
      <c r="K239" s="108"/>
      <c r="L239" s="108"/>
    </row>
    <row r="240" spans="1:14" ht="15.6" x14ac:dyDescent="0.35">
      <c r="A240" s="44"/>
      <c r="B240" s="217" t="s">
        <v>229</v>
      </c>
      <c r="C240" s="243"/>
      <c r="D240" s="243"/>
      <c r="E240" s="244"/>
      <c r="F240" s="257"/>
      <c r="G240" s="257"/>
      <c r="H240" s="438">
        <f>Assumptions!H24</f>
        <v>3.5000000000000003E-2</v>
      </c>
      <c r="I240" s="438">
        <f>Assumptions!I24</f>
        <v>0.03</v>
      </c>
      <c r="J240" s="438">
        <f>Assumptions!J24</f>
        <v>0.03</v>
      </c>
      <c r="K240" s="438">
        <f>Assumptions!K24</f>
        <v>0.03</v>
      </c>
      <c r="L240" s="438">
        <f>Assumptions!L24</f>
        <v>0.03</v>
      </c>
    </row>
    <row r="241" spans="1:12" ht="15.6" x14ac:dyDescent="0.35">
      <c r="A241" s="44"/>
      <c r="B241" s="217" t="s">
        <v>228</v>
      </c>
      <c r="C241" s="243"/>
      <c r="D241" s="243"/>
      <c r="E241" s="244"/>
      <c r="F241" s="257"/>
      <c r="G241" s="258">
        <v>10</v>
      </c>
      <c r="H241" s="258">
        <f>G241*(1+H240)</f>
        <v>10.35</v>
      </c>
      <c r="I241" s="258">
        <f t="shared" ref="I241:L241" si="122">H241*(1+I240)</f>
        <v>10.660500000000001</v>
      </c>
      <c r="J241" s="258">
        <f t="shared" si="122"/>
        <v>10.980315000000001</v>
      </c>
      <c r="K241" s="258">
        <f t="shared" si="122"/>
        <v>11.309724450000001</v>
      </c>
      <c r="L241" s="258">
        <f t="shared" si="122"/>
        <v>11.649016183500001</v>
      </c>
    </row>
    <row r="242" spans="1:12" ht="15.6" x14ac:dyDescent="0.35">
      <c r="A242" s="44"/>
      <c r="B242" s="226" t="s">
        <v>230</v>
      </c>
      <c r="C242" s="191"/>
      <c r="D242" s="191"/>
      <c r="E242" s="221"/>
      <c r="F242" s="214"/>
      <c r="G242" s="214"/>
      <c r="H242" s="233">
        <f>H241*H238</f>
        <v>1210265073.5294118</v>
      </c>
      <c r="I242" s="233">
        <f t="shared" ref="I242:L242" si="123">I241*I238</f>
        <v>1166148959.5588236</v>
      </c>
      <c r="J242" s="233">
        <f t="shared" si="123"/>
        <v>1159715034.2647061</v>
      </c>
      <c r="K242" s="233">
        <f t="shared" si="123"/>
        <v>1173176012.3409929</v>
      </c>
      <c r="L242" s="233">
        <f t="shared" si="123"/>
        <v>1208371292.7112226</v>
      </c>
    </row>
    <row r="243" spans="1:12" ht="15.6" x14ac:dyDescent="0.35">
      <c r="A243" s="44"/>
      <c r="B243" s="63"/>
      <c r="C243" s="63"/>
      <c r="D243" s="63"/>
      <c r="E243" s="63"/>
      <c r="F243" s="255"/>
      <c r="G243" s="255"/>
      <c r="H243" s="259"/>
      <c r="I243" s="259"/>
      <c r="J243" s="259"/>
      <c r="K243" s="259"/>
      <c r="L243" s="259"/>
    </row>
    <row r="244" spans="1:12" ht="15.6" x14ac:dyDescent="0.35">
      <c r="A244" s="44"/>
      <c r="B244" s="217" t="s">
        <v>234</v>
      </c>
      <c r="C244" s="243"/>
      <c r="D244" s="243"/>
      <c r="E244" s="244"/>
      <c r="F244" s="257"/>
      <c r="G244" s="257"/>
      <c r="H244" s="239">
        <v>2.5000000000000001E-2</v>
      </c>
      <c r="I244" s="239">
        <v>2.5000000000000001E-2</v>
      </c>
      <c r="J244" s="239">
        <v>2.5000000000000001E-2</v>
      </c>
      <c r="K244" s="239">
        <v>2.5000000000000001E-2</v>
      </c>
      <c r="L244" s="239">
        <v>2.5000000000000001E-2</v>
      </c>
    </row>
    <row r="245" spans="1:12" ht="15.6" x14ac:dyDescent="0.35">
      <c r="A245" s="44"/>
      <c r="B245" s="217" t="s">
        <v>231</v>
      </c>
      <c r="C245" s="243"/>
      <c r="D245" s="243"/>
      <c r="E245" s="244"/>
      <c r="F245" s="257"/>
      <c r="G245" s="257"/>
      <c r="H245" s="262">
        <f>-H244*(H242)</f>
        <v>-30256626.838235296</v>
      </c>
      <c r="I245" s="262">
        <f t="shared" ref="I245:L245" si="124">-I244*(I242)</f>
        <v>-29153723.988970593</v>
      </c>
      <c r="J245" s="262">
        <f t="shared" si="124"/>
        <v>-28992875.856617656</v>
      </c>
      <c r="K245" s="262">
        <f t="shared" si="124"/>
        <v>-29329400.308524825</v>
      </c>
      <c r="L245" s="262">
        <f t="shared" si="124"/>
        <v>-30209282.317780569</v>
      </c>
    </row>
    <row r="246" spans="1:12" ht="15.6" x14ac:dyDescent="0.35">
      <c r="A246" s="44"/>
      <c r="B246" s="226" t="s">
        <v>232</v>
      </c>
      <c r="C246" s="191"/>
      <c r="D246" s="191"/>
      <c r="E246" s="221"/>
      <c r="F246" s="214"/>
      <c r="G246" s="214"/>
      <c r="H246" s="233">
        <f>H242-H245</f>
        <v>1240521700.3676472</v>
      </c>
      <c r="I246" s="233">
        <f>I242-I245</f>
        <v>1195302683.5477941</v>
      </c>
      <c r="J246" s="233">
        <f>J242-J245</f>
        <v>1188707910.1213238</v>
      </c>
      <c r="K246" s="233">
        <f>K242-K245</f>
        <v>1202505412.6495178</v>
      </c>
      <c r="L246" s="233">
        <f>L242-L245</f>
        <v>1238580575.0290031</v>
      </c>
    </row>
    <row r="247" spans="1:12" ht="15.6" x14ac:dyDescent="0.35">
      <c r="A247" s="44"/>
      <c r="B247" s="104"/>
      <c r="C247" s="63"/>
      <c r="D247" s="61"/>
      <c r="E247" s="61"/>
      <c r="F247" s="192"/>
      <c r="G247" s="192"/>
      <c r="H247" s="192"/>
      <c r="I247" s="192"/>
      <c r="J247" s="192"/>
      <c r="K247" s="192"/>
      <c r="L247" s="192"/>
    </row>
    <row r="248" spans="1:12" ht="15.6" x14ac:dyDescent="0.35">
      <c r="A248" s="44"/>
      <c r="B248" s="202" t="s">
        <v>17</v>
      </c>
      <c r="C248" s="203"/>
      <c r="D248" s="204"/>
      <c r="E248" s="204"/>
      <c r="F248" s="205"/>
      <c r="G248" s="205"/>
      <c r="H248" s="205"/>
      <c r="I248" s="205"/>
      <c r="J248" s="205"/>
      <c r="K248" s="205"/>
      <c r="L248" s="206"/>
    </row>
    <row r="249" spans="1:12" ht="15.6" x14ac:dyDescent="0.35">
      <c r="A249" s="44"/>
      <c r="B249" s="104"/>
      <c r="C249" s="61"/>
      <c r="D249" s="61"/>
      <c r="E249" s="61"/>
      <c r="F249" s="192"/>
      <c r="G249" s="192"/>
      <c r="H249" s="199"/>
      <c r="I249" s="199"/>
      <c r="J249" s="199"/>
      <c r="K249" s="199"/>
      <c r="L249" s="199"/>
    </row>
    <row r="250" spans="1:12" ht="15.6" x14ac:dyDescent="0.35">
      <c r="A250" s="44"/>
      <c r="B250" s="370" t="s">
        <v>169</v>
      </c>
      <c r="C250" s="61"/>
      <c r="D250" s="61"/>
      <c r="E250" s="61"/>
      <c r="F250" s="192"/>
      <c r="G250" s="192"/>
      <c r="H250" s="199"/>
      <c r="I250" s="199"/>
      <c r="J250" s="199"/>
      <c r="K250" s="199"/>
      <c r="L250" s="199"/>
    </row>
    <row r="251" spans="1:12" ht="15.6" x14ac:dyDescent="0.35">
      <c r="A251" s="44"/>
      <c r="B251" s="322" t="s">
        <v>340</v>
      </c>
      <c r="C251" s="243"/>
      <c r="D251" s="243"/>
      <c r="E251" s="244"/>
      <c r="F251" s="267"/>
      <c r="G251" s="268">
        <f>ABS(G255/G256)</f>
        <v>1.0024406986499885</v>
      </c>
      <c r="H251" s="239">
        <v>1.05</v>
      </c>
      <c r="I251" s="239">
        <v>1.05</v>
      </c>
      <c r="J251" s="239">
        <v>1.05</v>
      </c>
      <c r="K251" s="239">
        <v>1.05</v>
      </c>
      <c r="L251" s="239">
        <v>1.05</v>
      </c>
    </row>
    <row r="252" spans="1:12" ht="15.6" x14ac:dyDescent="0.35">
      <c r="A252" s="44"/>
      <c r="B252" s="322" t="s">
        <v>175</v>
      </c>
      <c r="C252" s="243"/>
      <c r="D252" s="243"/>
      <c r="E252" s="244"/>
      <c r="F252" s="290">
        <f>ABS(F257/F254)</f>
        <v>0.18298969072164947</v>
      </c>
      <c r="G252" s="290">
        <f t="shared" ref="G252" si="125">ABS(G257/G254)</f>
        <v>0.23294253315394964</v>
      </c>
      <c r="H252" s="246">
        <v>0.2</v>
      </c>
      <c r="I252" s="246">
        <v>0.2</v>
      </c>
      <c r="J252" s="246">
        <v>0.2</v>
      </c>
      <c r="K252" s="246">
        <v>0.2</v>
      </c>
      <c r="L252" s="246">
        <v>0.2</v>
      </c>
    </row>
    <row r="253" spans="1:12" ht="15.6" x14ac:dyDescent="0.35">
      <c r="A253" s="44"/>
      <c r="B253" s="104"/>
      <c r="C253" s="61"/>
      <c r="D253" s="61"/>
      <c r="E253" s="61"/>
      <c r="F253" s="192"/>
      <c r="G253" s="192"/>
      <c r="H253" s="199"/>
      <c r="I253" s="199"/>
      <c r="J253" s="199"/>
      <c r="K253" s="199"/>
      <c r="L253" s="199"/>
    </row>
    <row r="254" spans="1:12" ht="15.6" x14ac:dyDescent="0.35">
      <c r="A254" s="44"/>
      <c r="B254" s="226" t="s">
        <v>301</v>
      </c>
      <c r="C254" s="191"/>
      <c r="D254" s="191"/>
      <c r="E254" s="221"/>
      <c r="F254" s="233">
        <v>892400000</v>
      </c>
      <c r="G254" s="233">
        <f>F258</f>
        <v>520300000</v>
      </c>
      <c r="H254" s="233">
        <f>G258</f>
        <v>402300000</v>
      </c>
      <c r="I254" s="233">
        <f t="shared" ref="I254:L254" si="126">H258</f>
        <v>383866085.01838231</v>
      </c>
      <c r="J254" s="233">
        <f t="shared" si="126"/>
        <v>366858002.1920957</v>
      </c>
      <c r="K254" s="233">
        <f t="shared" si="126"/>
        <v>352921797.25974292</v>
      </c>
      <c r="L254" s="233">
        <f t="shared" si="126"/>
        <v>342462708.44027025</v>
      </c>
    </row>
    <row r="255" spans="1:12" ht="15.6" x14ac:dyDescent="0.35">
      <c r="A255" s="44"/>
      <c r="B255" s="322" t="s">
        <v>299</v>
      </c>
      <c r="C255" s="243"/>
      <c r="D255" s="243"/>
      <c r="E255" s="244"/>
      <c r="F255" s="257"/>
      <c r="G255" s="262">
        <f>G258-G254-G256-G257</f>
        <v>1314300000</v>
      </c>
      <c r="H255" s="262">
        <f>-H251*H256</f>
        <v>1302547785.3860295</v>
      </c>
      <c r="I255" s="262">
        <f t="shared" ref="I255:L255" si="127">-I251*I256</f>
        <v>1255067817.725184</v>
      </c>
      <c r="J255" s="262">
        <f t="shared" si="127"/>
        <v>1248143305.6273901</v>
      </c>
      <c r="K255" s="262">
        <f t="shared" si="127"/>
        <v>1262630683.2819936</v>
      </c>
      <c r="L255" s="262">
        <f t="shared" si="127"/>
        <v>1300509603.7804534</v>
      </c>
    </row>
    <row r="256" spans="1:12" ht="15.6" x14ac:dyDescent="0.35">
      <c r="A256" s="44"/>
      <c r="B256" s="322" t="s">
        <v>44</v>
      </c>
      <c r="C256" s="243"/>
      <c r="D256" s="243"/>
      <c r="E256" s="244"/>
      <c r="F256" s="209"/>
      <c r="G256" s="262">
        <f>G11</f>
        <v>-1311100000</v>
      </c>
      <c r="H256" s="262">
        <f>-H246</f>
        <v>-1240521700.3676472</v>
      </c>
      <c r="I256" s="262">
        <f>I11</f>
        <v>-1195302683.5477941</v>
      </c>
      <c r="J256" s="262">
        <f>J11</f>
        <v>-1188707910.1213238</v>
      </c>
      <c r="K256" s="262">
        <f>K11</f>
        <v>-1202505412.6495178</v>
      </c>
      <c r="L256" s="262">
        <f>L11</f>
        <v>-1238580575.0290031</v>
      </c>
    </row>
    <row r="257" spans="1:12" ht="15.6" x14ac:dyDescent="0.35">
      <c r="A257" s="44"/>
      <c r="B257" s="378" t="s">
        <v>302</v>
      </c>
      <c r="C257" s="61"/>
      <c r="D257" s="61"/>
      <c r="E257" s="220"/>
      <c r="F257" s="247">
        <v>-163300000</v>
      </c>
      <c r="G257" s="247">
        <v>-121200000</v>
      </c>
      <c r="H257" s="262">
        <f>H254*-H252</f>
        <v>-80460000</v>
      </c>
      <c r="I257" s="262">
        <f>I254*-I252</f>
        <v>-76773217.003676459</v>
      </c>
      <c r="J257" s="262">
        <f>J254*-J252</f>
        <v>-73371600.438419148</v>
      </c>
      <c r="K257" s="262">
        <f>K254*-K252</f>
        <v>-70584359.451948583</v>
      </c>
      <c r="L257" s="262">
        <f>L254*-L252</f>
        <v>-68492541.688054055</v>
      </c>
    </row>
    <row r="258" spans="1:12" ht="15.6" x14ac:dyDescent="0.35">
      <c r="A258" s="44"/>
      <c r="B258" s="226" t="s">
        <v>300</v>
      </c>
      <c r="C258" s="191"/>
      <c r="D258" s="191"/>
      <c r="E258" s="221"/>
      <c r="F258" s="233">
        <f>F51</f>
        <v>520300000</v>
      </c>
      <c r="G258" s="233">
        <f>G51</f>
        <v>402300000</v>
      </c>
      <c r="H258" s="233">
        <f>SUM(H254:H257)</f>
        <v>383866085.01838231</v>
      </c>
      <c r="I258" s="233">
        <f t="shared" ref="I258:L258" si="128">SUM(I254:I257)</f>
        <v>366858002.1920957</v>
      </c>
      <c r="J258" s="233">
        <f t="shared" si="128"/>
        <v>352921797.25974292</v>
      </c>
      <c r="K258" s="233">
        <f t="shared" si="128"/>
        <v>342462708.44027025</v>
      </c>
      <c r="L258" s="233">
        <f t="shared" si="128"/>
        <v>335899195.5036664</v>
      </c>
    </row>
    <row r="259" spans="1:12" ht="15.6" x14ac:dyDescent="0.35">
      <c r="A259" s="44"/>
      <c r="B259" s="61"/>
      <c r="C259" s="63"/>
      <c r="D259" s="63"/>
      <c r="E259" s="63"/>
      <c r="F259" s="180"/>
      <c r="G259" s="180"/>
      <c r="H259" s="180"/>
      <c r="I259" s="180"/>
      <c r="J259" s="180"/>
      <c r="K259" s="180"/>
      <c r="L259" s="180"/>
    </row>
    <row r="260" spans="1:12" ht="15.6" x14ac:dyDescent="0.35">
      <c r="A260" s="44"/>
      <c r="B260" s="104"/>
      <c r="C260" s="63"/>
      <c r="D260" s="63"/>
      <c r="E260" s="63"/>
      <c r="F260" s="88"/>
      <c r="G260" s="88"/>
      <c r="H260" s="88"/>
      <c r="I260" s="88"/>
      <c r="J260" s="88"/>
      <c r="K260" s="88"/>
      <c r="L260" s="88"/>
    </row>
    <row r="261" spans="1:12" ht="15.6" x14ac:dyDescent="0.35">
      <c r="A261" s="44"/>
      <c r="B261" s="104"/>
      <c r="C261" s="63"/>
      <c r="D261" s="63"/>
      <c r="E261" s="63"/>
      <c r="F261" s="88"/>
      <c r="G261" s="88"/>
      <c r="H261" s="88"/>
      <c r="I261" s="88"/>
      <c r="J261" s="88"/>
      <c r="K261" s="88"/>
      <c r="L261" s="88"/>
    </row>
    <row r="262" spans="1:12" ht="15.6" x14ac:dyDescent="0.35">
      <c r="A262" s="44"/>
      <c r="B262" s="104"/>
      <c r="C262" s="63"/>
      <c r="D262" s="63"/>
      <c r="E262" s="63"/>
      <c r="F262" s="88"/>
      <c r="G262" s="88"/>
      <c r="H262" s="88"/>
      <c r="I262" s="88"/>
      <c r="J262" s="88"/>
      <c r="K262" s="88"/>
      <c r="L262" s="88"/>
    </row>
    <row r="263" spans="1:12" ht="15.6" x14ac:dyDescent="0.35">
      <c r="A263" s="44"/>
      <c r="B263" s="63"/>
      <c r="C263" s="63"/>
      <c r="D263" s="63"/>
      <c r="E263" s="63"/>
      <c r="F263" s="180"/>
      <c r="G263" s="180"/>
      <c r="H263" s="180"/>
      <c r="I263" s="180"/>
      <c r="J263" s="180"/>
      <c r="K263" s="180"/>
      <c r="L263" s="180"/>
    </row>
    <row r="264" spans="1:12" ht="28.8" x14ac:dyDescent="0.65">
      <c r="A264" s="44"/>
      <c r="B264" s="45" t="str">
        <f>Cover!$B$2</f>
        <v>ASOS PLC</v>
      </c>
      <c r="C264" s="45"/>
      <c r="D264" s="46"/>
      <c r="E264" s="47"/>
      <c r="F264" s="47"/>
      <c r="G264" s="47"/>
      <c r="H264" s="47"/>
      <c r="I264" s="47"/>
      <c r="J264" s="47"/>
      <c r="K264" s="47"/>
      <c r="L264" s="47"/>
    </row>
    <row r="265" spans="1:12" ht="21" x14ac:dyDescent="0.5">
      <c r="A265" s="44"/>
      <c r="B265" s="48" t="s">
        <v>10</v>
      </c>
      <c r="C265" s="49"/>
      <c r="D265" s="47"/>
      <c r="E265" s="47"/>
      <c r="F265" s="47"/>
      <c r="G265" s="47"/>
      <c r="H265" s="47"/>
      <c r="I265" s="47"/>
      <c r="J265" s="47"/>
      <c r="K265" s="47"/>
      <c r="L265" s="164" t="str">
        <f>"Currently Running: "&amp;CHOOSE(Assumptions!$B$10,Assumptions!$F$15,Assumptions!$F$16,Assumptions!$F$17)&amp;"Scenario"</f>
        <v>Currently Running: Base Scenario</v>
      </c>
    </row>
    <row r="266" spans="1:12" ht="15.6" x14ac:dyDescent="0.35">
      <c r="A266" s="44"/>
      <c r="B266" s="50"/>
      <c r="C266" s="50"/>
      <c r="D266" s="50"/>
      <c r="E266" s="50"/>
      <c r="F266" s="50"/>
      <c r="G266" s="50"/>
      <c r="H266" s="50"/>
      <c r="I266" s="50"/>
      <c r="J266" s="50"/>
      <c r="K266" s="51"/>
      <c r="L266" s="51"/>
    </row>
    <row r="267" spans="1:12" ht="15.6" x14ac:dyDescent="0.35">
      <c r="A267" s="44"/>
      <c r="B267" s="51"/>
      <c r="C267" s="51"/>
      <c r="D267" s="51"/>
      <c r="E267" s="51"/>
      <c r="F267" s="249" t="s">
        <v>374</v>
      </c>
      <c r="G267" s="250"/>
      <c r="H267" s="250"/>
      <c r="I267" s="250"/>
      <c r="J267" s="250"/>
      <c r="K267" s="250"/>
      <c r="L267" s="251"/>
    </row>
    <row r="268" spans="1:12" ht="15.6" x14ac:dyDescent="0.35">
      <c r="A268" s="44"/>
      <c r="B268" s="51"/>
      <c r="C268" s="51"/>
      <c r="D268" s="51"/>
      <c r="E268" s="51"/>
      <c r="F268" s="53">
        <f>$F$107</f>
        <v>2024</v>
      </c>
      <c r="G268" s="53">
        <f>F268+1</f>
        <v>2025</v>
      </c>
      <c r="H268" s="54">
        <f>G268+1</f>
        <v>2026</v>
      </c>
      <c r="I268" s="54">
        <f t="shared" ref="I268" si="129">H268+1</f>
        <v>2027</v>
      </c>
      <c r="J268" s="54">
        <f t="shared" ref="J268" si="130">I268+1</f>
        <v>2028</v>
      </c>
      <c r="K268" s="54">
        <f t="shared" ref="K268" si="131">J268+1</f>
        <v>2029</v>
      </c>
      <c r="L268" s="54">
        <f t="shared" ref="L268" si="132">K268+1</f>
        <v>2030</v>
      </c>
    </row>
    <row r="269" spans="1:12" ht="16.2" thickBot="1" x14ac:dyDescent="0.4">
      <c r="A269" s="44"/>
      <c r="B269" s="55" t="s">
        <v>191</v>
      </c>
      <c r="C269" s="55"/>
      <c r="D269" s="55"/>
      <c r="E269" s="55"/>
      <c r="F269" s="252" t="s">
        <v>50</v>
      </c>
      <c r="G269" s="253"/>
      <c r="H269" s="57"/>
      <c r="I269" s="57"/>
      <c r="J269" s="57"/>
      <c r="K269" s="57"/>
      <c r="L269" s="254" t="s">
        <v>37</v>
      </c>
    </row>
    <row r="270" spans="1:12" ht="15.6" x14ac:dyDescent="0.35">
      <c r="A270" s="44"/>
      <c r="B270" s="51"/>
      <c r="C270" s="51"/>
      <c r="D270" s="51"/>
      <c r="E270" s="51"/>
      <c r="F270" s="72"/>
      <c r="G270" s="72"/>
      <c r="H270" s="73"/>
      <c r="I270" s="73"/>
      <c r="J270" s="73"/>
      <c r="K270" s="73"/>
      <c r="L270" s="73"/>
    </row>
    <row r="271" spans="1:12" ht="15.6" x14ac:dyDescent="0.35">
      <c r="A271" s="44"/>
      <c r="B271" s="202" t="s">
        <v>236</v>
      </c>
      <c r="C271" s="203"/>
      <c r="D271" s="204"/>
      <c r="E271" s="204"/>
      <c r="F271" s="205"/>
      <c r="G271" s="205"/>
      <c r="H271" s="205"/>
      <c r="I271" s="205"/>
      <c r="J271" s="205"/>
      <c r="K271" s="205"/>
      <c r="L271" s="206"/>
    </row>
    <row r="272" spans="1:12" ht="15.6" x14ac:dyDescent="0.35">
      <c r="A272" s="44"/>
      <c r="B272" s="61"/>
      <c r="C272" s="61"/>
      <c r="D272" s="61"/>
      <c r="E272" s="61"/>
      <c r="F272" s="94"/>
      <c r="G272" s="109"/>
      <c r="H272" s="109"/>
      <c r="I272" s="109"/>
      <c r="J272" s="109"/>
      <c r="K272" s="109"/>
      <c r="L272" s="109"/>
    </row>
    <row r="273" spans="1:12" ht="15.6" x14ac:dyDescent="0.35">
      <c r="A273" s="44"/>
      <c r="B273" s="455" t="s">
        <v>113</v>
      </c>
      <c r="C273" s="458"/>
      <c r="D273" s="458"/>
      <c r="E273" s="459"/>
      <c r="F273" s="460"/>
      <c r="G273" s="460"/>
      <c r="H273" s="462">
        <f>Assumptions!H19</f>
        <v>3.5000000000000003E-2</v>
      </c>
      <c r="I273" s="462">
        <f>Assumptions!I19</f>
        <v>0.03</v>
      </c>
      <c r="J273" s="462">
        <f>Assumptions!J19</f>
        <v>0.03</v>
      </c>
      <c r="K273" s="462">
        <f>Assumptions!K19</f>
        <v>0.03</v>
      </c>
      <c r="L273" s="462">
        <f>Assumptions!L19</f>
        <v>0.03</v>
      </c>
    </row>
    <row r="274" spans="1:12" ht="15.6" x14ac:dyDescent="0.35">
      <c r="A274" s="44"/>
      <c r="B274" s="226" t="s">
        <v>373</v>
      </c>
      <c r="C274" s="191"/>
      <c r="D274" s="191"/>
      <c r="E274" s="221"/>
      <c r="F274" s="461">
        <f>F275/F233</f>
        <v>4.7955882352941179</v>
      </c>
      <c r="G274" s="461">
        <f t="shared" ref="G274" si="133">G275/G233</f>
        <v>4.6017543859649122</v>
      </c>
      <c r="H274" s="461">
        <f>G274*(1+H273)</f>
        <v>4.7628157894736836</v>
      </c>
      <c r="I274" s="461">
        <f t="shared" ref="I274:L274" si="134">H274*(1+I273)</f>
        <v>4.9057002631578941</v>
      </c>
      <c r="J274" s="461">
        <f t="shared" si="134"/>
        <v>5.0528712710526307</v>
      </c>
      <c r="K274" s="461">
        <f t="shared" si="134"/>
        <v>5.2044574091842097</v>
      </c>
      <c r="L274" s="461">
        <f t="shared" si="134"/>
        <v>5.3605911314597359</v>
      </c>
    </row>
    <row r="275" spans="1:12" ht="15.6" x14ac:dyDescent="0.35">
      <c r="A275" s="44"/>
      <c r="B275" s="226" t="s">
        <v>236</v>
      </c>
      <c r="C275" s="191"/>
      <c r="D275" s="191"/>
      <c r="E275" s="221"/>
      <c r="F275" s="233">
        <f>-F15</f>
        <v>326100000</v>
      </c>
      <c r="G275" s="233">
        <f t="shared" ref="G275" si="135">-G15</f>
        <v>262300000</v>
      </c>
      <c r="H275" s="233">
        <f>H274*H233</f>
        <v>247526338.23529407</v>
      </c>
      <c r="I275" s="233">
        <f t="shared" ref="I275:L275" si="136">I274*I233</f>
        <v>238503603.97058824</v>
      </c>
      <c r="J275" s="233">
        <f t="shared" si="136"/>
        <v>237187722.01764703</v>
      </c>
      <c r="K275" s="233">
        <f t="shared" si="136"/>
        <v>239940793.79106617</v>
      </c>
      <c r="L275" s="233">
        <f t="shared" si="136"/>
        <v>247139017.60479814</v>
      </c>
    </row>
    <row r="276" spans="1:12" ht="15.6" x14ac:dyDescent="0.35">
      <c r="A276" s="44"/>
      <c r="B276" s="445"/>
      <c r="C276" s="457"/>
      <c r="D276" s="457"/>
      <c r="E276" s="445"/>
      <c r="F276" s="446"/>
      <c r="G276" s="446"/>
      <c r="H276" s="446"/>
      <c r="I276" s="446"/>
      <c r="J276" s="446"/>
      <c r="K276" s="446"/>
      <c r="L276" s="446"/>
    </row>
    <row r="277" spans="1:12" ht="15.6" x14ac:dyDescent="0.35">
      <c r="A277" s="44"/>
      <c r="B277" s="61"/>
      <c r="C277" s="61"/>
      <c r="D277" s="61"/>
      <c r="E277" s="61"/>
      <c r="F277" s="74"/>
      <c r="G277" s="107"/>
      <c r="H277" s="107"/>
      <c r="I277" s="107"/>
      <c r="J277" s="107"/>
      <c r="K277" s="107"/>
      <c r="L277" s="107"/>
    </row>
    <row r="278" spans="1:12" ht="15.6" x14ac:dyDescent="0.35">
      <c r="A278" s="44"/>
      <c r="B278" s="202" t="s">
        <v>237</v>
      </c>
      <c r="C278" s="203"/>
      <c r="D278" s="204"/>
      <c r="E278" s="204"/>
      <c r="F278" s="205"/>
      <c r="G278" s="205"/>
      <c r="H278" s="205"/>
      <c r="I278" s="205"/>
      <c r="J278" s="205"/>
      <c r="K278" s="205"/>
      <c r="L278" s="206"/>
    </row>
    <row r="279" spans="1:12" ht="15.6" x14ac:dyDescent="0.35">
      <c r="A279" s="44"/>
      <c r="B279" s="104"/>
      <c r="C279" s="63"/>
      <c r="D279" s="61"/>
      <c r="E279" s="181"/>
      <c r="F279" s="181"/>
      <c r="G279" s="194"/>
      <c r="H279" s="192"/>
      <c r="I279" s="192"/>
      <c r="J279" s="192"/>
      <c r="K279" s="192"/>
      <c r="L279" s="192"/>
    </row>
    <row r="280" spans="1:12" ht="15.6" x14ac:dyDescent="0.35">
      <c r="A280" s="44"/>
      <c r="B280" s="226" t="s">
        <v>238</v>
      </c>
      <c r="C280" s="191"/>
      <c r="D280" s="191"/>
      <c r="E280" s="221"/>
      <c r="F280" s="233">
        <f>-F16</f>
        <v>1170300000</v>
      </c>
      <c r="G280" s="233">
        <f>-G16</f>
        <v>1133200000</v>
      </c>
      <c r="H280" s="233"/>
      <c r="I280" s="233"/>
      <c r="J280" s="233"/>
      <c r="K280" s="233"/>
      <c r="L280" s="233"/>
    </row>
    <row r="281" spans="1:12" ht="15.6" x14ac:dyDescent="0.35">
      <c r="A281" s="44"/>
      <c r="B281" s="264" t="s">
        <v>239</v>
      </c>
      <c r="C281" s="234"/>
      <c r="D281" s="224"/>
      <c r="E281" s="265"/>
      <c r="F281" s="247">
        <v>-141500000</v>
      </c>
      <c r="G281" s="247">
        <v>-172500000</v>
      </c>
      <c r="H281" s="269">
        <v>0</v>
      </c>
      <c r="I281" s="269">
        <v>0</v>
      </c>
      <c r="J281" s="269">
        <v>0</v>
      </c>
      <c r="K281" s="269">
        <v>0</v>
      </c>
      <c r="L281" s="269">
        <v>0</v>
      </c>
    </row>
    <row r="282" spans="1:12" ht="15.6" x14ac:dyDescent="0.35">
      <c r="A282" s="44"/>
      <c r="B282" s="217" t="s">
        <v>240</v>
      </c>
      <c r="C282" s="242"/>
      <c r="D282" s="243"/>
      <c r="E282" s="244"/>
      <c r="F282" s="247">
        <v>-3400000</v>
      </c>
      <c r="G282" s="247">
        <v>-16600000</v>
      </c>
      <c r="H282" s="269">
        <v>0</v>
      </c>
      <c r="I282" s="269">
        <v>0</v>
      </c>
      <c r="J282" s="269">
        <v>0</v>
      </c>
      <c r="K282" s="269">
        <v>0</v>
      </c>
      <c r="L282" s="269">
        <v>0</v>
      </c>
    </row>
    <row r="283" spans="1:12" ht="15.6" x14ac:dyDescent="0.35">
      <c r="A283" s="44"/>
      <c r="B283" s="227" t="s">
        <v>241</v>
      </c>
      <c r="C283" s="228"/>
      <c r="D283" s="236"/>
      <c r="E283" s="237"/>
      <c r="F283" s="247">
        <v>-10700000</v>
      </c>
      <c r="G283" s="247">
        <v>-4500000</v>
      </c>
      <c r="H283" s="269">
        <v>0</v>
      </c>
      <c r="I283" s="269">
        <v>0</v>
      </c>
      <c r="J283" s="269">
        <v>0</v>
      </c>
      <c r="K283" s="269">
        <v>0</v>
      </c>
      <c r="L283" s="269">
        <v>0</v>
      </c>
    </row>
    <row r="284" spans="1:12" ht="15.6" x14ac:dyDescent="0.35">
      <c r="A284" s="44"/>
      <c r="B284" s="226" t="s">
        <v>242</v>
      </c>
      <c r="C284" s="191"/>
      <c r="D284" s="191"/>
      <c r="E284" s="221"/>
      <c r="F284" s="233">
        <f>SUM(F280:F283)</f>
        <v>1014700000</v>
      </c>
      <c r="G284" s="233">
        <f t="shared" ref="G284" si="137">SUM(G280:G283)</f>
        <v>939600000</v>
      </c>
      <c r="H284" s="233"/>
      <c r="I284" s="233"/>
      <c r="J284" s="233"/>
      <c r="K284" s="233"/>
      <c r="L284" s="233"/>
    </row>
    <row r="285" spans="1:12" ht="15.6" x14ac:dyDescent="0.35">
      <c r="A285" s="44"/>
      <c r="B285" s="61"/>
      <c r="C285" s="63"/>
      <c r="D285" s="61"/>
      <c r="E285" s="61"/>
      <c r="F285" s="74"/>
      <c r="G285" s="74"/>
      <c r="H285" s="200"/>
      <c r="I285" s="200"/>
      <c r="J285" s="200"/>
      <c r="K285" s="200"/>
      <c r="L285" s="200"/>
    </row>
    <row r="286" spans="1:12" ht="15.6" x14ac:dyDescent="0.35">
      <c r="A286" s="44"/>
      <c r="B286" s="217" t="s">
        <v>114</v>
      </c>
      <c r="C286" s="242"/>
      <c r="D286" s="243"/>
      <c r="E286" s="244"/>
      <c r="F286" s="266"/>
      <c r="G286" s="266"/>
      <c r="H286" s="262">
        <f>H448</f>
        <v>32542701.23926013</v>
      </c>
      <c r="I286" s="262">
        <f t="shared" ref="I286:L286" si="138">I448</f>
        <v>36211190.381788187</v>
      </c>
      <c r="J286" s="262">
        <f t="shared" si="138"/>
        <v>39820355.885143012</v>
      </c>
      <c r="K286" s="262">
        <f t="shared" si="138"/>
        <v>43453810.669478863</v>
      </c>
      <c r="L286" s="262">
        <f t="shared" si="138"/>
        <v>47172841.353424862</v>
      </c>
    </row>
    <row r="287" spans="1:12" ht="15.6" x14ac:dyDescent="0.35">
      <c r="A287" s="44"/>
      <c r="B287" s="217" t="s">
        <v>244</v>
      </c>
      <c r="C287" s="242"/>
      <c r="D287" s="243"/>
      <c r="E287" s="244"/>
      <c r="F287" s="266"/>
      <c r="G287" s="266"/>
      <c r="H287" s="262">
        <f>H475</f>
        <v>95419469.431481093</v>
      </c>
      <c r="I287" s="262">
        <f t="shared" ref="I287:L287" si="139">I475</f>
        <v>110780101.78830108</v>
      </c>
      <c r="J287" s="262">
        <f t="shared" si="139"/>
        <v>125892335.26045635</v>
      </c>
      <c r="K287" s="262">
        <f t="shared" si="139"/>
        <v>141106272.37704542</v>
      </c>
      <c r="L287" s="262">
        <f t="shared" si="139"/>
        <v>156678531.37532607</v>
      </c>
    </row>
    <row r="288" spans="1:12" ht="15.6" x14ac:dyDescent="0.35">
      <c r="A288" s="44"/>
      <c r="B288" s="217" t="s">
        <v>115</v>
      </c>
      <c r="C288" s="242"/>
      <c r="D288" s="243"/>
      <c r="E288" s="244"/>
      <c r="F288" s="266"/>
      <c r="G288" s="266"/>
      <c r="H288" s="262">
        <f>H398</f>
        <v>17210000</v>
      </c>
      <c r="I288" s="262">
        <f t="shared" ref="I288:L288" si="140">I398</f>
        <v>17210000</v>
      </c>
      <c r="J288" s="262">
        <f t="shared" si="140"/>
        <v>17210000</v>
      </c>
      <c r="K288" s="262">
        <f t="shared" si="140"/>
        <v>17210000</v>
      </c>
      <c r="L288" s="262">
        <f t="shared" si="140"/>
        <v>17210000</v>
      </c>
    </row>
    <row r="289" spans="1:14" ht="15.6" x14ac:dyDescent="0.35">
      <c r="A289" s="44"/>
      <c r="B289" s="217" t="s">
        <v>245</v>
      </c>
      <c r="C289" s="242"/>
      <c r="D289" s="243"/>
      <c r="E289" s="244"/>
      <c r="F289" s="266"/>
      <c r="G289" s="266"/>
      <c r="H289" s="272">
        <f>H451</f>
        <v>0</v>
      </c>
      <c r="I289" s="272">
        <f t="shared" ref="I289:L289" si="141">I451</f>
        <v>0</v>
      </c>
      <c r="J289" s="272">
        <f t="shared" si="141"/>
        <v>0</v>
      </c>
      <c r="K289" s="272">
        <f t="shared" si="141"/>
        <v>0</v>
      </c>
      <c r="L289" s="272">
        <f t="shared" si="141"/>
        <v>0</v>
      </c>
    </row>
    <row r="290" spans="1:14" ht="15.6" x14ac:dyDescent="0.35">
      <c r="A290" s="44"/>
      <c r="B290" s="217" t="s">
        <v>246</v>
      </c>
      <c r="C290" s="242"/>
      <c r="D290" s="243"/>
      <c r="E290" s="244"/>
      <c r="F290" s="266"/>
      <c r="G290" s="266"/>
      <c r="H290" s="272">
        <f>H485</f>
        <v>0</v>
      </c>
      <c r="I290" s="272">
        <f t="shared" ref="I290:L290" si="142">I485</f>
        <v>0</v>
      </c>
      <c r="J290" s="272">
        <f t="shared" si="142"/>
        <v>0</v>
      </c>
      <c r="K290" s="272">
        <f t="shared" si="142"/>
        <v>0</v>
      </c>
      <c r="L290" s="272">
        <f t="shared" si="142"/>
        <v>0</v>
      </c>
    </row>
    <row r="291" spans="1:14" ht="15.6" x14ac:dyDescent="0.35">
      <c r="A291" s="44"/>
      <c r="B291" s="217" t="s">
        <v>247</v>
      </c>
      <c r="C291" s="242"/>
      <c r="D291" s="243"/>
      <c r="E291" s="244"/>
      <c r="F291" s="266"/>
      <c r="G291" s="266"/>
      <c r="H291" s="272">
        <f>-H403</f>
        <v>0</v>
      </c>
      <c r="I291" s="272">
        <f t="shared" ref="I291:L291" si="143">-I403</f>
        <v>0</v>
      </c>
      <c r="J291" s="272">
        <f t="shared" si="143"/>
        <v>0</v>
      </c>
      <c r="K291" s="272">
        <f t="shared" si="143"/>
        <v>0</v>
      </c>
      <c r="L291" s="272">
        <f t="shared" si="143"/>
        <v>0</v>
      </c>
    </row>
    <row r="292" spans="1:14" ht="15.6" x14ac:dyDescent="0.35">
      <c r="A292" s="44"/>
      <c r="B292" s="225" t="s">
        <v>248</v>
      </c>
      <c r="C292" s="63"/>
      <c r="D292" s="61"/>
      <c r="E292" s="220"/>
      <c r="F292" s="266"/>
      <c r="G292" s="266"/>
      <c r="H292" s="262">
        <f>-H325</f>
        <v>29500000</v>
      </c>
      <c r="I292" s="262">
        <f t="shared" ref="I292:L292" si="144">-I325</f>
        <v>29500000</v>
      </c>
      <c r="J292" s="262">
        <f t="shared" si="144"/>
        <v>29500000</v>
      </c>
      <c r="K292" s="262">
        <f t="shared" si="144"/>
        <v>29500000</v>
      </c>
      <c r="L292" s="262">
        <f t="shared" si="144"/>
        <v>29500000</v>
      </c>
    </row>
    <row r="293" spans="1:14" ht="15.6" x14ac:dyDescent="0.35">
      <c r="A293" s="44"/>
      <c r="B293" s="217" t="s">
        <v>311</v>
      </c>
      <c r="C293" s="242"/>
      <c r="D293" s="243"/>
      <c r="E293" s="244"/>
      <c r="F293" s="266"/>
      <c r="G293" s="266"/>
      <c r="H293" s="262">
        <f>-H326</f>
        <v>54211500</v>
      </c>
      <c r="I293" s="262">
        <f t="shared" ref="I293:L293" si="145">-I326</f>
        <v>48188000</v>
      </c>
      <c r="J293" s="262">
        <f t="shared" si="145"/>
        <v>42164500</v>
      </c>
      <c r="K293" s="262">
        <f t="shared" si="145"/>
        <v>36141000</v>
      </c>
      <c r="L293" s="262">
        <f t="shared" si="145"/>
        <v>30117499.999999996</v>
      </c>
    </row>
    <row r="294" spans="1:14" ht="15.6" x14ac:dyDescent="0.35">
      <c r="A294" s="44"/>
      <c r="B294" s="217" t="s">
        <v>249</v>
      </c>
      <c r="C294" s="242"/>
      <c r="D294" s="243"/>
      <c r="E294" s="244"/>
      <c r="F294" s="266"/>
      <c r="G294" s="266"/>
      <c r="H294" s="262"/>
      <c r="I294" s="262"/>
      <c r="J294" s="262"/>
      <c r="K294" s="262"/>
      <c r="L294" s="262"/>
    </row>
    <row r="295" spans="1:14" ht="15.6" x14ac:dyDescent="0.35">
      <c r="A295" s="44"/>
      <c r="B295" s="226" t="s">
        <v>243</v>
      </c>
      <c r="C295" s="191"/>
      <c r="D295" s="191"/>
      <c r="E295" s="221"/>
      <c r="F295" s="233">
        <f>SUM(F286:F288)</f>
        <v>0</v>
      </c>
      <c r="G295" s="233">
        <f>SUM(G286:G288)</f>
        <v>0</v>
      </c>
      <c r="H295" s="233">
        <f>SUM(H286:H294)</f>
        <v>228883670.67074123</v>
      </c>
      <c r="I295" s="233">
        <f t="shared" ref="I295:L295" si="146">SUM(I286:I294)</f>
        <v>241889292.17008927</v>
      </c>
      <c r="J295" s="233">
        <f t="shared" si="146"/>
        <v>254587191.14559937</v>
      </c>
      <c r="K295" s="233">
        <f t="shared" si="146"/>
        <v>267411083.04652429</v>
      </c>
      <c r="L295" s="233">
        <f t="shared" si="146"/>
        <v>280678872.72875094</v>
      </c>
    </row>
    <row r="296" spans="1:14" ht="15.6" x14ac:dyDescent="0.35">
      <c r="A296" s="44"/>
      <c r="B296" s="445"/>
      <c r="C296" s="457"/>
      <c r="D296" s="457"/>
      <c r="E296" s="445"/>
      <c r="F296" s="446"/>
      <c r="G296" s="446"/>
      <c r="H296" s="446"/>
      <c r="I296" s="446"/>
      <c r="J296" s="446"/>
      <c r="K296" s="446"/>
      <c r="L296" s="446"/>
    </row>
    <row r="297" spans="1:14" ht="15.6" x14ac:dyDescent="0.35">
      <c r="A297" s="44"/>
      <c r="B297" s="455" t="s">
        <v>113</v>
      </c>
      <c r="C297" s="447"/>
      <c r="D297" s="447"/>
      <c r="E297" s="456"/>
      <c r="F297" s="460"/>
      <c r="G297" s="460"/>
      <c r="H297" s="400">
        <f>Assumptions!H19</f>
        <v>3.5000000000000003E-2</v>
      </c>
      <c r="I297" s="400">
        <f>Assumptions!I19</f>
        <v>0.03</v>
      </c>
      <c r="J297" s="400">
        <f>Assumptions!J19</f>
        <v>0.03</v>
      </c>
      <c r="K297" s="400">
        <f>Assumptions!K19</f>
        <v>0.03</v>
      </c>
      <c r="L297" s="400">
        <f>Assumptions!L19</f>
        <v>0.03</v>
      </c>
    </row>
    <row r="298" spans="1:14" ht="15.6" x14ac:dyDescent="0.35">
      <c r="A298" s="44"/>
      <c r="B298" s="217" t="s">
        <v>283</v>
      </c>
      <c r="C298" s="242"/>
      <c r="D298" s="242"/>
      <c r="E298" s="256"/>
      <c r="F298" s="261"/>
      <c r="G298" s="261"/>
      <c r="H298" s="239">
        <v>0.01</v>
      </c>
      <c r="I298" s="239">
        <v>0.01</v>
      </c>
      <c r="J298" s="239">
        <v>0.01</v>
      </c>
      <c r="K298" s="239">
        <v>0.01</v>
      </c>
      <c r="L298" s="239">
        <v>0.01</v>
      </c>
    </row>
    <row r="299" spans="1:14" ht="15.6" x14ac:dyDescent="0.35">
      <c r="A299" s="44"/>
      <c r="B299" s="226" t="s">
        <v>370</v>
      </c>
      <c r="C299" s="191"/>
      <c r="D299" s="191"/>
      <c r="E299" s="221"/>
      <c r="F299" s="461">
        <f>ABS(F300)/F233</f>
        <v>4.5808823529411766</v>
      </c>
      <c r="G299" s="461">
        <f>ABS(G300)/G233</f>
        <v>4.4754385964912284</v>
      </c>
      <c r="H299" s="461">
        <f>G299*(1+H297)*(1-H298)</f>
        <v>4.5857581578947366</v>
      </c>
      <c r="I299" s="461">
        <f t="shared" ref="I299:L299" si="147">H299*(1+I297)*(1-I298)</f>
        <v>4.6760975936052631</v>
      </c>
      <c r="J299" s="461">
        <f t="shared" si="147"/>
        <v>4.7682167161992872</v>
      </c>
      <c r="K299" s="461">
        <f t="shared" si="147"/>
        <v>4.8621505855084131</v>
      </c>
      <c r="L299" s="461">
        <f t="shared" si="147"/>
        <v>4.9579349520429288</v>
      </c>
    </row>
    <row r="300" spans="1:14" ht="15.6" x14ac:dyDescent="0.35">
      <c r="A300" s="44"/>
      <c r="B300" s="226" t="s">
        <v>371</v>
      </c>
      <c r="C300" s="191"/>
      <c r="D300" s="191"/>
      <c r="E300" s="221"/>
      <c r="F300" s="361">
        <v>-311500000</v>
      </c>
      <c r="G300" s="361">
        <v>-255100000</v>
      </c>
      <c r="H300" s="263">
        <f>-H299*H233</f>
        <v>-238324548.97058824</v>
      </c>
      <c r="I300" s="263">
        <f>-I299*I233</f>
        <v>-227340862.41851473</v>
      </c>
      <c r="J300" s="263">
        <f>-J299*J233</f>
        <v>-223825702.3251195</v>
      </c>
      <c r="K300" s="263">
        <f>-K299*K233</f>
        <v>-224159442.43483642</v>
      </c>
      <c r="L300" s="263">
        <f>-L299*L233</f>
        <v>-228575383.45080268</v>
      </c>
    </row>
    <row r="301" spans="1:14" ht="15.6" x14ac:dyDescent="0.35">
      <c r="A301" s="44"/>
      <c r="B301" s="234"/>
      <c r="C301" s="234"/>
      <c r="D301" s="234"/>
      <c r="E301" s="234"/>
      <c r="F301" s="363"/>
      <c r="G301" s="363"/>
      <c r="H301" s="270"/>
      <c r="I301" s="270"/>
      <c r="J301" s="270"/>
      <c r="K301" s="270"/>
      <c r="L301" s="270"/>
    </row>
    <row r="302" spans="1:14" ht="15.6" x14ac:dyDescent="0.35">
      <c r="A302" s="44"/>
      <c r="B302" s="217" t="s">
        <v>372</v>
      </c>
      <c r="C302" s="243"/>
      <c r="D302" s="243"/>
      <c r="E302" s="244"/>
      <c r="F302" s="238">
        <f>ABS(F303/F10)</f>
        <v>6.555853809622135E-2</v>
      </c>
      <c r="G302" s="238">
        <f>ABS(G303/G10)</f>
        <v>6.7721365727661631E-2</v>
      </c>
      <c r="H302" s="239">
        <v>6.7721365727661631E-2</v>
      </c>
      <c r="I302" s="239">
        <v>6.7721365727661631E-2</v>
      </c>
      <c r="J302" s="239">
        <v>6.7721365727661631E-2</v>
      </c>
      <c r="K302" s="239">
        <v>6.7721365727661631E-2</v>
      </c>
      <c r="L302" s="239">
        <v>6.7721365727661631E-2</v>
      </c>
      <c r="N302" t="s">
        <v>326</v>
      </c>
    </row>
    <row r="303" spans="1:14" ht="15.6" x14ac:dyDescent="0.35">
      <c r="A303" s="44"/>
      <c r="B303" s="226" t="s">
        <v>281</v>
      </c>
      <c r="C303" s="191"/>
      <c r="D303" s="191"/>
      <c r="E303" s="221"/>
      <c r="F303" s="361">
        <v>-190500000</v>
      </c>
      <c r="G303" s="361">
        <v>-167800000</v>
      </c>
      <c r="H303" s="263">
        <f>-H302*H10</f>
        <v>-157680839.83162987</v>
      </c>
      <c r="I303" s="263">
        <f>-I302*I10</f>
        <v>-152863028.77974284</v>
      </c>
      <c r="J303" s="263">
        <f>-J302*J10</f>
        <v>-152658992.50069743</v>
      </c>
      <c r="K303" s="263">
        <f>-K302*K10</f>
        <v>-154919157.88046476</v>
      </c>
      <c r="L303" s="263">
        <f>-L302*L10</f>
        <v>-159903138.49441382</v>
      </c>
    </row>
    <row r="304" spans="1:14" ht="15.6" x14ac:dyDescent="0.35">
      <c r="A304" s="44"/>
      <c r="B304" s="242"/>
      <c r="C304" s="242"/>
      <c r="D304" s="242"/>
      <c r="E304" s="242"/>
      <c r="F304" s="364"/>
      <c r="G304" s="364"/>
      <c r="H304" s="335"/>
      <c r="I304" s="335"/>
      <c r="J304" s="335"/>
      <c r="K304" s="335"/>
      <c r="L304" s="335"/>
    </row>
    <row r="305" spans="1:12" ht="15.6" x14ac:dyDescent="0.35">
      <c r="A305" s="44"/>
      <c r="B305" s="227" t="s">
        <v>282</v>
      </c>
      <c r="C305" s="228"/>
      <c r="D305" s="228"/>
      <c r="E305" s="222"/>
      <c r="F305" s="360">
        <v>-351500000</v>
      </c>
      <c r="G305" s="360">
        <v>-350900000</v>
      </c>
      <c r="H305" s="365">
        <f>G305*(1+Assumptions!H14)</f>
        <v>-364936000</v>
      </c>
      <c r="I305" s="365">
        <f>H305*(1+Assumptions!I14)</f>
        <v>-377708760</v>
      </c>
      <c r="J305" s="365">
        <f>I305*(1+Assumptions!J14)</f>
        <v>-389040022.80000001</v>
      </c>
      <c r="K305" s="365">
        <f>J305*(1+Assumptions!K14)</f>
        <v>-396820823.25600004</v>
      </c>
      <c r="L305" s="365">
        <f>K305*(1+Assumptions!L14)</f>
        <v>-404757239.72112006</v>
      </c>
    </row>
    <row r="306" spans="1:12" ht="15.6" x14ac:dyDescent="0.35">
      <c r="A306" s="44"/>
      <c r="B306" s="226" t="s">
        <v>284</v>
      </c>
      <c r="C306" s="191"/>
      <c r="D306" s="191"/>
      <c r="E306" s="221"/>
      <c r="F306" s="233">
        <f>-(F305+F303+F300)</f>
        <v>853500000</v>
      </c>
      <c r="G306" s="233">
        <f>-(G305+G303+G300)</f>
        <v>773800000</v>
      </c>
      <c r="H306" s="233">
        <f>-(H305+H303+H300)</f>
        <v>760941388.80221808</v>
      </c>
      <c r="I306" s="233">
        <f t="shared" ref="I306:L306" si="148">-(I305+I303+I300)</f>
        <v>757912651.19825757</v>
      </c>
      <c r="J306" s="233">
        <f t="shared" si="148"/>
        <v>765524717.62581694</v>
      </c>
      <c r="K306" s="233">
        <f t="shared" si="148"/>
        <v>775899423.57130122</v>
      </c>
      <c r="L306" s="233">
        <f t="shared" si="148"/>
        <v>793235761.66633654</v>
      </c>
    </row>
    <row r="307" spans="1:12" ht="15.6" x14ac:dyDescent="0.35">
      <c r="A307" s="44"/>
      <c r="B307" s="227" t="s">
        <v>285</v>
      </c>
      <c r="C307" s="228"/>
      <c r="D307" s="228"/>
      <c r="E307" s="222"/>
      <c r="F307" s="360"/>
      <c r="G307" s="360"/>
      <c r="H307" s="365">
        <f>H295</f>
        <v>228883670.67074123</v>
      </c>
      <c r="I307" s="365">
        <f>I295</f>
        <v>241889292.17008927</v>
      </c>
      <c r="J307" s="365">
        <f>J295</f>
        <v>254587191.14559937</v>
      </c>
      <c r="K307" s="365">
        <f>K295</f>
        <v>267411083.04652429</v>
      </c>
      <c r="L307" s="365">
        <f>L295</f>
        <v>280678872.72875094</v>
      </c>
    </row>
    <row r="308" spans="1:12" ht="15.6" x14ac:dyDescent="0.35">
      <c r="A308" s="44"/>
      <c r="B308" s="226" t="s">
        <v>286</v>
      </c>
      <c r="C308" s="191"/>
      <c r="D308" s="191"/>
      <c r="E308" s="221"/>
      <c r="F308" s="233"/>
      <c r="G308" s="233"/>
      <c r="H308" s="233">
        <f>SUM(H306:H307)</f>
        <v>989825059.47295928</v>
      </c>
      <c r="I308" s="233">
        <f t="shared" ref="I308:L308" si="149">SUM(I306:I307)</f>
        <v>999801943.36834681</v>
      </c>
      <c r="J308" s="233">
        <f t="shared" si="149"/>
        <v>1020111908.7714163</v>
      </c>
      <c r="K308" s="233">
        <f t="shared" si="149"/>
        <v>1043310506.6178255</v>
      </c>
      <c r="L308" s="233">
        <f t="shared" si="149"/>
        <v>1073914634.3950875</v>
      </c>
    </row>
    <row r="309" spans="1:12" ht="15.6" x14ac:dyDescent="0.35">
      <c r="A309" s="44"/>
      <c r="B309" s="61"/>
      <c r="C309" s="63"/>
      <c r="D309" s="61"/>
      <c r="E309" s="61"/>
      <c r="F309" s="74"/>
      <c r="G309" s="74"/>
      <c r="H309" s="200"/>
      <c r="I309" s="200"/>
      <c r="J309" s="200"/>
      <c r="K309" s="200"/>
      <c r="L309" s="200"/>
    </row>
    <row r="310" spans="1:12" ht="15.6" x14ac:dyDescent="0.35">
      <c r="A310" s="44"/>
      <c r="B310" s="61"/>
      <c r="C310" s="63"/>
      <c r="D310" s="63"/>
      <c r="E310" s="63"/>
      <c r="F310" s="199"/>
      <c r="G310" s="199"/>
      <c r="H310" s="199"/>
      <c r="I310" s="199"/>
      <c r="J310" s="199"/>
      <c r="K310" s="199"/>
      <c r="L310" s="199"/>
    </row>
    <row r="311" spans="1:12" ht="28.8" x14ac:dyDescent="0.65">
      <c r="A311" s="44"/>
      <c r="B311" s="45" t="str">
        <f>Cover!$B$2</f>
        <v>ASOS PLC</v>
      </c>
      <c r="C311" s="45"/>
      <c r="D311" s="46"/>
      <c r="E311" s="47"/>
      <c r="F311" s="47"/>
      <c r="G311" s="47"/>
      <c r="H311" s="47"/>
      <c r="I311" s="47"/>
      <c r="J311" s="47"/>
      <c r="K311" s="47"/>
      <c r="L311" s="47"/>
    </row>
    <row r="312" spans="1:12" ht="21" x14ac:dyDescent="0.5">
      <c r="A312" s="44"/>
      <c r="B312" s="48" t="s">
        <v>175</v>
      </c>
      <c r="C312" s="49"/>
      <c r="D312" s="47"/>
      <c r="E312" s="47"/>
      <c r="F312" s="47"/>
      <c r="G312" s="47"/>
      <c r="H312" s="47"/>
      <c r="I312" s="47"/>
      <c r="J312" s="47"/>
      <c r="K312" s="47"/>
      <c r="L312" s="164" t="str">
        <f>"Currently Running: "&amp;CHOOSE(Assumptions!$B$10,Assumptions!$F$15,Assumptions!$F$16,Assumptions!$F$17)&amp;"Scenario"</f>
        <v>Currently Running: Base Scenario</v>
      </c>
    </row>
    <row r="313" spans="1:12" ht="15.6" x14ac:dyDescent="0.35">
      <c r="A313" s="44"/>
      <c r="B313" s="50"/>
      <c r="C313" s="50"/>
      <c r="D313" s="50"/>
      <c r="E313" s="50"/>
      <c r="F313" s="50"/>
      <c r="G313" s="50"/>
      <c r="H313" s="50"/>
      <c r="I313" s="50"/>
      <c r="J313" s="50"/>
      <c r="K313" s="51"/>
      <c r="L313" s="51"/>
    </row>
    <row r="314" spans="1:12" ht="15.6" x14ac:dyDescent="0.35">
      <c r="A314" s="44"/>
      <c r="B314" s="51"/>
      <c r="C314" s="51"/>
      <c r="D314" s="51"/>
      <c r="E314" s="51"/>
      <c r="F314" s="249" t="s">
        <v>374</v>
      </c>
      <c r="G314" s="250"/>
      <c r="H314" s="250"/>
      <c r="I314" s="250"/>
      <c r="J314" s="250"/>
      <c r="K314" s="250"/>
      <c r="L314" s="251"/>
    </row>
    <row r="315" spans="1:12" ht="15.6" x14ac:dyDescent="0.35">
      <c r="A315" s="44"/>
      <c r="B315" s="51"/>
      <c r="C315" s="51"/>
      <c r="D315" s="51"/>
      <c r="E315" s="51"/>
      <c r="F315" s="53">
        <f>$F$107</f>
        <v>2024</v>
      </c>
      <c r="G315" s="53">
        <f>F315+1</f>
        <v>2025</v>
      </c>
      <c r="H315" s="54">
        <f>G315+1</f>
        <v>2026</v>
      </c>
      <c r="I315" s="54">
        <f t="shared" ref="I315" si="150">H315+1</f>
        <v>2027</v>
      </c>
      <c r="J315" s="54">
        <f t="shared" ref="J315" si="151">I315+1</f>
        <v>2028</v>
      </c>
      <c r="K315" s="54">
        <f t="shared" ref="K315" si="152">J315+1</f>
        <v>2029</v>
      </c>
      <c r="L315" s="54">
        <f t="shared" ref="L315" si="153">K315+1</f>
        <v>2030</v>
      </c>
    </row>
    <row r="316" spans="1:12" ht="16.2" thickBot="1" x14ac:dyDescent="0.4">
      <c r="A316" s="44"/>
      <c r="B316" s="55" t="s">
        <v>191</v>
      </c>
      <c r="C316" s="55"/>
      <c r="D316" s="55"/>
      <c r="E316" s="55"/>
      <c r="F316" s="252" t="s">
        <v>50</v>
      </c>
      <c r="G316" s="253"/>
      <c r="H316" s="57"/>
      <c r="I316" s="57"/>
      <c r="J316" s="57"/>
      <c r="K316" s="57"/>
      <c r="L316" s="254" t="s">
        <v>37</v>
      </c>
    </row>
    <row r="317" spans="1:12" ht="15.6" x14ac:dyDescent="0.35">
      <c r="A317" s="44"/>
      <c r="B317" s="61"/>
      <c r="C317" s="61"/>
      <c r="D317" s="61"/>
      <c r="E317" s="61"/>
      <c r="F317" s="192"/>
      <c r="G317" s="192"/>
      <c r="H317" s="192"/>
      <c r="I317" s="192"/>
      <c r="J317" s="192"/>
      <c r="K317" s="192"/>
      <c r="L317" s="192"/>
    </row>
    <row r="318" spans="1:12" ht="15.6" x14ac:dyDescent="0.35">
      <c r="A318" s="44"/>
      <c r="B318" s="217" t="s">
        <v>84</v>
      </c>
      <c r="C318" s="242"/>
      <c r="D318" s="243"/>
      <c r="E318" s="382"/>
      <c r="F318" s="311">
        <f>F63</f>
        <v>254000000</v>
      </c>
      <c r="G318" s="262">
        <f>G63</f>
        <v>172100000</v>
      </c>
      <c r="H318" s="262">
        <f>H63</f>
        <v>154890000</v>
      </c>
      <c r="I318" s="262">
        <f>I63</f>
        <v>137680000</v>
      </c>
      <c r="J318" s="262">
        <f>J63</f>
        <v>120470000</v>
      </c>
      <c r="K318" s="262">
        <f>K63</f>
        <v>103260000</v>
      </c>
      <c r="L318" s="262">
        <f>L63</f>
        <v>86050000</v>
      </c>
    </row>
    <row r="319" spans="1:12" ht="15.6" x14ac:dyDescent="0.35">
      <c r="A319" s="44"/>
      <c r="B319" s="217" t="s">
        <v>310</v>
      </c>
      <c r="C319" s="242"/>
      <c r="D319" s="243"/>
      <c r="E319" s="382"/>
      <c r="F319" s="107">
        <f>F320/F318</f>
        <v>0.27047244094488188</v>
      </c>
      <c r="G319" s="107">
        <f t="shared" ref="G319" si="154">G320/G318</f>
        <v>0.42242882045322488</v>
      </c>
      <c r="H319" s="126">
        <v>0.35</v>
      </c>
      <c r="I319" s="126">
        <v>0.35</v>
      </c>
      <c r="J319" s="126">
        <v>0.35</v>
      </c>
      <c r="K319" s="126">
        <v>0.35</v>
      </c>
      <c r="L319" s="126">
        <v>0.35</v>
      </c>
    </row>
    <row r="320" spans="1:12" ht="15.6" x14ac:dyDescent="0.35">
      <c r="A320" s="44"/>
      <c r="B320" s="226" t="s">
        <v>309</v>
      </c>
      <c r="C320" s="191"/>
      <c r="D320" s="191"/>
      <c r="E320" s="221"/>
      <c r="F320" s="233">
        <v>68700000</v>
      </c>
      <c r="G320" s="233">
        <v>72700000</v>
      </c>
      <c r="H320" s="233">
        <f>H319*H318</f>
        <v>54211500</v>
      </c>
      <c r="I320" s="233">
        <f t="shared" ref="I320:L320" si="155">I319*I318</f>
        <v>48188000</v>
      </c>
      <c r="J320" s="233">
        <f t="shared" si="155"/>
        <v>42164500</v>
      </c>
      <c r="K320" s="233">
        <f t="shared" si="155"/>
        <v>36141000</v>
      </c>
      <c r="L320" s="233">
        <f t="shared" si="155"/>
        <v>30117499.999999996</v>
      </c>
    </row>
    <row r="321" spans="1:12" ht="15.6" x14ac:dyDescent="0.35">
      <c r="A321" s="44"/>
      <c r="B321" s="127"/>
      <c r="C321" s="127"/>
      <c r="D321" s="127"/>
      <c r="E321" s="127"/>
      <c r="F321" s="199"/>
      <c r="G321" s="199"/>
      <c r="H321" s="200"/>
      <c r="I321" s="200"/>
      <c r="J321" s="200"/>
      <c r="K321" s="200"/>
      <c r="L321" s="200"/>
    </row>
    <row r="322" spans="1:12" ht="15.6" x14ac:dyDescent="0.35">
      <c r="A322" s="44"/>
      <c r="B322" s="226" t="s">
        <v>314</v>
      </c>
      <c r="C322" s="191"/>
      <c r="D322" s="191"/>
      <c r="E322" s="221"/>
      <c r="F322" s="233">
        <v>20500000</v>
      </c>
      <c r="G322" s="233">
        <v>29500000</v>
      </c>
      <c r="H322" s="271">
        <f>G322</f>
        <v>29500000</v>
      </c>
      <c r="I322" s="271">
        <f t="shared" ref="I322:L322" si="156">H322</f>
        <v>29500000</v>
      </c>
      <c r="J322" s="271">
        <f t="shared" si="156"/>
        <v>29500000</v>
      </c>
      <c r="K322" s="271">
        <f t="shared" si="156"/>
        <v>29500000</v>
      </c>
      <c r="L322" s="271">
        <f t="shared" si="156"/>
        <v>29500000</v>
      </c>
    </row>
    <row r="323" spans="1:12" ht="15.6" x14ac:dyDescent="0.35">
      <c r="A323" s="44"/>
      <c r="B323" s="127" t="s">
        <v>315</v>
      </c>
      <c r="C323" s="127"/>
      <c r="D323" s="127"/>
      <c r="E323" s="127"/>
      <c r="F323" s="199"/>
      <c r="G323" s="199"/>
      <c r="H323" s="200"/>
      <c r="I323" s="200"/>
      <c r="J323" s="200"/>
      <c r="K323" s="200"/>
      <c r="L323" s="200"/>
    </row>
    <row r="324" spans="1:12" ht="15.6" x14ac:dyDescent="0.35">
      <c r="A324" s="44"/>
      <c r="B324" s="127"/>
      <c r="C324" s="127"/>
      <c r="D324" s="127"/>
      <c r="E324" s="127"/>
      <c r="F324" s="199"/>
      <c r="G324" s="199"/>
      <c r="H324" s="200"/>
      <c r="I324" s="200"/>
      <c r="J324" s="200"/>
      <c r="K324" s="200"/>
      <c r="L324" s="200"/>
    </row>
    <row r="325" spans="1:12" ht="15.6" x14ac:dyDescent="0.35">
      <c r="A325" s="44"/>
      <c r="B325" s="379" t="s">
        <v>314</v>
      </c>
      <c r="C325" s="380"/>
      <c r="D325" s="380"/>
      <c r="E325" s="381"/>
      <c r="F325" s="247"/>
      <c r="G325" s="247">
        <f>-G322</f>
        <v>-29500000</v>
      </c>
      <c r="H325" s="262">
        <f t="shared" ref="H325:L325" si="157">-H322</f>
        <v>-29500000</v>
      </c>
      <c r="I325" s="262">
        <f t="shared" si="157"/>
        <v>-29500000</v>
      </c>
      <c r="J325" s="262">
        <f t="shared" si="157"/>
        <v>-29500000</v>
      </c>
      <c r="K325" s="262">
        <f t="shared" si="157"/>
        <v>-29500000</v>
      </c>
      <c r="L325" s="262">
        <f t="shared" si="157"/>
        <v>-29500000</v>
      </c>
    </row>
    <row r="326" spans="1:12" ht="15.6" x14ac:dyDescent="0.35">
      <c r="A326" s="44"/>
      <c r="B326" s="379" t="s">
        <v>309</v>
      </c>
      <c r="C326" s="380"/>
      <c r="D326" s="380"/>
      <c r="E326" s="381"/>
      <c r="F326" s="262">
        <f>-F320</f>
        <v>-68700000</v>
      </c>
      <c r="G326" s="262">
        <f>-G320</f>
        <v>-72700000</v>
      </c>
      <c r="H326" s="262">
        <f>-H320</f>
        <v>-54211500</v>
      </c>
      <c r="I326" s="262">
        <f t="shared" ref="I326:L326" si="158">-I320</f>
        <v>-48188000</v>
      </c>
      <c r="J326" s="262">
        <f t="shared" si="158"/>
        <v>-42164500</v>
      </c>
      <c r="K326" s="262">
        <f t="shared" si="158"/>
        <v>-36141000</v>
      </c>
      <c r="L326" s="262">
        <f t="shared" si="158"/>
        <v>-30117499.999999996</v>
      </c>
    </row>
    <row r="327" spans="1:12" ht="15.6" x14ac:dyDescent="0.35">
      <c r="A327" s="44"/>
      <c r="B327" s="226" t="s">
        <v>308</v>
      </c>
      <c r="C327" s="191"/>
      <c r="D327" s="191"/>
      <c r="E327" s="221"/>
      <c r="F327" s="263">
        <f>SUM(F325:F326)</f>
        <v>-68700000</v>
      </c>
      <c r="G327" s="263">
        <f>SUM(G325:G326)</f>
        <v>-102200000</v>
      </c>
      <c r="H327" s="263">
        <f>SUM(H325:H326)</f>
        <v>-83711500</v>
      </c>
      <c r="I327" s="263">
        <f t="shared" ref="I327" si="159">SUM(I325:I326)</f>
        <v>-77688000</v>
      </c>
      <c r="J327" s="263">
        <f t="shared" ref="J327" si="160">SUM(J325:J326)</f>
        <v>-71664500</v>
      </c>
      <c r="K327" s="263">
        <f t="shared" ref="K327" si="161">SUM(K325:K326)</f>
        <v>-65641000</v>
      </c>
      <c r="L327" s="263">
        <f t="shared" ref="L327" si="162">SUM(L325:L326)</f>
        <v>-59617500</v>
      </c>
    </row>
    <row r="328" spans="1:12" ht="15.6" x14ac:dyDescent="0.35">
      <c r="A328" s="44"/>
      <c r="B328" s="191" t="s">
        <v>318</v>
      </c>
      <c r="C328" s="191"/>
      <c r="D328" s="191"/>
      <c r="E328" s="191"/>
      <c r="F328" s="386"/>
      <c r="G328" s="386"/>
      <c r="H328" s="386">
        <f>H327-G327</f>
        <v>18488500</v>
      </c>
      <c r="I328" s="386">
        <f t="shared" ref="I328:L328" si="163">I327-H327</f>
        <v>6023500</v>
      </c>
      <c r="J328" s="386">
        <f t="shared" si="163"/>
        <v>6023500</v>
      </c>
      <c r="K328" s="386">
        <f t="shared" si="163"/>
        <v>6023500</v>
      </c>
      <c r="L328" s="386">
        <f t="shared" si="163"/>
        <v>6023500</v>
      </c>
    </row>
    <row r="329" spans="1:12" ht="15.6" x14ac:dyDescent="0.35">
      <c r="A329" s="44"/>
      <c r="B329" s="391"/>
      <c r="C329" s="243"/>
      <c r="D329" s="243"/>
      <c r="E329" s="243"/>
      <c r="F329" s="401"/>
      <c r="G329" s="401"/>
      <c r="H329" s="401"/>
      <c r="I329" s="402"/>
      <c r="J329" s="401"/>
      <c r="K329" s="401"/>
      <c r="L329" s="401"/>
    </row>
    <row r="330" spans="1:12" ht="15.6" x14ac:dyDescent="0.35">
      <c r="A330" s="44"/>
      <c r="B330" s="227" t="s">
        <v>312</v>
      </c>
      <c r="C330" s="236"/>
      <c r="D330" s="236"/>
      <c r="E330" s="237"/>
      <c r="F330" s="280"/>
      <c r="G330" s="384">
        <f>G76/G327</f>
        <v>4.3052837573385516E-2</v>
      </c>
      <c r="H330" s="385">
        <f>G330</f>
        <v>4.3052837573385516E-2</v>
      </c>
      <c r="I330" s="385">
        <f t="shared" ref="I330:L330" si="164">H330</f>
        <v>4.3052837573385516E-2</v>
      </c>
      <c r="J330" s="385">
        <f t="shared" si="164"/>
        <v>4.3052837573385516E-2</v>
      </c>
      <c r="K330" s="385">
        <f t="shared" si="164"/>
        <v>4.3052837573385516E-2</v>
      </c>
      <c r="L330" s="385">
        <f t="shared" si="164"/>
        <v>4.3052837573385516E-2</v>
      </c>
    </row>
    <row r="331" spans="1:12" ht="15.6" x14ac:dyDescent="0.35">
      <c r="A331" s="44"/>
      <c r="B331" s="217" t="s">
        <v>313</v>
      </c>
      <c r="C331" s="243"/>
      <c r="D331" s="243"/>
      <c r="E331" s="244"/>
      <c r="F331" s="245"/>
      <c r="G331" s="307">
        <f>1-G330</f>
        <v>0.95694716242661448</v>
      </c>
      <c r="H331" s="383">
        <f t="shared" ref="H331:L331" si="165">G331</f>
        <v>0.95694716242661448</v>
      </c>
      <c r="I331" s="383">
        <f t="shared" si="165"/>
        <v>0.95694716242661448</v>
      </c>
      <c r="J331" s="383">
        <f t="shared" si="165"/>
        <v>0.95694716242661448</v>
      </c>
      <c r="K331" s="383">
        <f t="shared" si="165"/>
        <v>0.95694716242661448</v>
      </c>
      <c r="L331" s="383">
        <f t="shared" si="165"/>
        <v>0.95694716242661448</v>
      </c>
    </row>
    <row r="332" spans="1:12" ht="15.6" x14ac:dyDescent="0.35">
      <c r="A332" s="44"/>
      <c r="B332" s="226" t="s">
        <v>316</v>
      </c>
      <c r="C332" s="191"/>
      <c r="D332" s="191"/>
      <c r="E332" s="221"/>
      <c r="F332" s="263"/>
      <c r="G332" s="263"/>
      <c r="H332" s="263">
        <f>H330*H327</f>
        <v>-3604017.6125244615</v>
      </c>
      <c r="I332" s="263">
        <f>I330*I327</f>
        <v>-3344688.8454011739</v>
      </c>
      <c r="J332" s="263">
        <f>J330*J327</f>
        <v>-3085360.0782778864</v>
      </c>
      <c r="K332" s="263">
        <f>K330*K327</f>
        <v>-2826031.3111545988</v>
      </c>
      <c r="L332" s="263">
        <f>L330*L327</f>
        <v>-2566702.5440313108</v>
      </c>
    </row>
    <row r="333" spans="1:12" ht="15.6" x14ac:dyDescent="0.35">
      <c r="A333" s="44"/>
      <c r="B333" s="226" t="s">
        <v>317</v>
      </c>
      <c r="C333" s="191"/>
      <c r="D333" s="191"/>
      <c r="E333" s="221"/>
      <c r="F333" s="263"/>
      <c r="G333" s="263"/>
      <c r="H333" s="263">
        <f>H331*H327</f>
        <v>-80107482.387475535</v>
      </c>
      <c r="I333" s="263">
        <f>I331*I327</f>
        <v>-74343311.154598832</v>
      </c>
      <c r="J333" s="263">
        <f>J331*J327</f>
        <v>-68579139.921722114</v>
      </c>
      <c r="K333" s="263">
        <f>K331*K327</f>
        <v>-62814968.688845403</v>
      </c>
      <c r="L333" s="263">
        <f>L331*L327</f>
        <v>-57050797.455968685</v>
      </c>
    </row>
    <row r="334" spans="1:12" ht="15.6" x14ac:dyDescent="0.35">
      <c r="A334" s="44"/>
      <c r="B334" s="61"/>
      <c r="C334" s="61"/>
      <c r="D334" s="61"/>
      <c r="E334" s="61"/>
      <c r="F334" s="74"/>
      <c r="G334" s="74"/>
      <c r="H334" s="112"/>
      <c r="I334" s="112"/>
      <c r="J334" s="112"/>
      <c r="K334" s="112"/>
      <c r="L334" s="112"/>
    </row>
    <row r="335" spans="1:12" ht="15.6" x14ac:dyDescent="0.35">
      <c r="A335" s="44"/>
      <c r="B335" s="63"/>
      <c r="C335" s="63"/>
      <c r="D335" s="63"/>
      <c r="E335" s="63"/>
      <c r="F335" s="116"/>
      <c r="G335" s="113"/>
      <c r="H335" s="113"/>
      <c r="I335" s="113"/>
      <c r="J335" s="113"/>
      <c r="K335" s="113"/>
      <c r="L335" s="113"/>
    </row>
    <row r="336" spans="1:12" ht="28.8" x14ac:dyDescent="0.65">
      <c r="A336" s="44"/>
      <c r="B336" s="45" t="str">
        <f>Cover!$B$2</f>
        <v>ASOS PLC</v>
      </c>
      <c r="C336" s="45"/>
      <c r="D336" s="46"/>
      <c r="E336" s="47"/>
      <c r="F336" s="47"/>
      <c r="G336" s="47"/>
      <c r="H336" s="47"/>
      <c r="I336" s="47"/>
      <c r="J336" s="47"/>
      <c r="K336" s="47"/>
      <c r="L336" s="47"/>
    </row>
    <row r="337" spans="1:12" ht="21" x14ac:dyDescent="0.5">
      <c r="A337" s="44"/>
      <c r="B337" s="48" t="s">
        <v>16</v>
      </c>
      <c r="C337" s="49"/>
      <c r="D337" s="47"/>
      <c r="E337" s="47"/>
      <c r="F337" s="47"/>
      <c r="G337" s="47"/>
      <c r="H337" s="47"/>
      <c r="I337" s="47"/>
      <c r="J337" s="47"/>
      <c r="K337" s="47"/>
      <c r="L337" s="164" t="str">
        <f>"Currently Running: "&amp;CHOOSE(Assumptions!$B$10,Assumptions!$F$15,Assumptions!$F$16,Assumptions!$F$17)&amp;"Scenario"</f>
        <v>Currently Running: Base Scenario</v>
      </c>
    </row>
    <row r="338" spans="1:12" ht="15.6" x14ac:dyDescent="0.35">
      <c r="A338" s="44"/>
      <c r="B338" s="50"/>
      <c r="C338" s="50"/>
      <c r="D338" s="50"/>
      <c r="E338" s="50"/>
      <c r="F338" s="50"/>
      <c r="G338" s="50"/>
      <c r="H338" s="50"/>
      <c r="I338" s="50"/>
      <c r="J338" s="50"/>
      <c r="K338" s="51"/>
      <c r="L338" s="51"/>
    </row>
    <row r="339" spans="1:12" ht="15.6" x14ac:dyDescent="0.35">
      <c r="A339" s="44"/>
      <c r="B339" s="51"/>
      <c r="C339" s="51"/>
      <c r="D339" s="51"/>
      <c r="E339" s="51"/>
      <c r="F339" s="249" t="s">
        <v>374</v>
      </c>
      <c r="G339" s="52"/>
      <c r="H339" s="52"/>
      <c r="I339" s="52"/>
      <c r="J339" s="52"/>
      <c r="K339" s="52"/>
      <c r="L339" s="52"/>
    </row>
    <row r="340" spans="1:12" ht="15.6" x14ac:dyDescent="0.35">
      <c r="A340" s="44"/>
      <c r="B340" s="51"/>
      <c r="C340" s="51"/>
      <c r="D340" s="51"/>
      <c r="E340" s="51"/>
      <c r="F340" s="53">
        <f>$F$7</f>
        <v>2024</v>
      </c>
      <c r="G340" s="53">
        <f>F340+1</f>
        <v>2025</v>
      </c>
      <c r="H340" s="54">
        <f>G340+1</f>
        <v>2026</v>
      </c>
      <c r="I340" s="54">
        <f t="shared" ref="I340" si="166">H340+1</f>
        <v>2027</v>
      </c>
      <c r="J340" s="54">
        <f t="shared" ref="J340" si="167">I340+1</f>
        <v>2028</v>
      </c>
      <c r="K340" s="54">
        <f t="shared" ref="K340" si="168">J340+1</f>
        <v>2029</v>
      </c>
      <c r="L340" s="54">
        <f t="shared" ref="L340" si="169">K340+1</f>
        <v>2030</v>
      </c>
    </row>
    <row r="341" spans="1:12" ht="16.2" thickBot="1" x14ac:dyDescent="0.4">
      <c r="A341" s="44"/>
      <c r="B341" s="55" t="s">
        <v>191</v>
      </c>
      <c r="C341" s="55"/>
      <c r="D341" s="55"/>
      <c r="E341" s="55"/>
      <c r="F341" s="56" t="s">
        <v>50</v>
      </c>
      <c r="G341" s="56"/>
      <c r="H341" s="57"/>
      <c r="I341" s="57"/>
      <c r="J341" s="57"/>
      <c r="K341" s="57"/>
      <c r="L341" s="57" t="s">
        <v>37</v>
      </c>
    </row>
    <row r="342" spans="1:12" ht="15.6" x14ac:dyDescent="0.35">
      <c r="A342" s="44"/>
      <c r="B342" s="61"/>
      <c r="C342" s="61"/>
      <c r="D342" s="63"/>
      <c r="E342" s="63"/>
      <c r="F342" s="116"/>
      <c r="G342" s="113"/>
      <c r="H342" s="109"/>
      <c r="I342" s="109"/>
      <c r="J342" s="109"/>
      <c r="K342" s="109"/>
      <c r="L342" s="109"/>
    </row>
    <row r="343" spans="1:12" ht="15.6" x14ac:dyDescent="0.35">
      <c r="A343" s="44"/>
      <c r="B343" s="217" t="s">
        <v>101</v>
      </c>
      <c r="C343" s="256"/>
      <c r="D343" s="320">
        <v>365</v>
      </c>
      <c r="E343" s="63"/>
      <c r="F343" s="117"/>
      <c r="G343" s="321"/>
      <c r="H343" s="114"/>
      <c r="I343" s="114"/>
      <c r="J343" s="114"/>
      <c r="K343" s="114"/>
      <c r="L343" s="114"/>
    </row>
    <row r="344" spans="1:12" ht="15.6" x14ac:dyDescent="0.35">
      <c r="A344" s="44"/>
      <c r="B344" s="63"/>
      <c r="C344" s="63"/>
      <c r="D344" s="63"/>
      <c r="E344" s="63"/>
      <c r="F344" s="117"/>
      <c r="G344" s="110"/>
      <c r="H344" s="114"/>
      <c r="I344" s="114"/>
      <c r="J344" s="114"/>
      <c r="K344" s="114"/>
      <c r="L344" s="114"/>
    </row>
    <row r="345" spans="1:12" ht="15.6" x14ac:dyDescent="0.35">
      <c r="A345" s="44"/>
      <c r="B345" s="202" t="s">
        <v>102</v>
      </c>
      <c r="C345" s="203"/>
      <c r="D345" s="204"/>
      <c r="E345" s="204"/>
      <c r="F345" s="205"/>
      <c r="G345" s="205"/>
      <c r="H345" s="205"/>
      <c r="I345" s="205"/>
      <c r="J345" s="205"/>
      <c r="K345" s="205"/>
      <c r="L345" s="206"/>
    </row>
    <row r="346" spans="1:12" ht="15.6" x14ac:dyDescent="0.35">
      <c r="A346" s="44"/>
      <c r="B346" s="61"/>
      <c r="C346" s="61"/>
      <c r="D346" s="61"/>
      <c r="E346" s="61"/>
      <c r="F346" s="75"/>
      <c r="G346" s="107"/>
      <c r="H346" s="118"/>
      <c r="I346" s="118"/>
      <c r="J346" s="118"/>
      <c r="K346" s="118"/>
      <c r="L346" s="118"/>
    </row>
    <row r="347" spans="1:12" ht="15.6" x14ac:dyDescent="0.35">
      <c r="A347" s="44"/>
      <c r="B347" s="264" t="s">
        <v>51</v>
      </c>
      <c r="C347" s="224"/>
      <c r="D347" s="224"/>
      <c r="E347" s="219"/>
      <c r="F347" s="262">
        <f>F53</f>
        <v>53400000</v>
      </c>
      <c r="G347" s="262">
        <f>G53</f>
        <v>49200000</v>
      </c>
      <c r="H347" s="262">
        <f>H364*H361</f>
        <v>46567530.981503278</v>
      </c>
      <c r="I347" s="262">
        <f t="shared" ref="I347:L347" si="170">I364*I361</f>
        <v>45144697.581698075</v>
      </c>
      <c r="J347" s="262">
        <f t="shared" si="170"/>
        <v>45084440.002172604</v>
      </c>
      <c r="K347" s="262">
        <f t="shared" si="170"/>
        <v>45751929.606223553</v>
      </c>
      <c r="L347" s="262">
        <f t="shared" si="170"/>
        <v>47223837.49242653</v>
      </c>
    </row>
    <row r="348" spans="1:12" ht="15.6" x14ac:dyDescent="0.35">
      <c r="A348" s="44"/>
      <c r="B348" s="322" t="s">
        <v>17</v>
      </c>
      <c r="C348" s="243"/>
      <c r="D348" s="243"/>
      <c r="E348" s="244"/>
      <c r="F348" s="262">
        <f>F51</f>
        <v>520300000</v>
      </c>
      <c r="G348" s="262">
        <f>G51</f>
        <v>402300000</v>
      </c>
      <c r="H348" s="262">
        <f>H258</f>
        <v>383866085.01838231</v>
      </c>
      <c r="I348" s="262">
        <f>I258</f>
        <v>366858002.1920957</v>
      </c>
      <c r="J348" s="262">
        <f>J258</f>
        <v>352921797.25974292</v>
      </c>
      <c r="K348" s="262">
        <f>K258</f>
        <v>342462708.44027025</v>
      </c>
      <c r="L348" s="262">
        <f>L258</f>
        <v>335899195.5036664</v>
      </c>
    </row>
    <row r="349" spans="1:12" ht="15.6" x14ac:dyDescent="0.35">
      <c r="A349" s="44"/>
      <c r="B349" s="226" t="s">
        <v>257</v>
      </c>
      <c r="C349" s="191"/>
      <c r="D349" s="191"/>
      <c r="E349" s="221"/>
      <c r="F349" s="263">
        <f>SUM(F347:F348)</f>
        <v>573700000</v>
      </c>
      <c r="G349" s="263">
        <f t="shared" ref="G349:L349" si="171">SUM(G347:G348)</f>
        <v>451500000</v>
      </c>
      <c r="H349" s="263">
        <f t="shared" si="171"/>
        <v>430433615.99988556</v>
      </c>
      <c r="I349" s="263">
        <f t="shared" si="171"/>
        <v>412002699.77379376</v>
      </c>
      <c r="J349" s="263">
        <f t="shared" si="171"/>
        <v>398006237.2619155</v>
      </c>
      <c r="K349" s="263">
        <f t="shared" si="171"/>
        <v>388214638.04649377</v>
      </c>
      <c r="L349" s="263">
        <f t="shared" si="171"/>
        <v>383123032.99609292</v>
      </c>
    </row>
    <row r="350" spans="1:12" ht="15.6" x14ac:dyDescent="0.35">
      <c r="A350" s="44"/>
      <c r="B350" s="61"/>
      <c r="C350" s="61"/>
      <c r="D350" s="61"/>
      <c r="E350" s="63"/>
      <c r="F350" s="192"/>
      <c r="G350" s="192"/>
      <c r="H350" s="192"/>
      <c r="I350" s="192"/>
      <c r="J350" s="192"/>
      <c r="K350" s="192"/>
      <c r="L350" s="192"/>
    </row>
    <row r="351" spans="1:12" ht="15.6" x14ac:dyDescent="0.35">
      <c r="A351" s="44"/>
      <c r="B351" s="264" t="s">
        <v>8</v>
      </c>
      <c r="C351" s="224"/>
      <c r="D351" s="224"/>
      <c r="E351" s="219"/>
      <c r="F351" s="262">
        <f>-F73</f>
        <v>671700000</v>
      </c>
      <c r="G351" s="262">
        <f>-G73</f>
        <v>619300000</v>
      </c>
      <c r="H351" s="262">
        <f>H366*ABS(H362)</f>
        <v>620260850.18382359</v>
      </c>
      <c r="I351" s="262">
        <f t="shared" ref="I351:L351" si="172">I366*ABS(I362)</f>
        <v>597651341.77389705</v>
      </c>
      <c r="J351" s="262">
        <f t="shared" si="172"/>
        <v>594353955.06066191</v>
      </c>
      <c r="K351" s="262">
        <f t="shared" si="172"/>
        <v>601252706.32475889</v>
      </c>
      <c r="L351" s="262">
        <f t="shared" si="172"/>
        <v>619290287.51450157</v>
      </c>
    </row>
    <row r="352" spans="1:12" ht="15.6" x14ac:dyDescent="0.35">
      <c r="A352" s="44"/>
      <c r="B352" s="226" t="s">
        <v>103</v>
      </c>
      <c r="C352" s="191"/>
      <c r="D352" s="191"/>
      <c r="E352" s="221"/>
      <c r="F352" s="263">
        <f t="shared" ref="F352:L352" si="173">SUM(F351:F351)</f>
        <v>671700000</v>
      </c>
      <c r="G352" s="263">
        <f t="shared" si="173"/>
        <v>619300000</v>
      </c>
      <c r="H352" s="263">
        <f t="shared" si="173"/>
        <v>620260850.18382359</v>
      </c>
      <c r="I352" s="263">
        <f t="shared" si="173"/>
        <v>597651341.77389705</v>
      </c>
      <c r="J352" s="263">
        <f t="shared" si="173"/>
        <v>594353955.06066191</v>
      </c>
      <c r="K352" s="263">
        <f t="shared" si="173"/>
        <v>601252706.32475889</v>
      </c>
      <c r="L352" s="263">
        <f t="shared" si="173"/>
        <v>619290287.51450157</v>
      </c>
    </row>
    <row r="353" spans="1:12" ht="15.6" x14ac:dyDescent="0.35">
      <c r="A353" s="44"/>
      <c r="B353" s="63"/>
      <c r="C353" s="63"/>
      <c r="D353" s="63"/>
      <c r="E353" s="63"/>
      <c r="F353" s="259"/>
      <c r="G353" s="259"/>
      <c r="H353" s="259"/>
      <c r="I353" s="259"/>
      <c r="J353" s="259"/>
      <c r="K353" s="259"/>
      <c r="L353" s="259"/>
    </row>
    <row r="354" spans="1:12" ht="15.6" x14ac:dyDescent="0.35">
      <c r="A354" s="44"/>
      <c r="B354" s="226" t="s">
        <v>102</v>
      </c>
      <c r="C354" s="191"/>
      <c r="D354" s="191"/>
      <c r="E354" s="221"/>
      <c r="F354" s="263">
        <f t="shared" ref="F354:L354" si="174">F349-F352</f>
        <v>-98000000</v>
      </c>
      <c r="G354" s="263">
        <f t="shared" si="174"/>
        <v>-167800000</v>
      </c>
      <c r="H354" s="263">
        <f t="shared" si="174"/>
        <v>-189827234.18393803</v>
      </c>
      <c r="I354" s="263">
        <f t="shared" si="174"/>
        <v>-185648642.00010329</v>
      </c>
      <c r="J354" s="263">
        <f t="shared" si="174"/>
        <v>-196347717.79874641</v>
      </c>
      <c r="K354" s="263">
        <f t="shared" si="174"/>
        <v>-213038068.27826512</v>
      </c>
      <c r="L354" s="263">
        <f t="shared" si="174"/>
        <v>-236167254.51840866</v>
      </c>
    </row>
    <row r="355" spans="1:12" ht="15.6" x14ac:dyDescent="0.35">
      <c r="A355" s="44"/>
      <c r="B355" s="226" t="s">
        <v>18</v>
      </c>
      <c r="C355" s="191"/>
      <c r="D355" s="191"/>
      <c r="E355" s="221"/>
      <c r="F355" s="263"/>
      <c r="G355" s="263"/>
      <c r="H355" s="263">
        <f>H354-G354</f>
        <v>-22027234.183938026</v>
      </c>
      <c r="I355" s="263">
        <f t="shared" ref="I355:L355" si="175">I354-H354</f>
        <v>4178592.1838347316</v>
      </c>
      <c r="J355" s="263">
        <f t="shared" si="175"/>
        <v>-10699075.798643112</v>
      </c>
      <c r="K355" s="263">
        <f t="shared" si="175"/>
        <v>-16690350.479518712</v>
      </c>
      <c r="L355" s="263">
        <f t="shared" si="175"/>
        <v>-23129186.240143538</v>
      </c>
    </row>
    <row r="356" spans="1:12" ht="15.6" x14ac:dyDescent="0.35">
      <c r="A356" s="44"/>
      <c r="B356" s="61"/>
      <c r="C356" s="63"/>
      <c r="D356" s="63"/>
      <c r="E356" s="63"/>
      <c r="F356" s="75"/>
      <c r="G356" s="75"/>
      <c r="H356" s="75"/>
      <c r="I356" s="75"/>
      <c r="J356" s="75"/>
      <c r="K356" s="75"/>
      <c r="L356" s="75"/>
    </row>
    <row r="357" spans="1:12" ht="15.6" x14ac:dyDescent="0.35">
      <c r="A357" s="44"/>
      <c r="B357" s="61" t="s">
        <v>259</v>
      </c>
      <c r="C357" s="63"/>
      <c r="D357" s="63"/>
      <c r="E357" s="63"/>
      <c r="F357" s="75"/>
      <c r="G357" s="75"/>
      <c r="H357" s="75"/>
      <c r="I357" s="75"/>
      <c r="J357" s="75"/>
      <c r="K357" s="75"/>
      <c r="L357" s="75"/>
    </row>
    <row r="358" spans="1:12" ht="15.6" x14ac:dyDescent="0.35">
      <c r="A358" s="44"/>
      <c r="B358" s="61"/>
      <c r="C358" s="61"/>
      <c r="D358" s="61"/>
      <c r="E358" s="61"/>
      <c r="F358" s="91"/>
      <c r="G358" s="92"/>
      <c r="H358" s="87"/>
      <c r="I358" s="87"/>
      <c r="J358" s="87"/>
      <c r="K358" s="87"/>
      <c r="L358" s="87"/>
    </row>
    <row r="359" spans="1:12" ht="15.6" x14ac:dyDescent="0.35">
      <c r="A359" s="44"/>
      <c r="B359" s="202" t="s">
        <v>104</v>
      </c>
      <c r="C359" s="203"/>
      <c r="D359" s="204"/>
      <c r="E359" s="204"/>
      <c r="F359" s="205"/>
      <c r="G359" s="205"/>
      <c r="H359" s="205"/>
      <c r="I359" s="205"/>
      <c r="J359" s="205"/>
      <c r="K359" s="205"/>
      <c r="L359" s="206"/>
    </row>
    <row r="360" spans="1:12" ht="15.6" x14ac:dyDescent="0.35">
      <c r="A360" s="44"/>
      <c r="B360" s="61"/>
      <c r="C360" s="61"/>
      <c r="D360" s="61"/>
      <c r="E360" s="61"/>
      <c r="F360" s="91"/>
      <c r="G360" s="92"/>
      <c r="H360" s="87"/>
      <c r="I360" s="87"/>
      <c r="J360" s="87"/>
      <c r="K360" s="87"/>
      <c r="L360" s="87"/>
    </row>
    <row r="361" spans="1:12" ht="15.6" x14ac:dyDescent="0.35">
      <c r="A361" s="44"/>
      <c r="B361" s="264" t="s">
        <v>5</v>
      </c>
      <c r="C361" s="224"/>
      <c r="D361" s="224"/>
      <c r="E361" s="219"/>
      <c r="F361" s="262">
        <f>F10</f>
        <v>2905800000</v>
      </c>
      <c r="G361" s="262">
        <f>G10</f>
        <v>2477800000</v>
      </c>
      <c r="H361" s="262">
        <f>H10</f>
        <v>2328376549.0751638</v>
      </c>
      <c r="I361" s="262">
        <f>I10</f>
        <v>2257234879.0849037</v>
      </c>
      <c r="J361" s="262">
        <f>J10</f>
        <v>2254222000.1086302</v>
      </c>
      <c r="K361" s="262">
        <f>K10</f>
        <v>2287596480.3111777</v>
      </c>
      <c r="L361" s="262">
        <f>L10</f>
        <v>2361191874.6213264</v>
      </c>
    </row>
    <row r="362" spans="1:12" ht="15.6" x14ac:dyDescent="0.35">
      <c r="A362" s="44"/>
      <c r="B362" s="322" t="s">
        <v>105</v>
      </c>
      <c r="C362" s="243"/>
      <c r="D362" s="243"/>
      <c r="E362" s="244"/>
      <c r="F362" s="262">
        <f>F11</f>
        <v>-1743300000</v>
      </c>
      <c r="G362" s="262">
        <f>G11</f>
        <v>-1311100000</v>
      </c>
      <c r="H362" s="262">
        <f>H11</f>
        <v>-1240521700.3676472</v>
      </c>
      <c r="I362" s="262">
        <f>I11</f>
        <v>-1195302683.5477941</v>
      </c>
      <c r="J362" s="262">
        <f>J11</f>
        <v>-1188707910.1213238</v>
      </c>
      <c r="K362" s="262">
        <f>K11</f>
        <v>-1202505412.6495178</v>
      </c>
      <c r="L362" s="262">
        <f>L11</f>
        <v>-1238580575.0290031</v>
      </c>
    </row>
    <row r="363" spans="1:12" ht="15.6" x14ac:dyDescent="0.35">
      <c r="A363" s="44"/>
      <c r="B363" s="61"/>
      <c r="C363" s="61"/>
      <c r="D363" s="61"/>
      <c r="E363" s="61"/>
      <c r="F363" s="91"/>
      <c r="G363" s="92"/>
      <c r="H363" s="87"/>
      <c r="I363" s="87"/>
      <c r="J363" s="87"/>
      <c r="K363" s="87"/>
      <c r="L363" s="87"/>
    </row>
    <row r="364" spans="1:12" ht="15.6" x14ac:dyDescent="0.35">
      <c r="A364" s="44"/>
      <c r="B364" s="217" t="s">
        <v>106</v>
      </c>
      <c r="C364" s="243"/>
      <c r="D364" s="243"/>
      <c r="E364" s="244"/>
      <c r="F364" s="328">
        <f>F347/F361</f>
        <v>1.8377039025397481E-2</v>
      </c>
      <c r="G364" s="328">
        <f t="shared" ref="G364" si="176">G347/G361</f>
        <v>1.9856324158527727E-2</v>
      </c>
      <c r="H364" s="329">
        <v>0.02</v>
      </c>
      <c r="I364" s="329">
        <v>0.02</v>
      </c>
      <c r="J364" s="329">
        <v>0.02</v>
      </c>
      <c r="K364" s="329">
        <v>0.02</v>
      </c>
      <c r="L364" s="329">
        <v>0.02</v>
      </c>
    </row>
    <row r="365" spans="1:12" ht="15.6" x14ac:dyDescent="0.35">
      <c r="A365" s="44"/>
      <c r="B365" s="217" t="s">
        <v>107</v>
      </c>
      <c r="C365" s="243"/>
      <c r="D365" s="243"/>
      <c r="E365" s="244"/>
      <c r="F365" s="328">
        <f>F348/ABS(F362)</f>
        <v>0.29845694946366086</v>
      </c>
      <c r="G365" s="328">
        <f>G348/ABS(G362)</f>
        <v>0.30684158340324919</v>
      </c>
      <c r="H365" s="330">
        <f>H348/ABS(H362)</f>
        <v>0.30943923423880282</v>
      </c>
      <c r="I365" s="330">
        <f t="shared" ref="I365:L365" si="177">I348/ABS(I362)</f>
        <v>0.30691640472455017</v>
      </c>
      <c r="J365" s="330">
        <f t="shared" si="177"/>
        <v>0.2968953047714829</v>
      </c>
      <c r="K365" s="330">
        <f t="shared" si="177"/>
        <v>0.28479099124029011</v>
      </c>
      <c r="L365" s="330">
        <f t="shared" si="177"/>
        <v>0.27119688640022538</v>
      </c>
    </row>
    <row r="366" spans="1:12" ht="15.6" x14ac:dyDescent="0.35">
      <c r="A366" s="44"/>
      <c r="B366" s="217" t="s">
        <v>108</v>
      </c>
      <c r="C366" s="326"/>
      <c r="D366" s="326"/>
      <c r="E366" s="327"/>
      <c r="F366" s="308">
        <f>F351/ABS(F362)</f>
        <v>0.38530373429702292</v>
      </c>
      <c r="G366" s="308">
        <f>G351/ABS(G362)</f>
        <v>0.47235146060559835</v>
      </c>
      <c r="H366" s="239">
        <v>0.5</v>
      </c>
      <c r="I366" s="239">
        <v>0.5</v>
      </c>
      <c r="J366" s="239">
        <v>0.5</v>
      </c>
      <c r="K366" s="239">
        <v>0.5</v>
      </c>
      <c r="L366" s="239">
        <v>0.5</v>
      </c>
    </row>
    <row r="367" spans="1:12" ht="15.6" x14ac:dyDescent="0.35">
      <c r="A367" s="44"/>
      <c r="B367" s="61"/>
      <c r="C367" s="44"/>
      <c r="D367" s="44"/>
      <c r="E367" s="44"/>
      <c r="F367" s="323"/>
      <c r="G367" s="323"/>
      <c r="H367" s="150"/>
      <c r="I367" s="150"/>
      <c r="J367" s="150"/>
      <c r="K367" s="150"/>
      <c r="L367" s="150"/>
    </row>
    <row r="368" spans="1:12" ht="15.6" x14ac:dyDescent="0.35">
      <c r="A368" s="44"/>
      <c r="B368" s="202" t="s">
        <v>258</v>
      </c>
      <c r="C368" s="203"/>
      <c r="D368" s="204"/>
      <c r="E368" s="204"/>
      <c r="F368" s="205"/>
      <c r="G368" s="205"/>
      <c r="H368" s="205"/>
      <c r="I368" s="205"/>
      <c r="J368" s="205"/>
      <c r="K368" s="205"/>
      <c r="L368" s="206"/>
    </row>
    <row r="369" spans="1:12" ht="15.6" x14ac:dyDescent="0.35">
      <c r="A369" s="44"/>
      <c r="B369" s="61"/>
      <c r="C369" s="44"/>
      <c r="D369" s="44"/>
      <c r="E369" s="44"/>
      <c r="F369" s="89"/>
      <c r="G369" s="93"/>
      <c r="H369" s="90"/>
      <c r="I369" s="90"/>
      <c r="J369" s="90"/>
      <c r="K369" s="90"/>
      <c r="L369" s="90"/>
    </row>
    <row r="370" spans="1:12" ht="15.6" x14ac:dyDescent="0.35">
      <c r="A370" s="44"/>
      <c r="B370" s="217" t="s">
        <v>109</v>
      </c>
      <c r="C370" s="326"/>
      <c r="D370" s="326"/>
      <c r="E370" s="327"/>
      <c r="F370" s="331">
        <f>F347/F361*$D$343</f>
        <v>6.7076192442700808</v>
      </c>
      <c r="G370" s="331">
        <f t="shared" ref="G370:L370" si="178">G347/G361*$D$343</f>
        <v>7.2475583178626204</v>
      </c>
      <c r="H370" s="331">
        <f t="shared" si="178"/>
        <v>7.3</v>
      </c>
      <c r="I370" s="331">
        <f t="shared" si="178"/>
        <v>7.3</v>
      </c>
      <c r="J370" s="331">
        <f t="shared" si="178"/>
        <v>7.3</v>
      </c>
      <c r="K370" s="331">
        <f t="shared" si="178"/>
        <v>7.3</v>
      </c>
      <c r="L370" s="331">
        <f t="shared" si="178"/>
        <v>7.3</v>
      </c>
    </row>
    <row r="371" spans="1:12" ht="15.6" x14ac:dyDescent="0.35">
      <c r="A371" s="44"/>
      <c r="B371" s="217" t="s">
        <v>110</v>
      </c>
      <c r="C371" s="326"/>
      <c r="D371" s="326"/>
      <c r="E371" s="327"/>
      <c r="F371" s="331">
        <f>F348/ABS(F362)*$D$343</f>
        <v>108.93678655423621</v>
      </c>
      <c r="G371" s="331">
        <f t="shared" ref="G371:L371" si="179">G348/ABS(G362)*$D$343</f>
        <v>111.99717794218596</v>
      </c>
      <c r="H371" s="331">
        <f t="shared" si="179"/>
        <v>112.94532049716302</v>
      </c>
      <c r="I371" s="331">
        <f t="shared" si="179"/>
        <v>112.02448772446081</v>
      </c>
      <c r="J371" s="331">
        <f t="shared" si="179"/>
        <v>108.36678624159126</v>
      </c>
      <c r="K371" s="331">
        <f t="shared" si="179"/>
        <v>103.94871180270589</v>
      </c>
      <c r="L371" s="331">
        <f t="shared" si="179"/>
        <v>98.986863536082268</v>
      </c>
    </row>
    <row r="372" spans="1:12" ht="15.6" x14ac:dyDescent="0.35">
      <c r="A372" s="44"/>
      <c r="B372" s="217" t="s">
        <v>111</v>
      </c>
      <c r="C372" s="326"/>
      <c r="D372" s="326"/>
      <c r="E372" s="327"/>
      <c r="F372" s="331">
        <f>ABS(F351/F362)*$D$343</f>
        <v>140.63586301841337</v>
      </c>
      <c r="G372" s="331">
        <f t="shared" ref="G372:L372" si="180">ABS(G351/G362)*$D$343</f>
        <v>172.40828312104341</v>
      </c>
      <c r="H372" s="331">
        <f t="shared" si="180"/>
        <v>182.5</v>
      </c>
      <c r="I372" s="331">
        <f t="shared" si="180"/>
        <v>182.5</v>
      </c>
      <c r="J372" s="331">
        <f t="shared" si="180"/>
        <v>182.5</v>
      </c>
      <c r="K372" s="331">
        <f t="shared" si="180"/>
        <v>182.5</v>
      </c>
      <c r="L372" s="331">
        <f t="shared" si="180"/>
        <v>182.5</v>
      </c>
    </row>
    <row r="373" spans="1:12" ht="15.6" x14ac:dyDescent="0.35">
      <c r="A373" s="44"/>
      <c r="B373" s="61"/>
      <c r="C373" s="44"/>
      <c r="D373" s="44"/>
      <c r="E373" s="44"/>
      <c r="F373" s="89"/>
      <c r="G373" s="93"/>
      <c r="H373" s="90"/>
      <c r="I373" s="90"/>
      <c r="J373" s="90"/>
      <c r="K373" s="90"/>
      <c r="L373" s="90"/>
    </row>
    <row r="374" spans="1:12" ht="15.6" x14ac:dyDescent="0.35">
      <c r="A374" s="44"/>
      <c r="B374" s="61"/>
      <c r="C374" s="44"/>
      <c r="D374" s="44"/>
      <c r="E374" s="44"/>
      <c r="F374" s="89"/>
      <c r="G374" s="93"/>
      <c r="H374" s="90"/>
      <c r="I374" s="90"/>
      <c r="J374" s="90"/>
      <c r="K374" s="90"/>
      <c r="L374" s="90"/>
    </row>
    <row r="375" spans="1:12" ht="15.6" x14ac:dyDescent="0.35">
      <c r="A375" s="44"/>
      <c r="B375" s="44"/>
      <c r="C375" s="44"/>
      <c r="D375" s="44"/>
      <c r="E375" s="44"/>
      <c r="F375" s="89"/>
      <c r="G375" s="89"/>
      <c r="H375" s="90"/>
      <c r="I375" s="90"/>
      <c r="J375" s="90"/>
      <c r="K375" s="44"/>
      <c r="L375" s="44"/>
    </row>
    <row r="376" spans="1:12" ht="28.8" x14ac:dyDescent="0.65">
      <c r="A376" s="44"/>
      <c r="B376" s="45" t="str">
        <f>Cover!$B$2</f>
        <v>ASOS PLC</v>
      </c>
      <c r="C376" s="45"/>
      <c r="D376" s="46"/>
      <c r="E376" s="47"/>
      <c r="F376" s="47"/>
      <c r="G376" s="47"/>
      <c r="H376" s="47"/>
      <c r="I376" s="47"/>
      <c r="J376" s="47"/>
      <c r="K376" s="47"/>
      <c r="L376" s="47"/>
    </row>
    <row r="377" spans="1:12" ht="21" x14ac:dyDescent="0.5">
      <c r="A377" s="44"/>
      <c r="B377" s="48" t="s">
        <v>72</v>
      </c>
      <c r="C377" s="49"/>
      <c r="D377" s="47"/>
      <c r="E377" s="47"/>
      <c r="F377" s="47"/>
      <c r="G377" s="47"/>
      <c r="H377" s="47"/>
      <c r="I377" s="47"/>
      <c r="J377" s="47"/>
      <c r="K377" s="47"/>
      <c r="L377" s="164" t="str">
        <f>"Currently Running: "&amp;CHOOSE(Assumptions!$B$10,Assumptions!$F$15,Assumptions!$F$16,Assumptions!$F$17)&amp;"Scenario"</f>
        <v>Currently Running: Base Scenario</v>
      </c>
    </row>
    <row r="378" spans="1:12" ht="15.6" x14ac:dyDescent="0.35">
      <c r="A378" s="44"/>
      <c r="B378" s="50"/>
      <c r="C378" s="50"/>
      <c r="D378" s="50"/>
      <c r="E378" s="50"/>
      <c r="F378" s="50"/>
      <c r="G378" s="50"/>
      <c r="H378" s="50"/>
      <c r="I378" s="50"/>
      <c r="J378" s="50"/>
      <c r="K378" s="51"/>
      <c r="L378" s="51"/>
    </row>
    <row r="379" spans="1:12" ht="15.6" x14ac:dyDescent="0.35">
      <c r="A379" s="44"/>
      <c r="B379" s="51"/>
      <c r="C379" s="51"/>
      <c r="D379" s="51"/>
      <c r="E379" s="51"/>
      <c r="F379" s="249" t="s">
        <v>374</v>
      </c>
      <c r="G379" s="52"/>
      <c r="H379" s="52"/>
      <c r="I379" s="52"/>
      <c r="J379" s="52"/>
      <c r="K379" s="52"/>
      <c r="L379" s="52"/>
    </row>
    <row r="380" spans="1:12" ht="15.6" x14ac:dyDescent="0.35">
      <c r="A380" s="44"/>
      <c r="B380" s="51"/>
      <c r="C380" s="51"/>
      <c r="D380" s="51"/>
      <c r="E380" s="51"/>
      <c r="F380" s="53">
        <f>$F$7</f>
        <v>2024</v>
      </c>
      <c r="G380" s="53">
        <f>F380+1</f>
        <v>2025</v>
      </c>
      <c r="H380" s="54">
        <f>G380+1</f>
        <v>2026</v>
      </c>
      <c r="I380" s="54">
        <f t="shared" ref="I380" si="181">H380+1</f>
        <v>2027</v>
      </c>
      <c r="J380" s="54">
        <f t="shared" ref="J380" si="182">I380+1</f>
        <v>2028</v>
      </c>
      <c r="K380" s="54">
        <f t="shared" ref="K380" si="183">J380+1</f>
        <v>2029</v>
      </c>
      <c r="L380" s="54">
        <f t="shared" ref="L380" si="184">K380+1</f>
        <v>2030</v>
      </c>
    </row>
    <row r="381" spans="1:12" ht="16.2" thickBot="1" x14ac:dyDescent="0.4">
      <c r="A381" s="44"/>
      <c r="B381" s="55" t="s">
        <v>191</v>
      </c>
      <c r="C381" s="55"/>
      <c r="D381" s="55"/>
      <c r="E381" s="55"/>
      <c r="F381" s="56" t="s">
        <v>50</v>
      </c>
      <c r="G381" s="56"/>
      <c r="H381" s="57"/>
      <c r="I381" s="57"/>
      <c r="J381" s="57"/>
      <c r="K381" s="57"/>
      <c r="L381" s="57" t="s">
        <v>37</v>
      </c>
    </row>
    <row r="382" spans="1:12" ht="15.6" x14ac:dyDescent="0.35">
      <c r="A382" s="44"/>
      <c r="B382" s="51"/>
      <c r="C382" s="51"/>
      <c r="D382" s="51"/>
      <c r="E382" s="51"/>
      <c r="F382" s="72"/>
      <c r="G382" s="72"/>
      <c r="H382" s="73"/>
      <c r="I382" s="73"/>
      <c r="J382" s="73"/>
      <c r="K382" s="73"/>
      <c r="L382" s="73"/>
    </row>
    <row r="383" spans="1:12" ht="15.6" x14ac:dyDescent="0.35">
      <c r="A383" s="44"/>
      <c r="B383" s="202" t="s">
        <v>250</v>
      </c>
      <c r="C383" s="203"/>
      <c r="D383" s="204"/>
      <c r="E383" s="204"/>
      <c r="F383" s="205"/>
      <c r="G383" s="205"/>
      <c r="H383" s="205"/>
      <c r="I383" s="205"/>
      <c r="J383" s="205"/>
      <c r="K383" s="205"/>
      <c r="L383" s="206"/>
    </row>
    <row r="384" spans="1:12" ht="15.6" x14ac:dyDescent="0.35">
      <c r="A384" s="44"/>
      <c r="B384" s="51"/>
      <c r="C384" s="51"/>
      <c r="D384" s="51"/>
      <c r="E384" s="51"/>
      <c r="F384" s="72"/>
      <c r="G384" s="72"/>
      <c r="H384" s="73"/>
      <c r="I384" s="73"/>
      <c r="J384" s="73"/>
      <c r="K384" s="73"/>
      <c r="L384" s="73"/>
    </row>
    <row r="385" spans="1:12" ht="15.6" x14ac:dyDescent="0.35">
      <c r="A385" s="44"/>
      <c r="B385" s="217" t="s">
        <v>74</v>
      </c>
      <c r="C385" s="243"/>
      <c r="D385" s="243"/>
      <c r="E385" s="244"/>
      <c r="F385" s="266">
        <v>0</v>
      </c>
      <c r="G385" s="266">
        <v>0</v>
      </c>
      <c r="H385" s="269">
        <v>0</v>
      </c>
      <c r="I385" s="269">
        <v>0</v>
      </c>
      <c r="J385" s="269">
        <v>0</v>
      </c>
      <c r="K385" s="269">
        <v>0</v>
      </c>
      <c r="L385" s="269">
        <v>0</v>
      </c>
    </row>
    <row r="386" spans="1:12" ht="15.6" x14ac:dyDescent="0.35">
      <c r="A386" s="44"/>
      <c r="B386" s="63"/>
      <c r="C386" s="61"/>
      <c r="D386" s="61"/>
      <c r="E386" s="61"/>
      <c r="F386" s="74"/>
      <c r="G386" s="119"/>
      <c r="H386" s="125"/>
      <c r="I386" s="125"/>
      <c r="J386" s="125"/>
      <c r="K386" s="125"/>
      <c r="L386" s="125"/>
    </row>
    <row r="387" spans="1:12" ht="15.6" x14ac:dyDescent="0.35">
      <c r="A387" s="44"/>
      <c r="B387" s="223" t="s">
        <v>80</v>
      </c>
      <c r="C387" s="224"/>
      <c r="D387" s="224"/>
      <c r="E387" s="224"/>
      <c r="F387" s="276"/>
      <c r="G387" s="278">
        <v>10</v>
      </c>
      <c r="H387" s="125"/>
      <c r="I387" s="125"/>
      <c r="J387" s="125"/>
      <c r="K387" s="125"/>
      <c r="L387" s="125"/>
    </row>
    <row r="388" spans="1:12" ht="15.6" x14ac:dyDescent="0.35">
      <c r="A388" s="44"/>
      <c r="B388" s="227" t="s">
        <v>78</v>
      </c>
      <c r="C388" s="236"/>
      <c r="D388" s="236"/>
      <c r="E388" s="236"/>
      <c r="F388" s="277"/>
      <c r="G388" s="279" t="s">
        <v>79</v>
      </c>
      <c r="H388" s="125"/>
      <c r="I388" s="125"/>
      <c r="J388" s="125"/>
      <c r="K388" s="125"/>
      <c r="L388" s="125"/>
    </row>
    <row r="389" spans="1:12" ht="15.6" x14ac:dyDescent="0.35">
      <c r="A389" s="44"/>
      <c r="B389" s="63"/>
      <c r="C389" s="61"/>
      <c r="D389" s="61"/>
      <c r="E389" s="61"/>
      <c r="F389" s="74"/>
      <c r="G389" s="119"/>
      <c r="H389" s="125"/>
      <c r="I389" s="125"/>
      <c r="J389" s="125"/>
      <c r="K389" s="125"/>
      <c r="L389" s="125"/>
    </row>
    <row r="390" spans="1:12" ht="15.6" x14ac:dyDescent="0.35">
      <c r="A390" s="44"/>
      <c r="B390" s="217" cm="1">
        <f t="array" ref="B390:B394">TRANSPOSE(H380:L380)</f>
        <v>2026</v>
      </c>
      <c r="C390" s="281" cm="1">
        <f t="array" ref="C390:C394">TRANSPOSE(H385:L385)</f>
        <v>0</v>
      </c>
      <c r="D390" s="225"/>
      <c r="E390" s="61"/>
      <c r="F390" s="74"/>
      <c r="G390" s="304"/>
      <c r="H390" s="302">
        <f>MIN(IF($B390=H$380, 0.5*$C390/$G$387, $C390/$G$387), ($C390-SUM($G390:G390)))</f>
        <v>0</v>
      </c>
      <c r="I390" s="267">
        <f>MIN(IF($B390=I$380, 0.5*$C390/$G$387, $C390/$G$387), ($C390-SUM($G390:H390)))</f>
        <v>0</v>
      </c>
      <c r="J390" s="267">
        <f>MIN(IF($B390=J$380, 0.5*$C390/$G$387, $C390/$G$387), ($C390-SUM($G390:I390)))</f>
        <v>0</v>
      </c>
      <c r="K390" s="267">
        <f>MIN(IF($B390=K$380, 0.5*$C390/$G$387, $C390/$G$387), ($C390-SUM($G390:J390)))</f>
        <v>0</v>
      </c>
      <c r="L390" s="267">
        <f>MIN(IF($B390=L$380, 0.5*$C390/$G$387, $C390/$G$387), ($C390-SUM($G390:K390)))</f>
        <v>0</v>
      </c>
    </row>
    <row r="391" spans="1:12" ht="15.6" x14ac:dyDescent="0.35">
      <c r="A391" s="44"/>
      <c r="B391" s="217">
        <v>2027</v>
      </c>
      <c r="C391" s="281">
        <v>0</v>
      </c>
      <c r="D391" s="225"/>
      <c r="E391" s="61"/>
      <c r="F391" s="74"/>
      <c r="G391" s="304"/>
      <c r="H391" s="303"/>
      <c r="I391" s="267">
        <f>MIN(IF($B391=I$380, 0.5*$C391/$G$387, $C391/$G$387), ($C391-SUM($G391:H391)))</f>
        <v>0</v>
      </c>
      <c r="J391" s="267">
        <f>MIN(IF($B391=J$380, 0.5*$C391/$G$387, $C391/$G$387), ($C391-SUM($G391:I391)))</f>
        <v>0</v>
      </c>
      <c r="K391" s="267">
        <f>MIN(IF($B391=K$380, 0.5*$C391/$G$387, $C391/$G$387), ($C391-SUM($G391:J391)))</f>
        <v>0</v>
      </c>
      <c r="L391" s="267">
        <f>MIN(IF($B391=L$380, 0.5*$C391/$G$387, $C391/$G$387), ($C391-SUM($G391:K391)))</f>
        <v>0</v>
      </c>
    </row>
    <row r="392" spans="1:12" ht="15.6" x14ac:dyDescent="0.35">
      <c r="A392" s="44"/>
      <c r="B392" s="217">
        <v>2028</v>
      </c>
      <c r="C392" s="281">
        <v>0</v>
      </c>
      <c r="D392" s="225"/>
      <c r="E392" s="61"/>
      <c r="F392" s="74"/>
      <c r="G392" s="304"/>
      <c r="H392" s="303"/>
      <c r="I392" s="275"/>
      <c r="J392" s="267">
        <f>MIN(IF($B392=J$380, 0.5*$C392/$G$387, $C392/$G$387), ($C392-SUM($G392:I392)))</f>
        <v>0</v>
      </c>
      <c r="K392" s="267">
        <f>MIN(IF($B392=K$380, 0.5*$C392/$G$387, $C392/$G$387), ($C392-SUM($G392:J392)))</f>
        <v>0</v>
      </c>
      <c r="L392" s="267">
        <f>MIN(IF($B392=L$380, 0.5*$C392/$G$387, $C392/$G$387), ($C392-SUM($G392:K392)))</f>
        <v>0</v>
      </c>
    </row>
    <row r="393" spans="1:12" ht="15.6" x14ac:dyDescent="0.35">
      <c r="A393" s="44"/>
      <c r="B393" s="217">
        <v>2029</v>
      </c>
      <c r="C393" s="281">
        <v>0</v>
      </c>
      <c r="D393" s="225"/>
      <c r="E393" s="61"/>
      <c r="F393" s="74"/>
      <c r="G393" s="304"/>
      <c r="H393" s="303"/>
      <c r="I393" s="275"/>
      <c r="J393" s="275"/>
      <c r="K393" s="267">
        <f>MIN(IF($B393=K$380, 0.5*$C393/$G$387, $C393/$G$387), ($C393-SUM($G393:J393)))</f>
        <v>0</v>
      </c>
      <c r="L393" s="267">
        <f>MIN(IF($B393=L$380, 0.5*$C393/$G$387, $C393/$G$387), ($C393-SUM($G393:K393)))</f>
        <v>0</v>
      </c>
    </row>
    <row r="394" spans="1:12" ht="15.6" x14ac:dyDescent="0.35">
      <c r="A394" s="44"/>
      <c r="B394" s="217">
        <v>2030</v>
      </c>
      <c r="C394" s="281">
        <v>0</v>
      </c>
      <c r="D394" s="225"/>
      <c r="E394" s="61"/>
      <c r="F394" s="74"/>
      <c r="G394" s="304"/>
      <c r="H394" s="303"/>
      <c r="I394" s="275"/>
      <c r="J394" s="275"/>
      <c r="K394" s="275"/>
      <c r="L394" s="267">
        <f>MIN(IF($B394=L$380, 0.5*$C394/$G$387, $C394/$G$387), ($C394-SUM($G394:K394)))</f>
        <v>0</v>
      </c>
    </row>
    <row r="395" spans="1:12" ht="15.6" x14ac:dyDescent="0.35">
      <c r="A395" s="44"/>
      <c r="B395" s="61"/>
      <c r="C395" s="192"/>
      <c r="D395" s="61"/>
      <c r="E395" s="61"/>
      <c r="F395" s="74"/>
      <c r="G395" s="119"/>
      <c r="H395" s="192"/>
      <c r="I395" s="192"/>
      <c r="J395" s="192"/>
      <c r="K395" s="192"/>
      <c r="L395" s="192"/>
    </row>
    <row r="396" spans="1:12" ht="15.6" x14ac:dyDescent="0.35">
      <c r="A396" s="44"/>
      <c r="B396" s="217" t="s">
        <v>81</v>
      </c>
      <c r="C396" s="243"/>
      <c r="D396" s="243"/>
      <c r="E396" s="244"/>
      <c r="F396" s="245"/>
      <c r="G396" s="245"/>
      <c r="H396" s="262">
        <f>SUM(H390:H394)</f>
        <v>0</v>
      </c>
      <c r="I396" s="262">
        <f t="shared" ref="I396:L396" si="185">SUM(I390:I394)</f>
        <v>0</v>
      </c>
      <c r="J396" s="262">
        <f t="shared" si="185"/>
        <v>0</v>
      </c>
      <c r="K396" s="262">
        <f t="shared" si="185"/>
        <v>0</v>
      </c>
      <c r="L396" s="262">
        <f t="shared" si="185"/>
        <v>0</v>
      </c>
    </row>
    <row r="397" spans="1:12" ht="15.6" x14ac:dyDescent="0.35">
      <c r="A397" s="44"/>
      <c r="B397" s="217" t="s">
        <v>82</v>
      </c>
      <c r="C397" s="243"/>
      <c r="D397" s="243"/>
      <c r="E397" s="244"/>
      <c r="F397" s="245"/>
      <c r="G397" s="273"/>
      <c r="H397" s="262">
        <f>MIN(($H$400)/$G$387, ($H$400) - SUM($G397:G397))</f>
        <v>17210000</v>
      </c>
      <c r="I397" s="262">
        <f>MIN(($H$400)/$G$387, ($H$400) - SUM($G397:H397))</f>
        <v>17210000</v>
      </c>
      <c r="J397" s="262">
        <f>MIN(($H$400)/$G$387, ($H$400) - SUM($G397:I397))</f>
        <v>17210000</v>
      </c>
      <c r="K397" s="262">
        <f>MIN(($H$400)/$G$387, ($H$400) - SUM($G397:J397))</f>
        <v>17210000</v>
      </c>
      <c r="L397" s="262">
        <f>MIN(($H$400)/$G$387, ($H$400) - SUM($G397:K397))</f>
        <v>17210000</v>
      </c>
    </row>
    <row r="398" spans="1:12" ht="15.6" x14ac:dyDescent="0.35">
      <c r="A398" s="44"/>
      <c r="B398" s="226" t="s">
        <v>83</v>
      </c>
      <c r="C398" s="191"/>
      <c r="D398" s="191"/>
      <c r="E398" s="221"/>
      <c r="F398" s="263"/>
      <c r="G398" s="263"/>
      <c r="H398" s="263">
        <f>SUM(H396:H397)</f>
        <v>17210000</v>
      </c>
      <c r="I398" s="263">
        <f t="shared" ref="I398:L398" si="186">SUM(I396:I397)</f>
        <v>17210000</v>
      </c>
      <c r="J398" s="263">
        <f t="shared" si="186"/>
        <v>17210000</v>
      </c>
      <c r="K398" s="263">
        <f t="shared" si="186"/>
        <v>17210000</v>
      </c>
      <c r="L398" s="263">
        <f t="shared" si="186"/>
        <v>17210000</v>
      </c>
    </row>
    <row r="399" spans="1:12" ht="15.6" x14ac:dyDescent="0.35">
      <c r="A399" s="44"/>
      <c r="B399" s="63"/>
      <c r="C399" s="61"/>
      <c r="D399" s="61"/>
      <c r="E399" s="61"/>
      <c r="F399" s="74"/>
      <c r="G399" s="119"/>
      <c r="H399" s="125"/>
      <c r="I399" s="125"/>
      <c r="J399" s="125"/>
      <c r="K399" s="125"/>
      <c r="L399" s="125"/>
    </row>
    <row r="400" spans="1:12" ht="15.6" x14ac:dyDescent="0.35">
      <c r="A400" s="44"/>
      <c r="B400" s="218" t="s">
        <v>76</v>
      </c>
      <c r="C400" s="230"/>
      <c r="D400" s="230"/>
      <c r="E400" s="231"/>
      <c r="F400" s="282"/>
      <c r="G400" s="233"/>
      <c r="H400" s="233">
        <f>G63</f>
        <v>172100000</v>
      </c>
      <c r="I400" s="233">
        <f>H404</f>
        <v>154890000</v>
      </c>
      <c r="J400" s="233">
        <f t="shared" ref="J400:L400" si="187">I404</f>
        <v>137680000</v>
      </c>
      <c r="K400" s="233">
        <f t="shared" si="187"/>
        <v>120470000</v>
      </c>
      <c r="L400" s="233">
        <f t="shared" si="187"/>
        <v>103260000</v>
      </c>
    </row>
    <row r="401" spans="1:12" ht="15.6" x14ac:dyDescent="0.35">
      <c r="A401" s="44"/>
      <c r="B401" s="217" t="s">
        <v>74</v>
      </c>
      <c r="C401" s="242"/>
      <c r="D401" s="242"/>
      <c r="E401" s="256"/>
      <c r="F401" s="285"/>
      <c r="G401" s="285"/>
      <c r="H401" s="262">
        <f>H385</f>
        <v>0</v>
      </c>
      <c r="I401" s="262">
        <f>I385</f>
        <v>0</v>
      </c>
      <c r="J401" s="262">
        <f>J385</f>
        <v>0</v>
      </c>
      <c r="K401" s="262">
        <f>K385</f>
        <v>0</v>
      </c>
      <c r="L401" s="262">
        <f>L385</f>
        <v>0</v>
      </c>
    </row>
    <row r="402" spans="1:12" ht="15.6" x14ac:dyDescent="0.35">
      <c r="A402" s="44"/>
      <c r="B402" s="217" t="s">
        <v>75</v>
      </c>
      <c r="C402" s="243"/>
      <c r="D402" s="243"/>
      <c r="E402" s="244"/>
      <c r="F402" s="286"/>
      <c r="G402" s="286"/>
      <c r="H402" s="262">
        <f>-H398</f>
        <v>-17210000</v>
      </c>
      <c r="I402" s="262">
        <f>-I398</f>
        <v>-17210000</v>
      </c>
      <c r="J402" s="262">
        <f>-J398</f>
        <v>-17210000</v>
      </c>
      <c r="K402" s="262">
        <f>-K398</f>
        <v>-17210000</v>
      </c>
      <c r="L402" s="262">
        <f>-L398</f>
        <v>-17210000</v>
      </c>
    </row>
    <row r="403" spans="1:12" ht="15.6" x14ac:dyDescent="0.35">
      <c r="A403" s="44"/>
      <c r="B403" s="227" t="s">
        <v>261</v>
      </c>
      <c r="C403" s="236"/>
      <c r="D403" s="236"/>
      <c r="E403" s="237"/>
      <c r="F403" s="332"/>
      <c r="G403" s="333"/>
      <c r="H403" s="248">
        <v>0</v>
      </c>
      <c r="I403" s="248">
        <v>0</v>
      </c>
      <c r="J403" s="248">
        <v>0</v>
      </c>
      <c r="K403" s="248">
        <v>0</v>
      </c>
      <c r="L403" s="248">
        <v>0</v>
      </c>
    </row>
    <row r="404" spans="1:12" ht="15.6" x14ac:dyDescent="0.35">
      <c r="A404" s="44"/>
      <c r="B404" s="287" t="s">
        <v>13</v>
      </c>
      <c r="C404" s="288"/>
      <c r="D404" s="288"/>
      <c r="E404" s="289"/>
      <c r="F404" s="283"/>
      <c r="G404" s="284"/>
      <c r="H404" s="233">
        <f>SUM(H400:H402)</f>
        <v>154890000</v>
      </c>
      <c r="I404" s="233">
        <f>SUM(I400:I402)</f>
        <v>137680000</v>
      </c>
      <c r="J404" s="233">
        <f>SUM(J400:J402)</f>
        <v>120470000</v>
      </c>
      <c r="K404" s="233">
        <f>SUM(K400:K402)</f>
        <v>103260000</v>
      </c>
      <c r="L404" s="233">
        <f>SUM(L400:L402)</f>
        <v>86050000</v>
      </c>
    </row>
    <row r="405" spans="1:12" ht="15.6" x14ac:dyDescent="0.35">
      <c r="A405" s="44"/>
      <c r="B405" s="61"/>
      <c r="C405" s="61"/>
      <c r="D405" s="61"/>
      <c r="E405" s="61"/>
      <c r="F405" s="74"/>
      <c r="G405" s="94"/>
      <c r="H405" s="75"/>
      <c r="I405" s="75"/>
      <c r="J405" s="75"/>
      <c r="K405" s="75"/>
      <c r="L405" s="75"/>
    </row>
    <row r="406" spans="1:12" ht="15.6" x14ac:dyDescent="0.35">
      <c r="A406" s="44"/>
      <c r="B406" s="202" t="s">
        <v>3</v>
      </c>
      <c r="C406" s="203"/>
      <c r="D406" s="204"/>
      <c r="E406" s="204"/>
      <c r="F406" s="205"/>
      <c r="G406" s="205"/>
      <c r="H406" s="205"/>
      <c r="I406" s="205"/>
      <c r="J406" s="205"/>
      <c r="K406" s="205"/>
      <c r="L406" s="206"/>
    </row>
    <row r="407" spans="1:12" ht="15.6" x14ac:dyDescent="0.35">
      <c r="A407" s="44"/>
      <c r="B407" s="77"/>
      <c r="C407" s="63"/>
      <c r="D407" s="61"/>
      <c r="E407" s="61"/>
      <c r="F407" s="74"/>
      <c r="G407" s="74"/>
      <c r="H407" s="75"/>
      <c r="I407" s="75"/>
      <c r="J407" s="75"/>
      <c r="K407" s="75"/>
      <c r="L407" s="75"/>
    </row>
    <row r="408" spans="1:12" ht="15.6" x14ac:dyDescent="0.35">
      <c r="A408" s="44"/>
      <c r="B408" s="217" t="s">
        <v>87</v>
      </c>
      <c r="C408" s="242"/>
      <c r="D408" s="243"/>
      <c r="E408" s="244"/>
      <c r="F408" s="245"/>
      <c r="G408" s="245"/>
      <c r="H408" s="262">
        <f>H412</f>
        <v>-224500000</v>
      </c>
      <c r="I408" s="262">
        <f t="shared" ref="I408:L408" si="188">I412</f>
        <v>-199135000</v>
      </c>
      <c r="J408" s="262">
        <f t="shared" si="188"/>
        <v>-173009050</v>
      </c>
      <c r="K408" s="262">
        <f t="shared" si="188"/>
        <v>-146099321.5</v>
      </c>
      <c r="L408" s="262">
        <f t="shared" si="188"/>
        <v>-118382301.14500001</v>
      </c>
    </row>
    <row r="409" spans="1:12" ht="15.6" x14ac:dyDescent="0.35">
      <c r="A409" s="44"/>
      <c r="B409" s="217" t="s">
        <v>88</v>
      </c>
      <c r="C409" s="242"/>
      <c r="D409" s="243"/>
      <c r="E409" s="244"/>
      <c r="F409" s="245"/>
      <c r="G409" s="245"/>
      <c r="H409" s="246">
        <v>0.03</v>
      </c>
      <c r="I409" s="246">
        <v>0.03</v>
      </c>
      <c r="J409" s="246">
        <v>0.03</v>
      </c>
      <c r="K409" s="246">
        <v>0.03</v>
      </c>
      <c r="L409" s="246">
        <v>0.03</v>
      </c>
    </row>
    <row r="410" spans="1:12" ht="15.6" x14ac:dyDescent="0.35">
      <c r="A410" s="44"/>
      <c r="B410" s="287" t="s">
        <v>251</v>
      </c>
      <c r="C410" s="288"/>
      <c r="D410" s="288"/>
      <c r="E410" s="289"/>
      <c r="F410" s="284">
        <f>F414</f>
        <v>-5500000</v>
      </c>
      <c r="G410" s="284">
        <f>G414</f>
        <v>-6400000</v>
      </c>
      <c r="H410" s="233">
        <f>H408*H409</f>
        <v>-6735000</v>
      </c>
      <c r="I410" s="233">
        <f t="shared" ref="I410:L410" si="189">I408*I409</f>
        <v>-5974050</v>
      </c>
      <c r="J410" s="233">
        <f t="shared" si="189"/>
        <v>-5190271.5</v>
      </c>
      <c r="K410" s="233">
        <f t="shared" si="189"/>
        <v>-4382979.6449999996</v>
      </c>
      <c r="L410" s="233">
        <f t="shared" si="189"/>
        <v>-3551469.0343500003</v>
      </c>
    </row>
    <row r="411" spans="1:12" ht="15.6" x14ac:dyDescent="0.35">
      <c r="A411" s="44"/>
      <c r="B411" s="44"/>
      <c r="C411" s="63"/>
      <c r="D411" s="61"/>
      <c r="E411" s="61"/>
      <c r="F411" s="74"/>
      <c r="G411" s="74"/>
      <c r="H411" s="75"/>
      <c r="I411" s="75"/>
      <c r="J411" s="75"/>
      <c r="K411" s="75"/>
      <c r="L411" s="75"/>
    </row>
    <row r="412" spans="1:12" ht="15.6" x14ac:dyDescent="0.35">
      <c r="A412" s="44"/>
      <c r="B412" s="217" t="s">
        <v>85</v>
      </c>
      <c r="C412" s="243"/>
      <c r="D412" s="243"/>
      <c r="E412" s="244"/>
      <c r="F412" s="245"/>
      <c r="G412" s="245"/>
      <c r="H412" s="262">
        <f>G75+G86</f>
        <v>-224500000</v>
      </c>
      <c r="I412" s="262">
        <f>H416</f>
        <v>-199135000</v>
      </c>
      <c r="J412" s="262">
        <f t="shared" ref="J412:L412" si="190">I416</f>
        <v>-173009050</v>
      </c>
      <c r="K412" s="262">
        <f t="shared" si="190"/>
        <v>-146099321.5</v>
      </c>
      <c r="L412" s="262">
        <f t="shared" si="190"/>
        <v>-118382301.14500001</v>
      </c>
    </row>
    <row r="413" spans="1:12" ht="15.6" x14ac:dyDescent="0.35">
      <c r="A413" s="44"/>
      <c r="B413" s="217" t="s">
        <v>86</v>
      </c>
      <c r="C413" s="243"/>
      <c r="D413" s="243"/>
      <c r="E413" s="244"/>
      <c r="F413" s="247">
        <v>0</v>
      </c>
      <c r="G413" s="247">
        <v>0</v>
      </c>
      <c r="H413" s="262">
        <f>-H385</f>
        <v>0</v>
      </c>
      <c r="I413" s="262">
        <f>-I385</f>
        <v>0</v>
      </c>
      <c r="J413" s="262">
        <f>-J385</f>
        <v>0</v>
      </c>
      <c r="K413" s="262">
        <f>-K385</f>
        <v>0</v>
      </c>
      <c r="L413" s="262">
        <f>-L385</f>
        <v>0</v>
      </c>
    </row>
    <row r="414" spans="1:12" ht="15.6" x14ac:dyDescent="0.35">
      <c r="A414" s="44"/>
      <c r="B414" s="217" t="s">
        <v>89</v>
      </c>
      <c r="C414" s="242"/>
      <c r="D414" s="242"/>
      <c r="E414" s="256"/>
      <c r="F414" s="247">
        <v>-5500000</v>
      </c>
      <c r="G414" s="247">
        <v>-6400000</v>
      </c>
      <c r="H414" s="262">
        <f>H410</f>
        <v>-6735000</v>
      </c>
      <c r="I414" s="262">
        <f t="shared" ref="I414:L414" si="191">I410</f>
        <v>-5974050</v>
      </c>
      <c r="J414" s="262">
        <f t="shared" si="191"/>
        <v>-5190271.5</v>
      </c>
      <c r="K414" s="262">
        <f t="shared" si="191"/>
        <v>-4382979.6449999996</v>
      </c>
      <c r="L414" s="262">
        <f t="shared" si="191"/>
        <v>-3551469.0343500003</v>
      </c>
    </row>
    <row r="415" spans="1:12" ht="15.6" x14ac:dyDescent="0.35">
      <c r="A415" s="44"/>
      <c r="B415" s="217" t="s">
        <v>90</v>
      </c>
      <c r="C415" s="243"/>
      <c r="D415" s="243"/>
      <c r="E415" s="244"/>
      <c r="F415" s="247">
        <v>31000000</v>
      </c>
      <c r="G415" s="247">
        <v>32100000</v>
      </c>
      <c r="H415" s="248">
        <v>32100000</v>
      </c>
      <c r="I415" s="248">
        <v>32100000</v>
      </c>
      <c r="J415" s="248">
        <v>32100000</v>
      </c>
      <c r="K415" s="248">
        <v>32100000</v>
      </c>
      <c r="L415" s="248">
        <v>32100000</v>
      </c>
    </row>
    <row r="416" spans="1:12" ht="15.6" x14ac:dyDescent="0.35">
      <c r="A416" s="44"/>
      <c r="B416" s="287" t="s">
        <v>91</v>
      </c>
      <c r="C416" s="288"/>
      <c r="D416" s="288"/>
      <c r="E416" s="289"/>
      <c r="F416" s="283"/>
      <c r="G416" s="284"/>
      <c r="H416" s="233">
        <f>SUM(H412:H415)</f>
        <v>-199135000</v>
      </c>
      <c r="I416" s="233">
        <f>SUM(I412:I415)</f>
        <v>-173009050</v>
      </c>
      <c r="J416" s="233">
        <f t="shared" ref="J416:L416" si="192">SUM(J412:J415)</f>
        <v>-146099321.5</v>
      </c>
      <c r="K416" s="233">
        <f t="shared" si="192"/>
        <v>-118382301.14500001</v>
      </c>
      <c r="L416" s="233">
        <f t="shared" si="192"/>
        <v>-89833770.179350019</v>
      </c>
    </row>
    <row r="417" spans="1:12" ht="15.6" x14ac:dyDescent="0.35">
      <c r="A417" s="44"/>
      <c r="B417" s="61"/>
      <c r="C417" s="61"/>
      <c r="D417" s="61"/>
      <c r="E417" s="61"/>
      <c r="F417" s="82"/>
      <c r="G417" s="82"/>
      <c r="H417" s="178"/>
      <c r="I417" s="178"/>
      <c r="J417" s="178"/>
      <c r="K417" s="178"/>
      <c r="L417" s="178"/>
    </row>
    <row r="418" spans="1:12" ht="15.6" x14ac:dyDescent="0.35">
      <c r="A418" s="44"/>
      <c r="B418" s="217" t="s">
        <v>183</v>
      </c>
      <c r="C418" s="243"/>
      <c r="D418" s="243"/>
      <c r="E418" s="244"/>
      <c r="F418" s="262"/>
      <c r="G418" s="262"/>
      <c r="H418" s="262">
        <f>H415+H414</f>
        <v>25365000</v>
      </c>
      <c r="I418" s="262">
        <f>I415+I414</f>
        <v>26125950</v>
      </c>
      <c r="J418" s="262">
        <f t="shared" ref="J418:L418" si="193">J415+J414</f>
        <v>26909728.5</v>
      </c>
      <c r="K418" s="262">
        <f t="shared" si="193"/>
        <v>27717020.355</v>
      </c>
      <c r="L418" s="262">
        <f t="shared" si="193"/>
        <v>28548530.96565</v>
      </c>
    </row>
    <row r="419" spans="1:12" ht="15.6" x14ac:dyDescent="0.35">
      <c r="A419" s="44"/>
      <c r="B419" s="217" t="s">
        <v>156</v>
      </c>
      <c r="C419" s="243"/>
      <c r="D419" s="243"/>
      <c r="E419" s="244"/>
      <c r="F419" s="262"/>
      <c r="G419" s="262"/>
      <c r="H419" s="262">
        <f>-(I415+I414)</f>
        <v>-26125950</v>
      </c>
      <c r="I419" s="262">
        <f t="shared" ref="I419:L419" si="194">-(J415+J414)</f>
        <v>-26909728.5</v>
      </c>
      <c r="J419" s="262">
        <f t="shared" si="194"/>
        <v>-27717020.355</v>
      </c>
      <c r="K419" s="262">
        <f t="shared" si="194"/>
        <v>-28548530.96565</v>
      </c>
      <c r="L419" s="262">
        <f t="shared" si="194"/>
        <v>0</v>
      </c>
    </row>
    <row r="420" spans="1:12" ht="15.6" x14ac:dyDescent="0.35">
      <c r="A420" s="44"/>
      <c r="B420" s="217" t="s">
        <v>157</v>
      </c>
      <c r="C420" s="243"/>
      <c r="D420" s="243"/>
      <c r="E420" s="244"/>
      <c r="F420" s="262"/>
      <c r="G420" s="262"/>
      <c r="H420" s="262">
        <f>(H416-H419)</f>
        <v>-173009050</v>
      </c>
      <c r="I420" s="262">
        <f>(I416-I419)</f>
        <v>-146099321.5</v>
      </c>
      <c r="J420" s="262">
        <f>(J416-J419)</f>
        <v>-118382301.145</v>
      </c>
      <c r="K420" s="262">
        <f>(K416-K419)</f>
        <v>-89833770.179350019</v>
      </c>
      <c r="L420" s="262">
        <f>(L416-L419)</f>
        <v>-89833770.179350019</v>
      </c>
    </row>
    <row r="421" spans="1:12" ht="15.6" x14ac:dyDescent="0.35">
      <c r="A421" s="44"/>
      <c r="B421" s="61"/>
      <c r="C421" s="61"/>
      <c r="D421" s="61"/>
      <c r="E421" s="61"/>
      <c r="F421" s="82"/>
      <c r="G421" s="82"/>
      <c r="H421" s="106"/>
      <c r="I421" s="106"/>
      <c r="J421" s="106"/>
      <c r="K421" s="106"/>
      <c r="L421" s="106"/>
    </row>
    <row r="422" spans="1:12" ht="15.6" x14ac:dyDescent="0.35">
      <c r="A422" s="44"/>
      <c r="B422" s="63"/>
      <c r="C422" s="63"/>
      <c r="D422" s="63"/>
      <c r="E422" s="63"/>
      <c r="F422" s="120"/>
      <c r="G422" s="120"/>
      <c r="H422" s="120"/>
      <c r="I422" s="120"/>
      <c r="J422" s="120"/>
      <c r="K422" s="120"/>
      <c r="L422" s="120"/>
    </row>
    <row r="423" spans="1:12" ht="15.6" x14ac:dyDescent="0.35">
      <c r="A423" s="44"/>
      <c r="B423" s="63"/>
      <c r="C423" s="63"/>
      <c r="D423" s="61"/>
      <c r="E423" s="61"/>
      <c r="F423" s="61"/>
      <c r="G423" s="61"/>
      <c r="H423" s="61"/>
      <c r="I423" s="61"/>
      <c r="J423" s="61"/>
      <c r="K423" s="61"/>
      <c r="L423" s="61"/>
    </row>
    <row r="424" spans="1:12" ht="15.6" x14ac:dyDescent="0.35">
      <c r="A424" s="44"/>
      <c r="B424" s="61"/>
      <c r="C424" s="61"/>
      <c r="D424" s="61"/>
      <c r="E424" s="61"/>
      <c r="F424" s="95"/>
      <c r="G424" s="95"/>
      <c r="H424" s="95"/>
      <c r="I424" s="95"/>
      <c r="J424" s="95"/>
      <c r="K424" s="95"/>
      <c r="L424" s="95"/>
    </row>
    <row r="425" spans="1:12" ht="28.8" x14ac:dyDescent="0.65">
      <c r="A425" s="44"/>
      <c r="B425" s="45" t="str">
        <f>Cover!$B$2</f>
        <v>ASOS PLC</v>
      </c>
      <c r="C425" s="45"/>
      <c r="D425" s="46"/>
      <c r="E425" s="47"/>
      <c r="F425" s="47"/>
      <c r="G425" s="47"/>
      <c r="H425" s="47"/>
      <c r="I425" s="47"/>
      <c r="J425" s="47"/>
      <c r="K425" s="47"/>
      <c r="L425" s="47"/>
    </row>
    <row r="426" spans="1:12" ht="21" x14ac:dyDescent="0.5">
      <c r="A426" s="44"/>
      <c r="B426" s="48" t="s">
        <v>73</v>
      </c>
      <c r="C426" s="49"/>
      <c r="D426" s="47"/>
      <c r="E426" s="47"/>
      <c r="F426" s="47"/>
      <c r="G426" s="47"/>
      <c r="H426" s="47"/>
      <c r="I426" s="47"/>
      <c r="J426" s="47"/>
      <c r="K426" s="47"/>
      <c r="L426" s="164" t="str">
        <f>"Currently Running: "&amp;CHOOSE(Assumptions!$B$10,Assumptions!$F$15,Assumptions!$F$16,Assumptions!$F$17)&amp;"Scenario"</f>
        <v>Currently Running: Base Scenario</v>
      </c>
    </row>
    <row r="427" spans="1:12" ht="15.6" x14ac:dyDescent="0.35">
      <c r="A427" s="44"/>
      <c r="B427" s="50"/>
      <c r="C427" s="50"/>
      <c r="D427" s="50"/>
      <c r="E427" s="50"/>
      <c r="F427" s="50"/>
      <c r="G427" s="50"/>
      <c r="H427" s="50"/>
      <c r="I427" s="50"/>
      <c r="J427" s="50"/>
      <c r="K427" s="51"/>
      <c r="L427" s="51"/>
    </row>
    <row r="428" spans="1:12" ht="15.6" x14ac:dyDescent="0.35">
      <c r="A428" s="44"/>
      <c r="B428" s="51"/>
      <c r="C428" s="51"/>
      <c r="D428" s="51"/>
      <c r="E428" s="51"/>
      <c r="F428" s="249" t="s">
        <v>374</v>
      </c>
      <c r="G428" s="250"/>
      <c r="H428" s="250"/>
      <c r="I428" s="250"/>
      <c r="J428" s="250"/>
      <c r="K428" s="250"/>
      <c r="L428" s="251"/>
    </row>
    <row r="429" spans="1:12" ht="15.6" x14ac:dyDescent="0.35">
      <c r="A429" s="44"/>
      <c r="B429" s="51"/>
      <c r="C429" s="51"/>
      <c r="D429" s="51"/>
      <c r="E429" s="51"/>
      <c r="F429" s="53">
        <f>$F$7</f>
        <v>2024</v>
      </c>
      <c r="G429" s="53">
        <f>F429+1</f>
        <v>2025</v>
      </c>
      <c r="H429" s="54">
        <f>G429+1</f>
        <v>2026</v>
      </c>
      <c r="I429" s="54">
        <f t="shared" ref="I429" si="195">H429+1</f>
        <v>2027</v>
      </c>
      <c r="J429" s="54">
        <f t="shared" ref="J429" si="196">I429+1</f>
        <v>2028</v>
      </c>
      <c r="K429" s="54">
        <f t="shared" ref="K429" si="197">J429+1</f>
        <v>2029</v>
      </c>
      <c r="L429" s="54">
        <f t="shared" ref="L429" si="198">K429+1</f>
        <v>2030</v>
      </c>
    </row>
    <row r="430" spans="1:12" ht="16.2" thickBot="1" x14ac:dyDescent="0.4">
      <c r="A430" s="44"/>
      <c r="B430" s="55" t="s">
        <v>191</v>
      </c>
      <c r="C430" s="55"/>
      <c r="D430" s="55"/>
      <c r="E430" s="55"/>
      <c r="F430" s="56" t="s">
        <v>50</v>
      </c>
      <c r="G430" s="56"/>
      <c r="H430" s="57"/>
      <c r="I430" s="57"/>
      <c r="J430" s="57"/>
      <c r="K430" s="57"/>
      <c r="L430" s="57" t="s">
        <v>37</v>
      </c>
    </row>
    <row r="431" spans="1:12" ht="15.6" x14ac:dyDescent="0.35">
      <c r="A431" s="44"/>
      <c r="B431" s="51"/>
      <c r="C431" s="51"/>
      <c r="D431" s="51"/>
      <c r="E431" s="51"/>
      <c r="F431" s="121"/>
      <c r="G431" s="121"/>
      <c r="H431" s="122"/>
      <c r="I431" s="122"/>
      <c r="J431" s="122"/>
      <c r="K431" s="122"/>
      <c r="L431" s="122"/>
    </row>
    <row r="432" spans="1:12" ht="15.6" x14ac:dyDescent="0.35">
      <c r="A432" s="44"/>
      <c r="B432" s="202" t="s">
        <v>253</v>
      </c>
      <c r="C432" s="203"/>
      <c r="D432" s="204"/>
      <c r="E432" s="204"/>
      <c r="F432" s="205"/>
      <c r="G432" s="205"/>
      <c r="H432" s="205"/>
      <c r="I432" s="205"/>
      <c r="J432" s="205"/>
      <c r="K432" s="205"/>
      <c r="L432" s="206"/>
    </row>
    <row r="433" spans="1:12" ht="15.6" x14ac:dyDescent="0.35">
      <c r="A433" s="44"/>
      <c r="B433" s="51"/>
      <c r="C433" s="51"/>
      <c r="D433" s="51"/>
      <c r="E433" s="51"/>
      <c r="F433" s="292"/>
      <c r="G433" s="292"/>
      <c r="H433" s="293"/>
      <c r="I433" s="293"/>
      <c r="J433" s="293"/>
      <c r="K433" s="293"/>
      <c r="L433" s="293"/>
    </row>
    <row r="434" spans="1:12" ht="15.6" x14ac:dyDescent="0.35">
      <c r="A434" s="44"/>
      <c r="B434" s="217" t="s">
        <v>97</v>
      </c>
      <c r="C434" s="243"/>
      <c r="D434" s="243"/>
      <c r="E434" s="244"/>
      <c r="F434" s="247">
        <v>47200000</v>
      </c>
      <c r="G434" s="247">
        <v>6500000</v>
      </c>
      <c r="H434" s="301">
        <f>H435*(H208+H216)</f>
        <v>18627012.392601311</v>
      </c>
      <c r="I434" s="301">
        <f>I435*(I208+I216)</f>
        <v>18057879.03267923</v>
      </c>
      <c r="J434" s="301">
        <f>J435*(J208+J216)</f>
        <v>18033776.000869043</v>
      </c>
      <c r="K434" s="301">
        <f>K435*(K208+K216)</f>
        <v>18300771.842489421</v>
      </c>
      <c r="L434" s="301">
        <f>L435*(L208+L216)</f>
        <v>18889534.996970613</v>
      </c>
    </row>
    <row r="435" spans="1:12" ht="15.6" x14ac:dyDescent="0.35">
      <c r="A435" s="44"/>
      <c r="B435" s="217" t="s">
        <v>92</v>
      </c>
      <c r="C435" s="242"/>
      <c r="D435" s="242"/>
      <c r="E435" s="256"/>
      <c r="F435" s="268">
        <f>F434/F10</f>
        <v>1.6243375318328861E-2</v>
      </c>
      <c r="G435" s="268">
        <f>G434/G10</f>
        <v>2.6232948583420775E-3</v>
      </c>
      <c r="H435" s="239">
        <v>8.0000000000000002E-3</v>
      </c>
      <c r="I435" s="239">
        <v>8.0000000000000002E-3</v>
      </c>
      <c r="J435" s="239">
        <v>8.0000000000000002E-3</v>
      </c>
      <c r="K435" s="239">
        <v>8.0000000000000002E-3</v>
      </c>
      <c r="L435" s="239">
        <v>8.0000000000000002E-3</v>
      </c>
    </row>
    <row r="436" spans="1:12" ht="15.6" x14ac:dyDescent="0.35">
      <c r="A436" s="44"/>
      <c r="C436" s="63"/>
      <c r="D436" s="63"/>
      <c r="E436" s="63"/>
      <c r="F436" s="107"/>
      <c r="G436" s="107"/>
      <c r="H436" s="108"/>
      <c r="I436" s="108"/>
      <c r="J436" s="108"/>
      <c r="K436" s="108"/>
      <c r="L436" s="108"/>
    </row>
    <row r="437" spans="1:12" ht="15.6" x14ac:dyDescent="0.35">
      <c r="A437" s="44"/>
      <c r="B437" s="217" t="s">
        <v>77</v>
      </c>
      <c r="C437" s="243"/>
      <c r="D437" s="243"/>
      <c r="E437" s="294"/>
      <c r="F437" s="295"/>
      <c r="G437" s="305">
        <v>5</v>
      </c>
      <c r="H437" s="98"/>
      <c r="I437" s="98"/>
      <c r="J437" s="98"/>
      <c r="K437" s="98"/>
      <c r="L437" s="98"/>
    </row>
    <row r="438" spans="1:12" ht="15.6" x14ac:dyDescent="0.35">
      <c r="A438" s="44"/>
      <c r="B438" s="217" t="s">
        <v>78</v>
      </c>
      <c r="C438" s="243"/>
      <c r="D438" s="243"/>
      <c r="E438" s="296"/>
      <c r="F438" s="295"/>
      <c r="G438" s="306" t="s">
        <v>79</v>
      </c>
      <c r="H438" s="98"/>
      <c r="I438" s="98"/>
      <c r="J438" s="98"/>
      <c r="K438" s="98"/>
      <c r="L438" s="98"/>
    </row>
    <row r="439" spans="1:12" ht="15.6" x14ac:dyDescent="0.35">
      <c r="A439" s="44"/>
      <c r="B439" s="61"/>
      <c r="C439" s="61"/>
      <c r="D439" s="61"/>
      <c r="E439" s="63"/>
      <c r="F439" s="97"/>
      <c r="G439" s="97"/>
      <c r="H439" s="123"/>
      <c r="I439" s="98"/>
      <c r="J439" s="98"/>
      <c r="K439" s="98"/>
      <c r="L439" s="98"/>
    </row>
    <row r="440" spans="1:12" ht="15.6" x14ac:dyDescent="0.35">
      <c r="A440" s="44"/>
      <c r="B440" s="217" cm="1">
        <f t="array" ref="B440:B444">TRANSPOSE(H429:L429)</f>
        <v>2026</v>
      </c>
      <c r="C440" s="301" cm="1">
        <f t="array" ref="C440:C444">TRANSPOSE(H434:L434)</f>
        <v>18627012.392601311</v>
      </c>
      <c r="D440" s="225"/>
      <c r="E440" s="63"/>
      <c r="F440" s="97"/>
      <c r="G440" s="97"/>
      <c r="H440" s="301">
        <f>MIN(IF($B440=H$429, 0.5*$C440/$G$437, $C440/$G$437), ($C440-SUM($G440:G440)))</f>
        <v>1862701.239260131</v>
      </c>
      <c r="I440" s="301">
        <f>MIN(IF($B440=I$429, 0.5*$C440/$G$437, $C440/$G$437), ($C440-SUM($G440:H440)))</f>
        <v>3725402.4785202621</v>
      </c>
      <c r="J440" s="301">
        <f>MIN(IF($B440=J$429, 0.5*$C440/$G$437, $C440/$G$437), ($C440-SUM($G440:I440)))</f>
        <v>3725402.4785202621</v>
      </c>
      <c r="K440" s="301">
        <f>MIN(IF($B440=K$429, 0.5*$C440/$G$437, $C440/$G$437), ($C440-SUM($G440:J440)))</f>
        <v>3725402.4785202621</v>
      </c>
      <c r="L440" s="301">
        <f>MIN(IF($B440=L$429, 0.5*$C440/$G$437, $C440/$G$437), ($C440-SUM($G440:K440)))</f>
        <v>3725402.4785202621</v>
      </c>
    </row>
    <row r="441" spans="1:12" ht="15.6" x14ac:dyDescent="0.35">
      <c r="A441" s="44"/>
      <c r="B441" s="217">
        <v>2027</v>
      </c>
      <c r="C441" s="301">
        <v>18057879.03267923</v>
      </c>
      <c r="D441" s="225"/>
      <c r="E441" s="63"/>
      <c r="F441" s="97"/>
      <c r="G441" s="97"/>
      <c r="H441" s="299"/>
      <c r="I441" s="301">
        <f>MIN(IF($B441=I$429, 0.5*$C441/$G$437, $C441/$G$437), ($C441-SUM($G441:H441)))</f>
        <v>1805787.903267923</v>
      </c>
      <c r="J441" s="301">
        <f>MIN(IF($B441=J$429, 0.5*$C441/$G$437, $C441/$G$437), ($C441-SUM($G441:I441)))</f>
        <v>3611575.8065358461</v>
      </c>
      <c r="K441" s="301">
        <f>MIN(IF($B441=K$429, 0.5*$C441/$G$437, $C441/$G$437), ($C441-SUM($G441:J441)))</f>
        <v>3611575.8065358461</v>
      </c>
      <c r="L441" s="301">
        <f>MIN(IF($B441=L$429, 0.5*$C441/$G$437, $C441/$G$437), ($C441-SUM($G441:K441)))</f>
        <v>3611575.8065358461</v>
      </c>
    </row>
    <row r="442" spans="1:12" ht="15.6" x14ac:dyDescent="0.35">
      <c r="A442" s="44"/>
      <c r="B442" s="217">
        <v>2028</v>
      </c>
      <c r="C442" s="301">
        <v>18033776.000869043</v>
      </c>
      <c r="D442" s="225"/>
      <c r="E442" s="63"/>
      <c r="F442" s="97"/>
      <c r="G442" s="97"/>
      <c r="H442" s="299"/>
      <c r="I442" s="299"/>
      <c r="J442" s="301">
        <f>MIN(IF($B442=J$429, 0.5*$C442/$G$437, $C442/$G$437), ($C442-SUM($G442:I442)))</f>
        <v>1803377.6000869044</v>
      </c>
      <c r="K442" s="301">
        <f>MIN(IF($B442=K$429, 0.5*$C442/$G$437, $C442/$G$437), ($C442-SUM($G442:J442)))</f>
        <v>3606755.2001738087</v>
      </c>
      <c r="L442" s="301">
        <f>MIN(IF($B442=L$429, 0.5*$C442/$G$437, $C442/$G$437), ($C442-SUM($G442:K442)))</f>
        <v>3606755.2001738087</v>
      </c>
    </row>
    <row r="443" spans="1:12" ht="15.6" x14ac:dyDescent="0.35">
      <c r="A443" s="44"/>
      <c r="B443" s="217">
        <v>2029</v>
      </c>
      <c r="C443" s="301">
        <v>18300771.842489421</v>
      </c>
      <c r="D443" s="297"/>
      <c r="E443" s="63"/>
      <c r="F443" s="97"/>
      <c r="G443" s="97"/>
      <c r="H443" s="299"/>
      <c r="I443" s="299"/>
      <c r="J443" s="299"/>
      <c r="K443" s="301">
        <f>MIN(IF($B443=K$429, 0.5*$C443/$G$437, $C443/$G$437), ($C443-SUM($G443:J443)))</f>
        <v>1830077.1842489422</v>
      </c>
      <c r="L443" s="301">
        <f>MIN(IF($B443=L$429, 0.5*$C443/$G$437, $C443/$G$437), ($C443-SUM($G443:K443)))</f>
        <v>3660154.3684978844</v>
      </c>
    </row>
    <row r="444" spans="1:12" ht="15.6" x14ac:dyDescent="0.35">
      <c r="A444" s="44"/>
      <c r="B444" s="217">
        <v>2030</v>
      </c>
      <c r="C444" s="301">
        <v>18889534.996970613</v>
      </c>
      <c r="D444" s="225"/>
      <c r="E444" s="63"/>
      <c r="F444" s="97"/>
      <c r="G444" s="97"/>
      <c r="H444" s="299"/>
      <c r="I444" s="299"/>
      <c r="J444" s="299"/>
      <c r="K444" s="299"/>
      <c r="L444" s="301">
        <f>MIN(IF($B444=L$429, 0.5*$C444/$G$437, $C444/$G$437), ($C444-SUM($G444:K444)))</f>
        <v>1888953.4996970613</v>
      </c>
    </row>
    <row r="445" spans="1:12" ht="15.6" x14ac:dyDescent="0.35">
      <c r="A445" s="44"/>
      <c r="B445" s="61"/>
      <c r="C445" s="298"/>
      <c r="D445" s="61"/>
      <c r="E445" s="63"/>
      <c r="F445" s="97"/>
      <c r="G445" s="97"/>
      <c r="H445" s="298"/>
      <c r="I445" s="298"/>
      <c r="J445" s="298"/>
      <c r="K445" s="298"/>
      <c r="L445" s="298"/>
    </row>
    <row r="446" spans="1:12" ht="15.6" x14ac:dyDescent="0.35">
      <c r="A446" s="44"/>
      <c r="B446" s="217" t="s">
        <v>93</v>
      </c>
      <c r="C446" s="242"/>
      <c r="D446" s="243"/>
      <c r="E446" s="256"/>
      <c r="F446" s="300"/>
      <c r="G446" s="300"/>
      <c r="H446" s="262">
        <f t="shared" ref="H446:K446" si="199">SUM(H440:H444)</f>
        <v>1862701.239260131</v>
      </c>
      <c r="I446" s="262">
        <f t="shared" si="199"/>
        <v>5531190.3817881849</v>
      </c>
      <c r="J446" s="262">
        <f t="shared" si="199"/>
        <v>9140355.8851430137</v>
      </c>
      <c r="K446" s="262">
        <f t="shared" si="199"/>
        <v>12773810.66947886</v>
      </c>
      <c r="L446" s="262">
        <f>SUM(L440:L444)</f>
        <v>16492841.353424862</v>
      </c>
    </row>
    <row r="447" spans="1:12" ht="15.6" x14ac:dyDescent="0.35">
      <c r="A447" s="44"/>
      <c r="B447" s="217" t="s">
        <v>94</v>
      </c>
      <c r="C447" s="243"/>
      <c r="D447" s="243"/>
      <c r="E447" s="256"/>
      <c r="F447" s="300"/>
      <c r="G447" s="300"/>
      <c r="H447" s="262">
        <f>MIN($G$61/$G$437, ($G$61 - SUM($G$447:G447)))</f>
        <v>30680000</v>
      </c>
      <c r="I447" s="262">
        <f>MIN($G$61/$G$437, ($G$61 - SUM($G$447:H447)))</f>
        <v>30680000</v>
      </c>
      <c r="J447" s="262">
        <f>MIN($G$61/$G$437, ($G$61 - SUM($G$447:I447)))</f>
        <v>30680000</v>
      </c>
      <c r="K447" s="262">
        <f>MIN($G$61/$G$437, ($G$61 - SUM($G$447:J447)))</f>
        <v>30680000</v>
      </c>
      <c r="L447" s="262">
        <f>MIN($G$61/$G$437, ($G$61 - SUM($G$447:K447)))</f>
        <v>30680000</v>
      </c>
    </row>
    <row r="448" spans="1:12" ht="15.6" x14ac:dyDescent="0.35">
      <c r="A448" s="44"/>
      <c r="B448" s="226" t="s">
        <v>114</v>
      </c>
      <c r="C448" s="191"/>
      <c r="D448" s="191"/>
      <c r="E448" s="221"/>
      <c r="F448" s="263"/>
      <c r="G448" s="263"/>
      <c r="H448" s="263">
        <f>SUM(H446:H447)</f>
        <v>32542701.23926013</v>
      </c>
      <c r="I448" s="263">
        <f t="shared" ref="I448:L448" si="200">SUM(I446:I447)</f>
        <v>36211190.381788187</v>
      </c>
      <c r="J448" s="263">
        <f t="shared" si="200"/>
        <v>39820355.885143012</v>
      </c>
      <c r="K448" s="263">
        <f t="shared" si="200"/>
        <v>43453810.669478863</v>
      </c>
      <c r="L448" s="263">
        <f t="shared" si="200"/>
        <v>47172841.353424862</v>
      </c>
    </row>
    <row r="449" spans="1:12" ht="15.6" x14ac:dyDescent="0.35">
      <c r="A449" s="44"/>
      <c r="B449" s="63"/>
      <c r="C449" s="63"/>
      <c r="D449" s="63"/>
      <c r="E449" s="63"/>
      <c r="F449" s="259"/>
      <c r="G449" s="259"/>
      <c r="H449" s="259"/>
      <c r="I449" s="259"/>
      <c r="J449" s="259"/>
      <c r="K449" s="259"/>
      <c r="L449" s="259"/>
    </row>
    <row r="450" spans="1:12" ht="15.6" x14ac:dyDescent="0.35">
      <c r="A450" s="44"/>
      <c r="B450" s="217"/>
      <c r="C450" s="242"/>
      <c r="D450" s="243"/>
      <c r="E450" s="256"/>
      <c r="F450" s="300"/>
      <c r="G450" s="300"/>
      <c r="H450" s="248">
        <v>0</v>
      </c>
      <c r="I450" s="248">
        <v>0</v>
      </c>
      <c r="J450" s="248">
        <v>0</v>
      </c>
      <c r="K450" s="248">
        <v>0</v>
      </c>
      <c r="L450" s="248">
        <v>0</v>
      </c>
    </row>
    <row r="451" spans="1:12" ht="15.6" x14ac:dyDescent="0.35">
      <c r="A451" s="44"/>
      <c r="B451" s="226" t="s">
        <v>245</v>
      </c>
      <c r="C451" s="191"/>
      <c r="D451" s="191"/>
      <c r="E451" s="221"/>
      <c r="F451" s="263"/>
      <c r="G451" s="263"/>
      <c r="H451" s="263">
        <f>SUM(H450)</f>
        <v>0</v>
      </c>
      <c r="I451" s="263">
        <f t="shared" ref="I451:L451" si="201">SUM(I450)</f>
        <v>0</v>
      </c>
      <c r="J451" s="263">
        <f t="shared" si="201"/>
        <v>0</v>
      </c>
      <c r="K451" s="263">
        <f t="shared" si="201"/>
        <v>0</v>
      </c>
      <c r="L451" s="263">
        <f t="shared" si="201"/>
        <v>0</v>
      </c>
    </row>
    <row r="452" spans="1:12" ht="15.6" x14ac:dyDescent="0.35">
      <c r="A452" s="44"/>
      <c r="B452" s="61"/>
      <c r="C452" s="61"/>
      <c r="D452" s="61"/>
      <c r="E452" s="61"/>
      <c r="F452" s="75"/>
      <c r="G452" s="75"/>
      <c r="H452" s="124"/>
      <c r="I452" s="124"/>
      <c r="J452" s="124"/>
      <c r="K452" s="124"/>
      <c r="L452" s="124"/>
    </row>
    <row r="453" spans="1:12" ht="15.6" x14ac:dyDescent="0.35">
      <c r="A453" s="44"/>
      <c r="B453" s="217" t="s">
        <v>95</v>
      </c>
      <c r="C453" s="242"/>
      <c r="D453" s="242"/>
      <c r="E453" s="256"/>
      <c r="F453" s="262"/>
      <c r="G453" s="262"/>
      <c r="H453" s="262">
        <f>G61</f>
        <v>153400000</v>
      </c>
      <c r="I453" s="262">
        <f>H457</f>
        <v>139484311.15334117</v>
      </c>
      <c r="J453" s="262">
        <f t="shared" ref="J453:L453" si="202">I457</f>
        <v>121330999.80423221</v>
      </c>
      <c r="K453" s="262">
        <f t="shared" si="202"/>
        <v>99544419.919958234</v>
      </c>
      <c r="L453" s="262">
        <f t="shared" si="202"/>
        <v>74391381.092968792</v>
      </c>
    </row>
    <row r="454" spans="1:12" ht="15.6" x14ac:dyDescent="0.35">
      <c r="A454" s="44"/>
      <c r="B454" s="217" t="s">
        <v>15</v>
      </c>
      <c r="C454" s="242"/>
      <c r="D454" s="242"/>
      <c r="E454" s="256"/>
      <c r="F454" s="262"/>
      <c r="G454" s="262"/>
      <c r="H454" s="262">
        <f>H434</f>
        <v>18627012.392601311</v>
      </c>
      <c r="I454" s="262">
        <f>I434</f>
        <v>18057879.03267923</v>
      </c>
      <c r="J454" s="262">
        <f>J434</f>
        <v>18033776.000869043</v>
      </c>
      <c r="K454" s="262">
        <f>K434</f>
        <v>18300771.842489421</v>
      </c>
      <c r="L454" s="262">
        <f>L434</f>
        <v>18889534.996970613</v>
      </c>
    </row>
    <row r="455" spans="1:12" ht="15.6" x14ac:dyDescent="0.35">
      <c r="A455" s="44"/>
      <c r="B455" s="217" t="s">
        <v>14</v>
      </c>
      <c r="C455" s="242"/>
      <c r="D455" s="242"/>
      <c r="E455" s="256"/>
      <c r="F455" s="262"/>
      <c r="G455" s="262"/>
      <c r="H455" s="262">
        <f>-H448</f>
        <v>-32542701.23926013</v>
      </c>
      <c r="I455" s="262">
        <f>-I448</f>
        <v>-36211190.381788187</v>
      </c>
      <c r="J455" s="262">
        <f>-J448</f>
        <v>-39820355.885143012</v>
      </c>
      <c r="K455" s="262">
        <f>-K448</f>
        <v>-43453810.669478863</v>
      </c>
      <c r="L455" s="262">
        <f>-L448</f>
        <v>-47172841.353424862</v>
      </c>
    </row>
    <row r="456" spans="1:12" ht="15.6" x14ac:dyDescent="0.35">
      <c r="A456" s="44"/>
      <c r="B456" s="225" t="s">
        <v>260</v>
      </c>
      <c r="C456" s="63"/>
      <c r="D456" s="63"/>
      <c r="E456" s="314"/>
      <c r="F456" s="310"/>
      <c r="G456" s="310"/>
      <c r="H456" s="310">
        <f>-H451</f>
        <v>0</v>
      </c>
      <c r="I456" s="310">
        <f t="shared" ref="I456:L456" si="203">-I451</f>
        <v>0</v>
      </c>
      <c r="J456" s="310">
        <f t="shared" si="203"/>
        <v>0</v>
      </c>
      <c r="K456" s="310">
        <f t="shared" si="203"/>
        <v>0</v>
      </c>
      <c r="L456" s="310">
        <f t="shared" si="203"/>
        <v>0</v>
      </c>
    </row>
    <row r="457" spans="1:12" ht="15.6" x14ac:dyDescent="0.35">
      <c r="A457" s="44"/>
      <c r="B457" s="226" t="s">
        <v>252</v>
      </c>
      <c r="C457" s="191"/>
      <c r="D457" s="191"/>
      <c r="E457" s="221"/>
      <c r="F457" s="263"/>
      <c r="G457" s="263"/>
      <c r="H457" s="263">
        <f>SUM(H453:H456)</f>
        <v>139484311.15334117</v>
      </c>
      <c r="I457" s="263">
        <f t="shared" ref="I457:L457" si="204">SUM(I453:I456)</f>
        <v>121330999.80423221</v>
      </c>
      <c r="J457" s="263">
        <f t="shared" si="204"/>
        <v>99544419.919958234</v>
      </c>
      <c r="K457" s="263">
        <f t="shared" si="204"/>
        <v>74391381.092968792</v>
      </c>
      <c r="L457" s="263">
        <f t="shared" si="204"/>
        <v>46108074.736514539</v>
      </c>
    </row>
    <row r="458" spans="1:12" ht="15.6" x14ac:dyDescent="0.35">
      <c r="A458" s="44"/>
      <c r="B458" s="63"/>
      <c r="C458" s="63"/>
      <c r="D458" s="63"/>
      <c r="E458" s="63"/>
      <c r="F458" s="63"/>
      <c r="G458" s="83"/>
      <c r="H458" s="83"/>
      <c r="I458" s="83"/>
      <c r="J458" s="83"/>
      <c r="K458" s="83"/>
      <c r="L458" s="83"/>
    </row>
    <row r="459" spans="1:12" ht="15.6" x14ac:dyDescent="0.35">
      <c r="A459" s="44"/>
      <c r="B459" s="202" t="s">
        <v>254</v>
      </c>
      <c r="C459" s="203"/>
      <c r="D459" s="204"/>
      <c r="E459" s="204"/>
      <c r="F459" s="205"/>
      <c r="G459" s="205"/>
      <c r="H459" s="205"/>
      <c r="I459" s="205"/>
      <c r="J459" s="205"/>
      <c r="K459" s="205"/>
      <c r="L459" s="206"/>
    </row>
    <row r="460" spans="1:12" ht="15.6" x14ac:dyDescent="0.35">
      <c r="A460" s="44"/>
      <c r="B460" s="77"/>
      <c r="C460" s="63"/>
      <c r="D460" s="61"/>
      <c r="E460" s="61"/>
      <c r="F460" s="74"/>
      <c r="G460" s="74"/>
      <c r="H460" s="75"/>
      <c r="I460" s="75"/>
      <c r="J460" s="75"/>
      <c r="K460" s="75"/>
      <c r="L460" s="75"/>
    </row>
    <row r="461" spans="1:12" ht="15.6" x14ac:dyDescent="0.35">
      <c r="A461" s="44"/>
      <c r="B461" s="217" t="s">
        <v>255</v>
      </c>
      <c r="C461" s="242"/>
      <c r="D461" s="243"/>
      <c r="E461" s="244"/>
      <c r="F461" s="247">
        <v>98500000</v>
      </c>
      <c r="G461" s="247">
        <v>83000000</v>
      </c>
      <c r="H461" s="262">
        <f>H462*(H208+H216)</f>
        <v>77994694.314810961</v>
      </c>
      <c r="I461" s="262">
        <f>I462*(I208+I216)</f>
        <v>75611629.253388897</v>
      </c>
      <c r="J461" s="262">
        <f>J462*(J208+J216)</f>
        <v>75510705.468163818</v>
      </c>
      <c r="K461" s="262">
        <f>K462*(K208+K216)</f>
        <v>76628665.69772692</v>
      </c>
      <c r="L461" s="262">
        <f>L462*(L208+L216)</f>
        <v>79093924.285079554</v>
      </c>
    </row>
    <row r="462" spans="1:12" ht="15.6" x14ac:dyDescent="0.35">
      <c r="A462" s="44"/>
      <c r="B462" s="217" t="s">
        <v>98</v>
      </c>
      <c r="C462" s="242"/>
      <c r="D462" s="243"/>
      <c r="E462" s="244"/>
      <c r="F462" s="308">
        <f>F461/F10</f>
        <v>3.3897721797783741E-2</v>
      </c>
      <c r="G462" s="308">
        <f>G461/G10</f>
        <v>3.3497457421906532E-2</v>
      </c>
      <c r="H462" s="239">
        <v>3.3497457421906532E-2</v>
      </c>
      <c r="I462" s="239">
        <v>3.3497457421906532E-2</v>
      </c>
      <c r="J462" s="239">
        <v>3.3497457421906532E-2</v>
      </c>
      <c r="K462" s="239">
        <v>3.3497457421906532E-2</v>
      </c>
      <c r="L462" s="239">
        <v>3.3497457421906532E-2</v>
      </c>
    </row>
    <row r="463" spans="1:12" ht="15.6" x14ac:dyDescent="0.35">
      <c r="A463" s="44"/>
      <c r="B463" s="61"/>
      <c r="C463" s="61"/>
      <c r="D463" s="61"/>
      <c r="E463" s="63"/>
      <c r="F463" s="63"/>
      <c r="G463" s="117"/>
      <c r="H463" s="82"/>
      <c r="I463" s="82"/>
      <c r="J463" s="82"/>
      <c r="K463" s="82"/>
      <c r="L463" s="82"/>
    </row>
    <row r="464" spans="1:12" ht="15.6" x14ac:dyDescent="0.35">
      <c r="A464" s="44"/>
      <c r="B464" s="217" t="s">
        <v>96</v>
      </c>
      <c r="C464" s="243"/>
      <c r="D464" s="243"/>
      <c r="E464" s="242"/>
      <c r="F464" s="256"/>
      <c r="G464" s="305">
        <v>5</v>
      </c>
      <c r="H464" s="98"/>
      <c r="I464" s="98"/>
      <c r="J464" s="98"/>
      <c r="K464" s="98"/>
      <c r="L464" s="98"/>
    </row>
    <row r="465" spans="1:12" ht="15.6" x14ac:dyDescent="0.35">
      <c r="A465" s="44"/>
      <c r="B465" s="217" t="s">
        <v>78</v>
      </c>
      <c r="C465" s="242"/>
      <c r="D465" s="242"/>
      <c r="E465" s="242"/>
      <c r="F465" s="256"/>
      <c r="G465" s="306" t="s">
        <v>79</v>
      </c>
      <c r="H465" s="83"/>
      <c r="I465" s="83"/>
      <c r="J465" s="83"/>
      <c r="K465" s="83"/>
      <c r="L465" s="83"/>
    </row>
    <row r="466" spans="1:12" ht="15.6" x14ac:dyDescent="0.35">
      <c r="A466" s="44"/>
      <c r="B466" s="61"/>
      <c r="C466" s="61"/>
      <c r="D466" s="61"/>
      <c r="E466" s="61"/>
      <c r="F466" s="75"/>
      <c r="G466" s="75"/>
      <c r="H466" s="75"/>
      <c r="I466" s="75"/>
      <c r="J466" s="75"/>
      <c r="K466" s="75"/>
      <c r="L466" s="75"/>
    </row>
    <row r="467" spans="1:12" ht="15.6" x14ac:dyDescent="0.35">
      <c r="A467" s="44"/>
      <c r="B467" s="207" cm="1">
        <f t="array" ref="B467:B471">TRANSPOSE(H429:L429)</f>
        <v>2026</v>
      </c>
      <c r="C467" s="262" cm="1">
        <f t="array" ref="C467:C471">TRANSPOSE(H461:L461)</f>
        <v>77994694.314810961</v>
      </c>
      <c r="D467" s="61"/>
      <c r="E467" s="61"/>
      <c r="F467" s="75"/>
      <c r="G467" s="75"/>
      <c r="H467" s="262">
        <f>MIN(IF($B467=H$429, 0.5*$C467/$G$464, $C467/$G$437), ($C467-SUM($G467:G467)))</f>
        <v>7799469.431481096</v>
      </c>
      <c r="I467" s="262">
        <f>MIN(IF($B467=I$429, 0.5*$C467/$G$464, $C467/$G$464), ($C467-SUM($G467:H467)))</f>
        <v>15598938.862962192</v>
      </c>
      <c r="J467" s="262">
        <f>MIN(IF($B467=J$429, 0.5*$C467/$G$464, $C467/$G$464), ($C467-SUM($G467:I467)))</f>
        <v>15598938.862962192</v>
      </c>
      <c r="K467" s="262">
        <f>MIN(IF($B467=K$429, 0.5*$C467/$G$464, $C467/$G$464), ($C467-SUM($G467:J467)))</f>
        <v>15598938.862962192</v>
      </c>
      <c r="L467" s="262">
        <f>MIN(IF($B467=L$429, 0.5*$C467/$G$464, $C467/$G$464), ($C467-SUM($G467:K467)))</f>
        <v>15598938.862962192</v>
      </c>
    </row>
    <row r="468" spans="1:12" ht="15.6" x14ac:dyDescent="0.35">
      <c r="A468" s="44"/>
      <c r="B468" s="207">
        <v>2027</v>
      </c>
      <c r="C468" s="262">
        <v>75611629.253388897</v>
      </c>
      <c r="D468" s="61"/>
      <c r="E468" s="61"/>
      <c r="F468" s="75"/>
      <c r="G468" s="75"/>
      <c r="H468" s="299"/>
      <c r="I468" s="262">
        <f>MIN(IF($B468=I$429, 0.5*$C468/$G$464, $C468/$G$464), ($C468-SUM($G468:H468)))</f>
        <v>7561162.9253388895</v>
      </c>
      <c r="J468" s="262">
        <f>MIN(IF($B468=J$429, 0.5*$C468/$G$464, $C468/$G$464), ($C468-SUM($G468:I468)))</f>
        <v>15122325.850677779</v>
      </c>
      <c r="K468" s="262">
        <f>MIN(IF($B468=K$429, 0.5*$C468/$G$464, $C468/$G$464), ($C468-SUM($G468:J468)))</f>
        <v>15122325.850677779</v>
      </c>
      <c r="L468" s="262">
        <f>MIN(IF($B468=L$429, 0.5*$C468/$G$464, $C468/$G$464), ($C468-SUM($G468:K468)))</f>
        <v>15122325.850677779</v>
      </c>
    </row>
    <row r="469" spans="1:12" ht="15.6" x14ac:dyDescent="0.35">
      <c r="A469" s="44"/>
      <c r="B469" s="207">
        <v>2028</v>
      </c>
      <c r="C469" s="262">
        <v>75510705.468163818</v>
      </c>
      <c r="D469" s="61"/>
      <c r="E469" s="61"/>
      <c r="F469" s="75"/>
      <c r="G469" s="75"/>
      <c r="H469" s="299"/>
      <c r="I469" s="299"/>
      <c r="J469" s="262">
        <f>MIN(IF($B469=J$429, 0.5*$C469/$G$464, $C469/$G$464), ($C469-SUM($G469:I469)))</f>
        <v>7551070.5468163816</v>
      </c>
      <c r="K469" s="262">
        <f>MIN(IF($B469=K$429, 0.5*$C469/$G$464, $C469/$G$464), ($C469-SUM($G469:J469)))</f>
        <v>15102141.093632763</v>
      </c>
      <c r="L469" s="262">
        <f>MIN(IF($B469=L$429, 0.5*$C469/$G$464, $C469/$G$464), ($C469-SUM($G469:K469)))</f>
        <v>15102141.093632763</v>
      </c>
    </row>
    <row r="470" spans="1:12" ht="15.6" x14ac:dyDescent="0.35">
      <c r="A470" s="44"/>
      <c r="B470" s="207">
        <v>2029</v>
      </c>
      <c r="C470" s="262">
        <v>76628665.69772692</v>
      </c>
      <c r="D470" s="61"/>
      <c r="E470" s="61"/>
      <c r="F470" s="74"/>
      <c r="G470" s="74"/>
      <c r="H470" s="299"/>
      <c r="I470" s="299"/>
      <c r="J470" s="299"/>
      <c r="K470" s="262">
        <f>MIN(IF($B470=K$429, 0.5*$C470/$G$464, $C470/$G$464), ($C470-SUM($G470:J470)))</f>
        <v>7662866.5697726924</v>
      </c>
      <c r="L470" s="262">
        <f>MIN(IF($B470=L$429, 0.5*$C470/$G$464, $C470/$G$464), ($C470-SUM($G470:K470)))</f>
        <v>15325733.139545385</v>
      </c>
    </row>
    <row r="471" spans="1:12" ht="15.6" x14ac:dyDescent="0.35">
      <c r="A471" s="44"/>
      <c r="B471" s="207">
        <v>2030</v>
      </c>
      <c r="C471" s="262">
        <v>79093924.285079554</v>
      </c>
      <c r="D471" s="61"/>
      <c r="E471" s="61"/>
      <c r="F471" s="74"/>
      <c r="G471" s="74"/>
      <c r="H471" s="299"/>
      <c r="I471" s="299"/>
      <c r="J471" s="299"/>
      <c r="K471" s="299"/>
      <c r="L471" s="262">
        <f>MIN(IF($B471=L$429, 0.5*$C471/$G$464, $C471/$G$437), ($C471-SUM($G471:K471)))</f>
        <v>7909392.4285079557</v>
      </c>
    </row>
    <row r="472" spans="1:12" ht="15.6" x14ac:dyDescent="0.35">
      <c r="A472" s="44"/>
      <c r="B472" s="61"/>
      <c r="C472" s="309"/>
      <c r="D472" s="61"/>
      <c r="E472" s="61"/>
      <c r="F472" s="74"/>
      <c r="G472" s="74"/>
      <c r="H472" s="298"/>
      <c r="I472" s="298"/>
      <c r="J472" s="298"/>
      <c r="K472" s="298"/>
      <c r="L472" s="298"/>
    </row>
    <row r="473" spans="1:12" ht="15.6" x14ac:dyDescent="0.35">
      <c r="A473" s="44"/>
      <c r="B473" s="217" t="s">
        <v>99</v>
      </c>
      <c r="C473" s="242"/>
      <c r="D473" s="243"/>
      <c r="E473" s="256"/>
      <c r="F473" s="300"/>
      <c r="G473" s="300"/>
      <c r="H473" s="262">
        <f t="shared" ref="H473:K473" si="205">SUM(H467:H471)</f>
        <v>7799469.431481096</v>
      </c>
      <c r="I473" s="262">
        <f t="shared" si="205"/>
        <v>23160101.78830108</v>
      </c>
      <c r="J473" s="262">
        <f t="shared" si="205"/>
        <v>38272335.260456353</v>
      </c>
      <c r="K473" s="262">
        <f t="shared" si="205"/>
        <v>53486272.377045423</v>
      </c>
      <c r="L473" s="262">
        <f>SUM(L467:L471)</f>
        <v>69058531.375326067</v>
      </c>
    </row>
    <row r="474" spans="1:12" ht="15.6" x14ac:dyDescent="0.35">
      <c r="A474" s="44"/>
      <c r="B474" s="217" t="s">
        <v>100</v>
      </c>
      <c r="C474" s="243"/>
      <c r="D474" s="243"/>
      <c r="E474" s="256"/>
      <c r="F474" s="300"/>
      <c r="G474" s="300"/>
      <c r="H474" s="262">
        <f>MIN($H$479/$G$464, ($H$479 - SUM($G$474:G474)))</f>
        <v>87620000</v>
      </c>
      <c r="I474" s="262">
        <f>MIN($H$479/$G$464, ($H$479 - SUM($G$474:H474)))</f>
        <v>87620000</v>
      </c>
      <c r="J474" s="262">
        <f>MIN($H$479/$G$464, ($H$479 - SUM($G$474:I474)))</f>
        <v>87620000</v>
      </c>
      <c r="K474" s="262">
        <f>MIN($H$479/$G$464, ($H$479 - SUM($G$474:J474)))</f>
        <v>87620000</v>
      </c>
      <c r="L474" s="262">
        <f>MIN($H$479/$G$464, ($H$479 - SUM($G$474:K474)))</f>
        <v>87620000</v>
      </c>
    </row>
    <row r="475" spans="1:12" ht="15.6" x14ac:dyDescent="0.35">
      <c r="A475" s="44"/>
      <c r="B475" s="226" t="s">
        <v>116</v>
      </c>
      <c r="C475" s="191"/>
      <c r="D475" s="191"/>
      <c r="E475" s="221"/>
      <c r="F475" s="263"/>
      <c r="G475" s="263"/>
      <c r="H475" s="263">
        <f>SUM(H473:H474)</f>
        <v>95419469.431481093</v>
      </c>
      <c r="I475" s="263">
        <f t="shared" ref="I475:L475" si="206">SUM(I473:I474)</f>
        <v>110780101.78830108</v>
      </c>
      <c r="J475" s="263">
        <f t="shared" si="206"/>
        <v>125892335.26045635</v>
      </c>
      <c r="K475" s="263">
        <f t="shared" si="206"/>
        <v>141106272.37704542</v>
      </c>
      <c r="L475" s="263">
        <f t="shared" si="206"/>
        <v>156678531.37532607</v>
      </c>
    </row>
    <row r="476" spans="1:12" ht="15.6" x14ac:dyDescent="0.35">
      <c r="A476" s="44"/>
      <c r="B476" s="63"/>
      <c r="C476" s="63"/>
      <c r="D476" s="63"/>
      <c r="E476" s="63"/>
      <c r="F476" s="117"/>
      <c r="G476" s="117"/>
      <c r="H476" s="83"/>
      <c r="I476" s="83"/>
      <c r="J476" s="83"/>
      <c r="K476" s="83"/>
      <c r="L476" s="83"/>
    </row>
    <row r="477" spans="1:12" ht="15.6" x14ac:dyDescent="0.35">
      <c r="A477" s="44"/>
      <c r="B477" s="217" t="s">
        <v>181</v>
      </c>
      <c r="C477" s="242"/>
      <c r="D477" s="242"/>
      <c r="E477" s="256"/>
      <c r="F477" s="256"/>
      <c r="G477" s="312"/>
      <c r="H477" s="311">
        <f>G62</f>
        <v>473600000</v>
      </c>
      <c r="I477" s="262">
        <f>H487</f>
        <v>456175224.88332987</v>
      </c>
      <c r="J477" s="262">
        <f t="shared" ref="J477:L477" si="207">I487</f>
        <v>421006752.34841764</v>
      </c>
      <c r="K477" s="262">
        <f t="shared" si="207"/>
        <v>370625122.55612516</v>
      </c>
      <c r="L477" s="262">
        <f t="shared" si="207"/>
        <v>306147515.87680662</v>
      </c>
    </row>
    <row r="478" spans="1:12" ht="15.6" x14ac:dyDescent="0.35">
      <c r="A478" s="44"/>
      <c r="B478" s="225" t="s">
        <v>179</v>
      </c>
      <c r="C478" s="63"/>
      <c r="D478" s="63"/>
      <c r="E478" s="314"/>
      <c r="F478" s="256"/>
      <c r="G478" s="312"/>
      <c r="H478" s="311">
        <v>35500000</v>
      </c>
      <c r="I478" s="311">
        <f>H478</f>
        <v>35500000</v>
      </c>
      <c r="J478" s="311">
        <f t="shared" ref="J478:L478" si="208">I478</f>
        <v>35500000</v>
      </c>
      <c r="K478" s="311">
        <f t="shared" si="208"/>
        <v>35500000</v>
      </c>
      <c r="L478" s="311">
        <f t="shared" si="208"/>
        <v>35500000</v>
      </c>
    </row>
    <row r="479" spans="1:12" ht="15.6" x14ac:dyDescent="0.35">
      <c r="A479" s="44"/>
      <c r="B479" s="218" t="s">
        <v>180</v>
      </c>
      <c r="C479" s="230"/>
      <c r="D479" s="230"/>
      <c r="E479" s="231"/>
      <c r="F479" s="313"/>
      <c r="G479" s="315"/>
      <c r="H479" s="233">
        <f>H477-H478</f>
        <v>438100000</v>
      </c>
      <c r="I479" s="233">
        <f t="shared" ref="I479:L479" si="209">I477-I478</f>
        <v>420675224.88332987</v>
      </c>
      <c r="J479" s="233">
        <f t="shared" si="209"/>
        <v>385506752.34841764</v>
      </c>
      <c r="K479" s="233">
        <f t="shared" si="209"/>
        <v>335125122.55612516</v>
      </c>
      <c r="L479" s="233">
        <f t="shared" si="209"/>
        <v>270647515.87680662</v>
      </c>
    </row>
    <row r="480" spans="1:12" ht="15.6" x14ac:dyDescent="0.35">
      <c r="A480" s="44"/>
      <c r="B480" s="63"/>
      <c r="C480" s="63"/>
      <c r="D480" s="63"/>
      <c r="E480" s="63"/>
      <c r="F480" s="259"/>
      <c r="G480" s="259"/>
      <c r="H480" s="259"/>
      <c r="I480" s="259"/>
      <c r="J480" s="259"/>
      <c r="K480" s="259"/>
      <c r="L480" s="259"/>
    </row>
    <row r="481" spans="1:12" ht="15.6" x14ac:dyDescent="0.35">
      <c r="A481" s="44"/>
      <c r="B481" s="217" t="s">
        <v>23</v>
      </c>
      <c r="C481" s="242"/>
      <c r="D481" s="242"/>
      <c r="E481" s="256"/>
      <c r="F481" s="256"/>
      <c r="G481" s="312"/>
      <c r="H481" s="311">
        <f>H461</f>
        <v>77994694.314810961</v>
      </c>
      <c r="I481" s="262">
        <f t="shared" ref="I481:L481" si="210">I461</f>
        <v>75611629.253388897</v>
      </c>
      <c r="J481" s="262">
        <f t="shared" si="210"/>
        <v>75510705.468163818</v>
      </c>
      <c r="K481" s="262">
        <f t="shared" si="210"/>
        <v>76628665.69772692</v>
      </c>
      <c r="L481" s="262">
        <f t="shared" si="210"/>
        <v>79093924.285079554</v>
      </c>
    </row>
    <row r="482" spans="1:12" ht="15.6" x14ac:dyDescent="0.35">
      <c r="A482" s="44"/>
      <c r="B482" s="225" t="s">
        <v>22</v>
      </c>
      <c r="C482" s="63"/>
      <c r="D482" s="63"/>
      <c r="E482" s="314"/>
      <c r="F482" s="256"/>
      <c r="G482" s="312"/>
      <c r="H482" s="311">
        <f>-H475</f>
        <v>-95419469.431481093</v>
      </c>
      <c r="I482" s="311">
        <f>-I475</f>
        <v>-110780101.78830108</v>
      </c>
      <c r="J482" s="311">
        <f>-J475</f>
        <v>-125892335.26045635</v>
      </c>
      <c r="K482" s="311">
        <f>-K475</f>
        <v>-141106272.37704542</v>
      </c>
      <c r="L482" s="311">
        <f>-L475</f>
        <v>-156678531.37532607</v>
      </c>
    </row>
    <row r="483" spans="1:12" ht="15.6" x14ac:dyDescent="0.35">
      <c r="A483" s="44"/>
      <c r="B483" s="316" t="s">
        <v>182</v>
      </c>
      <c r="C483" s="317"/>
      <c r="D483" s="317"/>
      <c r="E483" s="318"/>
      <c r="F483" s="313"/>
      <c r="G483" s="315"/>
      <c r="H483" s="263">
        <f>SUM(H479:H482)</f>
        <v>420675224.88332987</v>
      </c>
      <c r="I483" s="263">
        <f t="shared" ref="I483:L483" si="211">SUM(I479:I482)</f>
        <v>385506752.34841764</v>
      </c>
      <c r="J483" s="263">
        <f t="shared" si="211"/>
        <v>335125122.55612516</v>
      </c>
      <c r="K483" s="263">
        <f t="shared" si="211"/>
        <v>270647515.87680662</v>
      </c>
      <c r="L483" s="263">
        <f t="shared" si="211"/>
        <v>193062908.78656009</v>
      </c>
    </row>
    <row r="484" spans="1:12" ht="15.6" x14ac:dyDescent="0.35">
      <c r="A484" s="44"/>
      <c r="B484" s="234"/>
      <c r="C484" s="234"/>
      <c r="D484" s="234"/>
      <c r="E484" s="234"/>
      <c r="F484" s="270"/>
      <c r="G484" s="270"/>
      <c r="H484" s="270"/>
      <c r="I484" s="270"/>
      <c r="J484" s="270"/>
      <c r="K484" s="270"/>
      <c r="L484" s="270"/>
    </row>
    <row r="485" spans="1:12" ht="15.6" x14ac:dyDescent="0.35">
      <c r="A485" s="44"/>
      <c r="B485" s="217" t="s">
        <v>246</v>
      </c>
      <c r="C485" s="242"/>
      <c r="D485" s="242"/>
      <c r="E485" s="256"/>
      <c r="F485" s="256"/>
      <c r="G485" s="312"/>
      <c r="H485" s="341">
        <v>0</v>
      </c>
      <c r="I485" s="341">
        <v>0</v>
      </c>
      <c r="J485" s="341">
        <v>0</v>
      </c>
      <c r="K485" s="341">
        <v>0</v>
      </c>
      <c r="L485" s="341">
        <v>0</v>
      </c>
    </row>
    <row r="486" spans="1:12" ht="15.6" x14ac:dyDescent="0.35">
      <c r="A486" s="44"/>
      <c r="B486" s="217" t="s">
        <v>179</v>
      </c>
      <c r="C486" s="242"/>
      <c r="D486" s="242"/>
      <c r="E486" s="256"/>
      <c r="F486" s="256"/>
      <c r="G486" s="312"/>
      <c r="H486" s="311">
        <f>H478</f>
        <v>35500000</v>
      </c>
      <c r="I486" s="311">
        <f>H486-I485</f>
        <v>35500000</v>
      </c>
      <c r="J486" s="311">
        <f t="shared" ref="J486:L486" si="212">I486-J485</f>
        <v>35500000</v>
      </c>
      <c r="K486" s="311">
        <f t="shared" si="212"/>
        <v>35500000</v>
      </c>
      <c r="L486" s="311">
        <f t="shared" si="212"/>
        <v>35500000</v>
      </c>
    </row>
    <row r="487" spans="1:12" ht="15.6" x14ac:dyDescent="0.35">
      <c r="A487" s="44"/>
      <c r="B487" s="316" t="s">
        <v>256</v>
      </c>
      <c r="C487" s="317"/>
      <c r="D487" s="317"/>
      <c r="E487" s="318"/>
      <c r="F487" s="313"/>
      <c r="G487" s="315"/>
      <c r="H487" s="263">
        <f>H483+H486</f>
        <v>456175224.88332987</v>
      </c>
      <c r="I487" s="263">
        <f t="shared" ref="I487:L487" si="213">I483+I486</f>
        <v>421006752.34841764</v>
      </c>
      <c r="J487" s="263">
        <f t="shared" si="213"/>
        <v>370625122.55612516</v>
      </c>
      <c r="K487" s="263">
        <f t="shared" si="213"/>
        <v>306147515.87680662</v>
      </c>
      <c r="L487" s="263">
        <f t="shared" si="213"/>
        <v>228562908.78656009</v>
      </c>
    </row>
    <row r="488" spans="1:12" ht="15.6" x14ac:dyDescent="0.35">
      <c r="A488" s="44"/>
      <c r="B488" s="44"/>
      <c r="C488" s="44"/>
      <c r="D488" s="44"/>
      <c r="E488" s="44"/>
      <c r="F488" s="90"/>
      <c r="G488" s="90"/>
      <c r="H488" s="90"/>
      <c r="I488" s="90"/>
      <c r="J488" s="90"/>
      <c r="K488" s="90"/>
      <c r="L488" s="90"/>
    </row>
    <row r="489" spans="1:12" ht="15.6" x14ac:dyDescent="0.35">
      <c r="A489" s="44"/>
      <c r="B489" s="44"/>
      <c r="C489" s="44"/>
      <c r="D489" s="44"/>
      <c r="E489" s="44"/>
      <c r="F489" s="90"/>
      <c r="G489" s="90"/>
      <c r="H489" s="90"/>
      <c r="I489" s="90"/>
      <c r="J489" s="90"/>
      <c r="K489" s="90"/>
      <c r="L489" s="90"/>
    </row>
    <row r="490" spans="1:12" ht="28.8" x14ac:dyDescent="0.65">
      <c r="A490" s="44"/>
      <c r="B490" s="45" t="str">
        <f>Cover!$B$2</f>
        <v>ASOS PLC</v>
      </c>
      <c r="C490" s="45"/>
      <c r="D490" s="46"/>
      <c r="E490" s="47"/>
      <c r="F490" s="47"/>
      <c r="G490" s="47"/>
      <c r="H490" s="47"/>
      <c r="I490" s="47"/>
      <c r="J490" s="47"/>
      <c r="K490" s="47"/>
      <c r="L490" s="47"/>
    </row>
    <row r="491" spans="1:12" ht="21" x14ac:dyDescent="0.5">
      <c r="A491" s="44"/>
      <c r="B491" s="48" t="s">
        <v>118</v>
      </c>
      <c r="C491" s="49"/>
      <c r="D491" s="47"/>
      <c r="E491" s="47"/>
      <c r="F491" s="47"/>
      <c r="G491" s="47"/>
      <c r="H491" s="47"/>
      <c r="I491" s="47"/>
      <c r="J491" s="47"/>
      <c r="K491" s="47"/>
      <c r="L491" s="164" t="str">
        <f>"Currently Running: "&amp;CHOOSE(Assumptions!$B$10,Assumptions!$F$15,Assumptions!$F$16,Assumptions!$F$17)&amp;"Scenario"</f>
        <v>Currently Running: Base Scenario</v>
      </c>
    </row>
    <row r="492" spans="1:12" ht="15.6" x14ac:dyDescent="0.35">
      <c r="A492" s="44"/>
      <c r="B492" s="50"/>
      <c r="C492" s="50"/>
      <c r="D492" s="50"/>
      <c r="E492" s="50"/>
      <c r="F492" s="50"/>
      <c r="G492" s="50"/>
      <c r="H492" s="50"/>
      <c r="I492" s="50"/>
      <c r="J492" s="50"/>
      <c r="K492" s="51"/>
      <c r="L492" s="51"/>
    </row>
    <row r="493" spans="1:12" ht="15.6" x14ac:dyDescent="0.35">
      <c r="A493" s="44"/>
      <c r="B493" s="51"/>
      <c r="C493" s="51"/>
      <c r="D493" s="51"/>
      <c r="E493" s="51"/>
      <c r="F493" s="249" t="s">
        <v>374</v>
      </c>
      <c r="G493" s="52"/>
      <c r="H493" s="52"/>
      <c r="I493" s="52"/>
      <c r="J493" s="52"/>
      <c r="K493" s="52"/>
      <c r="L493" s="52"/>
    </row>
    <row r="494" spans="1:12" ht="15.6" x14ac:dyDescent="0.35">
      <c r="A494" s="44"/>
      <c r="B494" s="51"/>
      <c r="C494" s="51"/>
      <c r="D494" s="51"/>
      <c r="E494" s="51"/>
      <c r="F494" s="53">
        <f>$F$7</f>
        <v>2024</v>
      </c>
      <c r="G494" s="53">
        <f>F494+1</f>
        <v>2025</v>
      </c>
      <c r="H494" s="54">
        <f>G494+1</f>
        <v>2026</v>
      </c>
      <c r="I494" s="54">
        <f t="shared" ref="I494" si="214">H494+1</f>
        <v>2027</v>
      </c>
      <c r="J494" s="54">
        <f t="shared" ref="J494" si="215">I494+1</f>
        <v>2028</v>
      </c>
      <c r="K494" s="54">
        <f t="shared" ref="K494" si="216">J494+1</f>
        <v>2029</v>
      </c>
      <c r="L494" s="54">
        <f t="shared" ref="L494" si="217">K494+1</f>
        <v>2030</v>
      </c>
    </row>
    <row r="495" spans="1:12" ht="16.2" thickBot="1" x14ac:dyDescent="0.4">
      <c r="A495" s="44"/>
      <c r="B495" s="55" t="s">
        <v>191</v>
      </c>
      <c r="C495" s="55"/>
      <c r="D495" s="55"/>
      <c r="E495" s="55"/>
      <c r="F495" s="56" t="s">
        <v>50</v>
      </c>
      <c r="G495" s="56"/>
      <c r="H495" s="57"/>
      <c r="I495" s="57"/>
      <c r="J495" s="57"/>
      <c r="K495" s="57"/>
      <c r="L495" s="57" t="s">
        <v>37</v>
      </c>
    </row>
    <row r="496" spans="1:12" ht="15.6" x14ac:dyDescent="0.35">
      <c r="A496" s="44"/>
      <c r="B496" s="51"/>
      <c r="C496" s="51"/>
      <c r="D496" s="51"/>
      <c r="E496" s="51"/>
      <c r="F496" s="72"/>
      <c r="G496" s="72"/>
      <c r="H496" s="73"/>
      <c r="I496" s="73"/>
      <c r="J496" s="73"/>
      <c r="K496" s="73"/>
      <c r="L496" s="73"/>
    </row>
    <row r="497" spans="1:12" ht="15.6" x14ac:dyDescent="0.35">
      <c r="A497" s="44"/>
      <c r="B497" s="202" t="s">
        <v>262</v>
      </c>
      <c r="C497" s="203"/>
      <c r="D497" s="204"/>
      <c r="E497" s="204"/>
      <c r="F497" s="205"/>
      <c r="G497" s="205"/>
      <c r="H497" s="205"/>
      <c r="I497" s="205"/>
      <c r="J497" s="205"/>
      <c r="K497" s="205"/>
      <c r="L497" s="206"/>
    </row>
    <row r="498" spans="1:12" ht="15.6" x14ac:dyDescent="0.35">
      <c r="A498" s="44"/>
      <c r="B498" s="51"/>
      <c r="C498" s="51"/>
      <c r="D498" s="51"/>
      <c r="E498" s="51"/>
      <c r="F498" s="72"/>
      <c r="G498" s="72"/>
      <c r="H498" s="73"/>
      <c r="I498" s="73"/>
      <c r="J498" s="73"/>
      <c r="K498" s="73"/>
      <c r="L498" s="73"/>
    </row>
    <row r="499" spans="1:12" ht="15.6" x14ac:dyDescent="0.35">
      <c r="A499" s="44"/>
      <c r="B499" s="416" t="s">
        <v>364</v>
      </c>
      <c r="C499" s="417"/>
      <c r="D499" s="417"/>
      <c r="E499" s="418"/>
      <c r="F499" s="454"/>
      <c r="G499" s="454"/>
      <c r="H499" s="311">
        <f>G55</f>
        <v>318900000</v>
      </c>
      <c r="I499" s="311">
        <f>H55</f>
        <v>76877049.146530271</v>
      </c>
      <c r="J499" s="311">
        <f>I55</f>
        <v>30000000</v>
      </c>
      <c r="K499" s="311">
        <f>J55</f>
        <v>30000000</v>
      </c>
      <c r="L499" s="311">
        <f>K55</f>
        <v>30000000</v>
      </c>
    </row>
    <row r="500" spans="1:12" ht="15.6" x14ac:dyDescent="0.35">
      <c r="A500" s="44"/>
      <c r="B500" s="416" t="s">
        <v>365</v>
      </c>
      <c r="C500" s="417"/>
      <c r="D500" s="417"/>
      <c r="E500" s="418"/>
      <c r="F500" s="454"/>
      <c r="G500" s="454"/>
      <c r="H500" s="311">
        <f>H123+H130+SUM(H136:H138)</f>
        <v>-158122950.85346973</v>
      </c>
      <c r="I500" s="311">
        <f>I123+I130+SUM(I136:I138)</f>
        <v>-178379389.61017382</v>
      </c>
      <c r="J500" s="311">
        <f>J123+J130+SUM(J136:J138)</f>
        <v>-174729036.1821847</v>
      </c>
      <c r="K500" s="311">
        <f>K123+K130+SUM(K136:K138)</f>
        <v>-178617501.95890442</v>
      </c>
      <c r="L500" s="311">
        <f>L123+L130+SUM(L136:L138)</f>
        <v>-177640971.51747164</v>
      </c>
    </row>
    <row r="501" spans="1:12" ht="15.6" x14ac:dyDescent="0.35">
      <c r="A501" s="44"/>
      <c r="B501" s="416" t="s">
        <v>363</v>
      </c>
      <c r="C501" s="417"/>
      <c r="D501" s="417"/>
      <c r="E501" s="418"/>
      <c r="F501" s="454"/>
      <c r="G501" s="454"/>
      <c r="H501" s="311">
        <f>SUM(H571:H574)</f>
        <v>-80100000</v>
      </c>
      <c r="I501" s="311">
        <f t="shared" ref="I501:L501" si="218">SUM(I571:I574)</f>
        <v>0</v>
      </c>
      <c r="J501" s="311">
        <f t="shared" si="218"/>
        <v>0</v>
      </c>
      <c r="K501" s="311">
        <f>SUM(K571:K574)</f>
        <v>-269700000</v>
      </c>
      <c r="L501" s="311">
        <f t="shared" si="218"/>
        <v>0</v>
      </c>
    </row>
    <row r="502" spans="1:12" ht="15.6" x14ac:dyDescent="0.35">
      <c r="A502" s="44"/>
      <c r="B502" s="316" t="s">
        <v>366</v>
      </c>
      <c r="C502" s="317"/>
      <c r="D502" s="317"/>
      <c r="E502" s="318"/>
      <c r="F502" s="313"/>
      <c r="G502" s="315"/>
      <c r="H502" s="263">
        <f>SUM(H499:H501)</f>
        <v>80677049.146530271</v>
      </c>
      <c r="I502" s="263">
        <f t="shared" ref="I502:L502" si="219">SUM(I499:I501)</f>
        <v>-101502340.46364355</v>
      </c>
      <c r="J502" s="263">
        <f t="shared" si="219"/>
        <v>-144729036.1821847</v>
      </c>
      <c r="K502" s="263">
        <f t="shared" si="219"/>
        <v>-418317501.95890439</v>
      </c>
      <c r="L502" s="263">
        <f t="shared" si="219"/>
        <v>-147640971.51747164</v>
      </c>
    </row>
    <row r="503" spans="1:12" ht="15.6" x14ac:dyDescent="0.35">
      <c r="A503" s="44"/>
      <c r="B503" s="51"/>
      <c r="C503" s="51"/>
      <c r="D503" s="51"/>
      <c r="E503" s="51"/>
      <c r="F503" s="72"/>
      <c r="G503" s="72"/>
      <c r="H503" s="73"/>
      <c r="I503" s="73"/>
      <c r="J503" s="73"/>
      <c r="K503" s="73"/>
      <c r="L503" s="73"/>
    </row>
    <row r="504" spans="1:12" ht="15.6" x14ac:dyDescent="0.35">
      <c r="A504" s="44"/>
      <c r="B504" s="416" t="s">
        <v>343</v>
      </c>
      <c r="C504" s="417"/>
      <c r="D504" s="417"/>
      <c r="E504" s="418"/>
      <c r="F504" s="454"/>
      <c r="G504" s="454"/>
      <c r="H504" s="341">
        <v>30000000</v>
      </c>
      <c r="I504" s="341">
        <v>30000000</v>
      </c>
      <c r="J504" s="341">
        <v>30000000</v>
      </c>
      <c r="K504" s="341">
        <v>30000000</v>
      </c>
      <c r="L504" s="341">
        <v>30000000</v>
      </c>
    </row>
    <row r="505" spans="1:12" ht="15.6" x14ac:dyDescent="0.35">
      <c r="A505" s="44"/>
      <c r="B505" s="316" t="s">
        <v>367</v>
      </c>
      <c r="C505" s="317"/>
      <c r="D505" s="317"/>
      <c r="E505" s="318"/>
      <c r="F505" s="313"/>
      <c r="G505" s="315"/>
      <c r="H505" s="263">
        <f>H502-H504</f>
        <v>50677049.146530271</v>
      </c>
      <c r="I505" s="263">
        <f t="shared" ref="I505:L505" si="220">I502-I504</f>
        <v>-131502340.46364355</v>
      </c>
      <c r="J505" s="263">
        <f t="shared" si="220"/>
        <v>-174729036.1821847</v>
      </c>
      <c r="K505" s="263">
        <f t="shared" si="220"/>
        <v>-448317501.95890439</v>
      </c>
      <c r="L505" s="263">
        <f t="shared" si="220"/>
        <v>-177640971.51747164</v>
      </c>
    </row>
    <row r="506" spans="1:12" ht="15.6" x14ac:dyDescent="0.35">
      <c r="A506" s="44"/>
      <c r="B506" s="51"/>
      <c r="C506" s="51"/>
      <c r="D506" s="51"/>
      <c r="E506" s="51"/>
      <c r="F506" s="72"/>
      <c r="G506" s="72"/>
      <c r="H506" s="73"/>
      <c r="I506" s="73"/>
      <c r="J506" s="73"/>
      <c r="K506" s="73"/>
      <c r="L506" s="73"/>
    </row>
    <row r="507" spans="1:12" ht="15.6" x14ac:dyDescent="0.35">
      <c r="A507" s="44"/>
      <c r="B507" s="130" t="s">
        <v>119</v>
      </c>
      <c r="C507" s="63"/>
      <c r="D507" s="63"/>
      <c r="E507" s="63"/>
      <c r="F507" s="117"/>
      <c r="G507" s="117"/>
      <c r="H507" s="117"/>
      <c r="I507" s="117"/>
      <c r="J507" s="117"/>
      <c r="K507" s="117"/>
      <c r="L507" s="117"/>
    </row>
    <row r="508" spans="1:12" ht="15.6" x14ac:dyDescent="0.35">
      <c r="A508" s="44"/>
      <c r="B508" s="217" t="s">
        <v>120</v>
      </c>
      <c r="C508" s="243"/>
      <c r="D508" s="242"/>
      <c r="E508" s="256"/>
      <c r="F508" s="312"/>
      <c r="G508" s="312"/>
      <c r="H508" s="267">
        <f>-MAX(0, MIN((SUM(H$505:H507)-H527), H$517, G520*$L$611))</f>
        <v>0</v>
      </c>
      <c r="I508" s="267">
        <f>-MAX(0, MIN((SUM(I$505:I507)-I504), I$517, H520*$L$611))</f>
        <v>0</v>
      </c>
      <c r="J508" s="267">
        <f>-MAX(0, MIN((SUM(J$505:J507)-J504), J$517, I520*$L$611))</f>
        <v>0</v>
      </c>
      <c r="K508" s="267">
        <f>-MAX(0, MIN((SUM(K$505:K507)-K504), K$517, J520*$L$611))</f>
        <v>0</v>
      </c>
      <c r="L508" s="267">
        <f>-MAX(0, MIN((SUM(L$505:L507)-L504), L$517, K520*$L$611))</f>
        <v>0</v>
      </c>
    </row>
    <row r="509" spans="1:12" ht="15.6" x14ac:dyDescent="0.35">
      <c r="A509" s="44"/>
      <c r="B509" s="217" t="s">
        <v>265</v>
      </c>
      <c r="C509" s="243"/>
      <c r="D509" s="242"/>
      <c r="E509" s="256"/>
      <c r="F509" s="312"/>
      <c r="G509" s="312"/>
      <c r="H509" s="267">
        <f>-MAX(0, MIN((SUM(H$507:H508)-H527), H$527, G531*$L$612))</f>
        <v>0</v>
      </c>
      <c r="I509" s="267">
        <f>-MAX(0, MIN((SUM(I$507:I508)-I527), I$527, H531*$L$612))</f>
        <v>0</v>
      </c>
      <c r="J509" s="267">
        <f>-MAX(0, MIN((SUM(J$507:J508)-J527), J$527, I531*$L$612))</f>
        <v>0</v>
      </c>
      <c r="K509" s="267">
        <f>-MAX(0, MIN((SUM(K$507:K508)-K527), K$527, J531*$L$612))</f>
        <v>0</v>
      </c>
      <c r="L509" s="267">
        <f>-MAX(0, MIN((SUM(L$507:L508)-L527), L$527, K531*$L$612))</f>
        <v>0</v>
      </c>
    </row>
    <row r="510" spans="1:12" ht="15.6" x14ac:dyDescent="0.35">
      <c r="A510" s="44"/>
      <c r="B510" s="217" t="s">
        <v>268</v>
      </c>
      <c r="C510" s="243"/>
      <c r="D510" s="242"/>
      <c r="E510" s="256"/>
      <c r="F510" s="312"/>
      <c r="G510" s="312"/>
      <c r="H510" s="267">
        <f>-MAX(0, MIN((SUM(H$507:H509)-H534), H$534, G537*$L$613))</f>
        <v>0</v>
      </c>
      <c r="I510" s="267">
        <f>-MAX(0, MIN((SUM(I$507:I509)-I534), I$534, H537*$L$613))</f>
        <v>0</v>
      </c>
      <c r="J510" s="267">
        <f>-MAX(0, MIN((SUM(J$507:J509)-J534), J$534, I537*$L$613))</f>
        <v>0</v>
      </c>
      <c r="K510" s="267">
        <f>-MAX(0, MIN((SUM(K$507:K509)-K534), K$534, J537*$L$613))</f>
        <v>0</v>
      </c>
      <c r="L510" s="267">
        <f>-MAX(0, MIN((SUM(L$507:L509)-L534), L$534, K537*$L$613))</f>
        <v>0</v>
      </c>
    </row>
    <row r="511" spans="1:12" ht="15.6" x14ac:dyDescent="0.35">
      <c r="A511" s="44"/>
      <c r="B511" s="217" t="s">
        <v>269</v>
      </c>
      <c r="C511" s="243"/>
      <c r="D511" s="242"/>
      <c r="E511" s="256"/>
      <c r="F511" s="312"/>
      <c r="G511" s="312"/>
      <c r="H511" s="267">
        <f>-MAX(0, MIN((SUM(H$507:H510)-H540), H$534, G543*$L$614))</f>
        <v>0</v>
      </c>
      <c r="I511" s="267">
        <f>-MAX(0, MIN((SUM(I$507:I510)-I540), I$534, H543*$L$614))</f>
        <v>0</v>
      </c>
      <c r="J511" s="267">
        <f>-MAX(0, MIN((SUM(J$507:J510)-J540), J$534, I543*$L$614))</f>
        <v>0</v>
      </c>
      <c r="K511" s="267">
        <f>-MAX(0, MIN((SUM(K$507:K510)-K540), K$534, J543*$L$614))</f>
        <v>0</v>
      </c>
      <c r="L511" s="267">
        <f>-MAX(0, MIN((SUM(L$507:L510)-L540), L$534, K543*$L$614))</f>
        <v>0</v>
      </c>
    </row>
    <row r="512" spans="1:12" ht="15.6" x14ac:dyDescent="0.35">
      <c r="A512" s="44"/>
      <c r="B512" s="217" t="s">
        <v>270</v>
      </c>
      <c r="C512" s="243"/>
      <c r="D512" s="242"/>
      <c r="E512" s="256"/>
      <c r="F512" s="312"/>
      <c r="G512" s="312"/>
      <c r="H512" s="267">
        <f>-MAX(0, MIN((SUM(H$507:H511)-H546), H$546, G549*$L$615))</f>
        <v>0</v>
      </c>
      <c r="I512" s="267">
        <f>-MAX(0, MIN((SUM(I$507:I511)-I546), I$546, H549*$L$615))</f>
        <v>0</v>
      </c>
      <c r="J512" s="267">
        <f>-MAX(0, MIN((SUM(J$507:J511)-J546), J$546, I549*$L$615))</f>
        <v>0</v>
      </c>
      <c r="K512" s="267">
        <f>-MAX(0, MIN((SUM(K$507:K511)-K546), K$546, J549*$L$615))</f>
        <v>0</v>
      </c>
      <c r="L512" s="267">
        <f>-MAX(0, MIN((SUM(L$507:L511)-L546), L$546, K549*$L$615))</f>
        <v>0</v>
      </c>
    </row>
    <row r="513" spans="1:12" ht="15.6" x14ac:dyDescent="0.35">
      <c r="A513" s="44"/>
      <c r="B513" s="61"/>
      <c r="C513" s="61"/>
      <c r="D513" s="63"/>
      <c r="E513" s="63"/>
      <c r="F513" s="117"/>
      <c r="G513" s="117"/>
      <c r="H513" s="98"/>
      <c r="I513" s="98"/>
      <c r="J513" s="98"/>
      <c r="K513" s="98"/>
      <c r="L513" s="98"/>
    </row>
    <row r="514" spans="1:12" ht="15.6" x14ac:dyDescent="0.35">
      <c r="A514" s="44"/>
      <c r="B514" s="202" t="s">
        <v>19</v>
      </c>
      <c r="C514" s="203"/>
      <c r="D514" s="204"/>
      <c r="E514" s="204"/>
      <c r="F514" s="205"/>
      <c r="G514" s="205"/>
      <c r="H514" s="205"/>
      <c r="I514" s="205"/>
      <c r="J514" s="205"/>
      <c r="K514" s="205"/>
      <c r="L514" s="206"/>
    </row>
    <row r="515" spans="1:12" ht="15.6" x14ac:dyDescent="0.35">
      <c r="A515" s="44"/>
      <c r="B515" s="61"/>
      <c r="C515" s="61"/>
      <c r="D515" s="61"/>
      <c r="E515" s="61"/>
      <c r="F515" s="74"/>
      <c r="G515" s="94"/>
      <c r="H515" s="98"/>
      <c r="I515" s="98"/>
      <c r="J515" s="98"/>
      <c r="K515" s="98"/>
      <c r="L515" s="98"/>
    </row>
    <row r="516" spans="1:12" ht="15.6" x14ac:dyDescent="0.35">
      <c r="A516" s="44"/>
      <c r="B516" s="132" t="s">
        <v>263</v>
      </c>
      <c r="C516" s="61"/>
      <c r="D516" s="61"/>
      <c r="E516" s="61"/>
      <c r="F516" s="74"/>
      <c r="G516" s="94"/>
      <c r="H516" s="98"/>
      <c r="I516" s="98"/>
      <c r="J516" s="98"/>
      <c r="K516" s="98"/>
      <c r="L516" s="98"/>
    </row>
    <row r="517" spans="1:12" ht="15.6" x14ac:dyDescent="0.35">
      <c r="A517" s="44"/>
      <c r="B517" s="223" t="s">
        <v>121</v>
      </c>
      <c r="C517" s="224"/>
      <c r="D517" s="224"/>
      <c r="E517" s="219"/>
      <c r="F517" s="245"/>
      <c r="G517" s="339"/>
      <c r="H517" s="311">
        <f>G520</f>
        <v>0</v>
      </c>
      <c r="I517" s="311">
        <f>H520</f>
        <v>0</v>
      </c>
      <c r="J517" s="311">
        <f t="shared" ref="J517:L517" si="221">I520</f>
        <v>87500000</v>
      </c>
      <c r="K517" s="311">
        <f t="shared" si="221"/>
        <v>87500000</v>
      </c>
      <c r="L517" s="311">
        <f t="shared" si="221"/>
        <v>87500000</v>
      </c>
    </row>
    <row r="518" spans="1:12" ht="15.6" x14ac:dyDescent="0.35">
      <c r="A518" s="44"/>
      <c r="B518" s="217" t="s">
        <v>122</v>
      </c>
      <c r="C518" s="242"/>
      <c r="D518" s="242"/>
      <c r="E518" s="256"/>
      <c r="F518" s="312"/>
      <c r="G518" s="312"/>
      <c r="H518" s="311">
        <f>MIN(MAX(0, -H505), H523-H517)</f>
        <v>0</v>
      </c>
      <c r="I518" s="311">
        <f>MIN(MAX(0, -I505), I523-I517)</f>
        <v>87500000</v>
      </c>
      <c r="J518" s="311">
        <f t="shared" ref="J518:L518" si="222">MIN(MAX(0, -J505), J523-J517)</f>
        <v>0</v>
      </c>
      <c r="K518" s="311">
        <f t="shared" si="222"/>
        <v>0</v>
      </c>
      <c r="L518" s="311">
        <f t="shared" si="222"/>
        <v>0</v>
      </c>
    </row>
    <row r="519" spans="1:12" ht="15.6" x14ac:dyDescent="0.35">
      <c r="A519" s="44"/>
      <c r="B519" s="217" t="s">
        <v>123</v>
      </c>
      <c r="C519" s="242"/>
      <c r="D519" s="242"/>
      <c r="E519" s="256"/>
      <c r="F519" s="312"/>
      <c r="G519" s="312"/>
      <c r="H519" s="311">
        <f>H508</f>
        <v>0</v>
      </c>
      <c r="I519" s="311">
        <f>I508</f>
        <v>0</v>
      </c>
      <c r="J519" s="311">
        <f t="shared" ref="J519:L519" si="223">J508</f>
        <v>0</v>
      </c>
      <c r="K519" s="311">
        <f t="shared" si="223"/>
        <v>0</v>
      </c>
      <c r="L519" s="311">
        <f t="shared" si="223"/>
        <v>0</v>
      </c>
    </row>
    <row r="520" spans="1:12" ht="15.6" x14ac:dyDescent="0.35">
      <c r="A520" s="44"/>
      <c r="B520" s="316" t="s">
        <v>124</v>
      </c>
      <c r="C520" s="317"/>
      <c r="D520" s="317"/>
      <c r="E520" s="318"/>
      <c r="F520" s="313"/>
      <c r="G520" s="315"/>
      <c r="H520" s="263">
        <f>SUM(H517:H519)</f>
        <v>0</v>
      </c>
      <c r="I520" s="263">
        <f t="shared" ref="I520:L520" si="224">SUM(I517:I519)</f>
        <v>87500000</v>
      </c>
      <c r="J520" s="263">
        <f t="shared" si="224"/>
        <v>87500000</v>
      </c>
      <c r="K520" s="263">
        <f t="shared" si="224"/>
        <v>87500000</v>
      </c>
      <c r="L520" s="263">
        <f t="shared" si="224"/>
        <v>87500000</v>
      </c>
    </row>
    <row r="521" spans="1:12" ht="15.6" x14ac:dyDescent="0.35">
      <c r="A521" s="44"/>
      <c r="B521" s="61"/>
      <c r="C521" s="63"/>
      <c r="D521" s="61"/>
      <c r="E521" s="61"/>
      <c r="F521" s="61"/>
      <c r="G521" s="337"/>
      <c r="H521" s="338"/>
      <c r="I521" s="117"/>
      <c r="J521" s="117"/>
      <c r="K521" s="117"/>
      <c r="L521" s="117"/>
    </row>
    <row r="522" spans="1:12" ht="15.6" customHeight="1" x14ac:dyDescent="0.35">
      <c r="A522" s="44"/>
      <c r="B522" s="132" t="s">
        <v>264</v>
      </c>
      <c r="C522" s="61"/>
      <c r="D522" s="61"/>
      <c r="E522" s="61"/>
      <c r="F522" s="61"/>
      <c r="G522" s="61"/>
      <c r="H522" s="61"/>
      <c r="I522" s="61"/>
      <c r="J522" s="61"/>
      <c r="K522" s="61"/>
      <c r="L522" s="61"/>
    </row>
    <row r="523" spans="1:12" ht="15.6" customHeight="1" x14ac:dyDescent="0.35">
      <c r="A523" s="44"/>
      <c r="B523" s="217" t="s">
        <v>125</v>
      </c>
      <c r="C523" s="242"/>
      <c r="D523" s="243"/>
      <c r="E523" s="243"/>
      <c r="F523" s="244"/>
      <c r="G523" s="341">
        <v>87500000</v>
      </c>
      <c r="H523" s="311">
        <f>G523</f>
        <v>87500000</v>
      </c>
      <c r="I523" s="311">
        <f t="shared" ref="I523:L523" si="225">H523</f>
        <v>87500000</v>
      </c>
      <c r="J523" s="311">
        <f t="shared" si="225"/>
        <v>87500000</v>
      </c>
      <c r="K523" s="311">
        <f t="shared" si="225"/>
        <v>87500000</v>
      </c>
      <c r="L523" s="311">
        <f t="shared" si="225"/>
        <v>87500000</v>
      </c>
    </row>
    <row r="524" spans="1:12" ht="15.6" customHeight="1" x14ac:dyDescent="0.35">
      <c r="A524" s="44"/>
      <c r="B524" s="217" t="s">
        <v>126</v>
      </c>
      <c r="C524" s="243"/>
      <c r="D524" s="243"/>
      <c r="E524" s="243"/>
      <c r="F524" s="244"/>
      <c r="G524" s="311">
        <f>G523-G520</f>
        <v>87500000</v>
      </c>
      <c r="H524" s="311">
        <f>H523-H520</f>
        <v>87500000</v>
      </c>
      <c r="I524" s="311">
        <f t="shared" ref="I524:L524" si="226">I523-I520</f>
        <v>0</v>
      </c>
      <c r="J524" s="311">
        <f t="shared" si="226"/>
        <v>0</v>
      </c>
      <c r="K524" s="311">
        <f t="shared" si="226"/>
        <v>0</v>
      </c>
      <c r="L524" s="311">
        <f t="shared" si="226"/>
        <v>0</v>
      </c>
    </row>
    <row r="525" spans="1:12" ht="15.6" customHeight="1" x14ac:dyDescent="0.35">
      <c r="A525" s="44"/>
      <c r="B525" s="61"/>
      <c r="C525" s="61"/>
      <c r="D525" s="61"/>
      <c r="E525" s="61"/>
      <c r="F525" s="61"/>
      <c r="G525" s="309"/>
      <c r="H525" s="309"/>
      <c r="I525" s="309"/>
      <c r="J525" s="309"/>
      <c r="K525" s="309"/>
      <c r="L525" s="309"/>
    </row>
    <row r="526" spans="1:12" ht="15.6" customHeight="1" x14ac:dyDescent="0.35">
      <c r="A526" s="44"/>
      <c r="B526" s="132" t="s">
        <v>265</v>
      </c>
      <c r="C526" s="61"/>
      <c r="D526" s="61"/>
      <c r="E526" s="61"/>
      <c r="F526" s="74"/>
      <c r="G526" s="94"/>
      <c r="H526" s="98"/>
      <c r="I526" s="98"/>
      <c r="J526" s="98"/>
      <c r="K526" s="98"/>
      <c r="L526" s="98"/>
    </row>
    <row r="527" spans="1:12" ht="15.6" customHeight="1" x14ac:dyDescent="0.35">
      <c r="A527" s="44"/>
      <c r="B527" s="223" t="s">
        <v>121</v>
      </c>
      <c r="C527" s="224"/>
      <c r="D527" s="224"/>
      <c r="E527" s="219"/>
      <c r="F527" s="245"/>
      <c r="G527" s="339"/>
      <c r="H527" s="311">
        <f>G531</f>
        <v>153800000</v>
      </c>
      <c r="I527" s="311">
        <f>H531</f>
        <v>150000000</v>
      </c>
      <c r="J527" s="311">
        <f t="shared" ref="J527:L527" si="227">I527</f>
        <v>150000000</v>
      </c>
      <c r="K527" s="311">
        <f t="shared" si="227"/>
        <v>150000000</v>
      </c>
      <c r="L527" s="311">
        <f t="shared" si="227"/>
        <v>150000000</v>
      </c>
    </row>
    <row r="528" spans="1:12" ht="15.6" customHeight="1" x14ac:dyDescent="0.35">
      <c r="A528" s="44"/>
      <c r="B528" s="223" t="s">
        <v>342</v>
      </c>
      <c r="C528" s="224"/>
      <c r="D528" s="224"/>
      <c r="E528" s="219"/>
      <c r="F528" s="245"/>
      <c r="G528" s="339"/>
      <c r="H528" s="341">
        <v>150000000</v>
      </c>
      <c r="I528" s="341">
        <v>0</v>
      </c>
      <c r="J528" s="341">
        <v>0</v>
      </c>
      <c r="K528" s="341">
        <v>0</v>
      </c>
      <c r="L528" s="341">
        <v>0</v>
      </c>
    </row>
    <row r="529" spans="1:12" ht="15.6" customHeight="1" x14ac:dyDescent="0.35">
      <c r="A529" s="44"/>
      <c r="B529" s="217" t="s">
        <v>266</v>
      </c>
      <c r="C529" s="242"/>
      <c r="D529" s="242"/>
      <c r="E529" s="256"/>
      <c r="F529" s="312"/>
      <c r="G529" s="312"/>
      <c r="H529" s="341">
        <v>-153800000</v>
      </c>
      <c r="I529" s="341">
        <f t="shared" ref="I529:L529" si="228">I571</f>
        <v>0</v>
      </c>
      <c r="J529" s="341">
        <f t="shared" si="228"/>
        <v>0</v>
      </c>
      <c r="K529" s="341">
        <f t="shared" si="228"/>
        <v>0</v>
      </c>
      <c r="L529" s="341">
        <f t="shared" si="228"/>
        <v>0</v>
      </c>
    </row>
    <row r="530" spans="1:12" ht="15.6" customHeight="1" x14ac:dyDescent="0.35">
      <c r="A530" s="44"/>
      <c r="B530" s="217" t="s">
        <v>267</v>
      </c>
      <c r="C530" s="242"/>
      <c r="D530" s="242"/>
      <c r="E530" s="256"/>
      <c r="F530" s="312"/>
      <c r="G530" s="312"/>
      <c r="H530" s="341">
        <v>0</v>
      </c>
      <c r="I530" s="341">
        <v>0</v>
      </c>
      <c r="J530" s="341">
        <v>0</v>
      </c>
      <c r="K530" s="341">
        <v>0</v>
      </c>
      <c r="L530" s="341">
        <v>0</v>
      </c>
    </row>
    <row r="531" spans="1:12" ht="15.6" customHeight="1" x14ac:dyDescent="0.35">
      <c r="A531" s="44"/>
      <c r="B531" s="316" t="s">
        <v>124</v>
      </c>
      <c r="C531" s="317"/>
      <c r="D531" s="317"/>
      <c r="E531" s="318"/>
      <c r="F531" s="313"/>
      <c r="G531" s="342">
        <v>153800000</v>
      </c>
      <c r="H531" s="263">
        <f>SUM(H527:H530)</f>
        <v>150000000</v>
      </c>
      <c r="I531" s="263">
        <f t="shared" ref="I531:L531" si="229">SUM(I527:I530)</f>
        <v>150000000</v>
      </c>
      <c r="J531" s="263">
        <f t="shared" si="229"/>
        <v>150000000</v>
      </c>
      <c r="K531" s="263">
        <f t="shared" si="229"/>
        <v>150000000</v>
      </c>
      <c r="L531" s="263">
        <f t="shared" si="229"/>
        <v>150000000</v>
      </c>
    </row>
    <row r="532" spans="1:12" ht="15.6" customHeight="1" x14ac:dyDescent="0.35">
      <c r="A532" s="44"/>
      <c r="B532" s="61"/>
      <c r="C532" s="61"/>
      <c r="D532" s="61"/>
      <c r="E532" s="61"/>
      <c r="F532" s="61"/>
      <c r="G532" s="309"/>
      <c r="H532" s="309"/>
      <c r="I532" s="309"/>
      <c r="J532" s="309"/>
      <c r="K532" s="309"/>
      <c r="L532" s="309"/>
    </row>
    <row r="533" spans="1:12" ht="15.6" customHeight="1" x14ac:dyDescent="0.35">
      <c r="A533" s="44"/>
      <c r="B533" s="132" t="s">
        <v>268</v>
      </c>
      <c r="C533" s="61"/>
      <c r="D533" s="61"/>
      <c r="E533" s="61"/>
      <c r="F533" s="74"/>
      <c r="G533" s="94"/>
      <c r="H533" s="98"/>
      <c r="I533" s="98"/>
      <c r="J533" s="98"/>
      <c r="K533" s="98"/>
      <c r="L533" s="98"/>
    </row>
    <row r="534" spans="1:12" ht="15.6" customHeight="1" x14ac:dyDescent="0.35">
      <c r="A534" s="44"/>
      <c r="B534" s="223" t="s">
        <v>121</v>
      </c>
      <c r="C534" s="224"/>
      <c r="D534" s="224"/>
      <c r="E534" s="219"/>
      <c r="F534" s="245"/>
      <c r="G534" s="339"/>
      <c r="H534" s="311">
        <f>G537</f>
        <v>6500000</v>
      </c>
      <c r="I534" s="311">
        <f>H537</f>
        <v>0</v>
      </c>
      <c r="J534" s="311">
        <f t="shared" ref="J534:L534" si="230">I537</f>
        <v>0</v>
      </c>
      <c r="K534" s="311">
        <f t="shared" si="230"/>
        <v>0</v>
      </c>
      <c r="L534" s="311">
        <f t="shared" si="230"/>
        <v>0</v>
      </c>
    </row>
    <row r="535" spans="1:12" ht="15.6" customHeight="1" x14ac:dyDescent="0.35">
      <c r="A535" s="44"/>
      <c r="B535" s="217" t="s">
        <v>266</v>
      </c>
      <c r="C535" s="242"/>
      <c r="D535" s="242"/>
      <c r="E535" s="256"/>
      <c r="F535" s="312"/>
      <c r="G535" s="312"/>
      <c r="H535" s="359">
        <f>H572</f>
        <v>-6500000</v>
      </c>
      <c r="I535" s="359">
        <f t="shared" ref="I535:L535" si="231">I572</f>
        <v>0</v>
      </c>
      <c r="J535" s="359">
        <f t="shared" si="231"/>
        <v>0</v>
      </c>
      <c r="K535" s="359">
        <f t="shared" si="231"/>
        <v>0</v>
      </c>
      <c r="L535" s="359">
        <f t="shared" si="231"/>
        <v>0</v>
      </c>
    </row>
    <row r="536" spans="1:12" ht="15.6" customHeight="1" x14ac:dyDescent="0.35">
      <c r="A536" s="44"/>
      <c r="B536" s="217" t="s">
        <v>267</v>
      </c>
      <c r="C536" s="242"/>
      <c r="D536" s="242"/>
      <c r="E536" s="256"/>
      <c r="F536" s="312"/>
      <c r="G536" s="312"/>
      <c r="H536" s="341">
        <v>0</v>
      </c>
      <c r="I536" s="341">
        <v>0</v>
      </c>
      <c r="J536" s="341">
        <v>0</v>
      </c>
      <c r="K536" s="341">
        <v>0</v>
      </c>
      <c r="L536" s="341">
        <v>0</v>
      </c>
    </row>
    <row r="537" spans="1:12" ht="15.6" customHeight="1" x14ac:dyDescent="0.35">
      <c r="A537" s="44"/>
      <c r="B537" s="316" t="s">
        <v>124</v>
      </c>
      <c r="C537" s="317"/>
      <c r="D537" s="317"/>
      <c r="E537" s="318"/>
      <c r="F537" s="313"/>
      <c r="G537" s="342">
        <v>6500000</v>
      </c>
      <c r="H537" s="263">
        <f>SUM(H534:H536)</f>
        <v>0</v>
      </c>
      <c r="I537" s="263">
        <f t="shared" ref="I537:L537" si="232">SUM(I534:I536)</f>
        <v>0</v>
      </c>
      <c r="J537" s="263">
        <f t="shared" si="232"/>
        <v>0</v>
      </c>
      <c r="K537" s="263">
        <f t="shared" si="232"/>
        <v>0</v>
      </c>
      <c r="L537" s="263">
        <f t="shared" si="232"/>
        <v>0</v>
      </c>
    </row>
    <row r="538" spans="1:12" ht="15.6" customHeight="1" x14ac:dyDescent="0.35">
      <c r="A538" s="44"/>
      <c r="B538" s="61"/>
      <c r="C538" s="61"/>
      <c r="D538" s="61"/>
      <c r="E538" s="61"/>
      <c r="F538" s="61"/>
      <c r="G538" s="309"/>
      <c r="H538" s="309"/>
      <c r="I538" s="309"/>
      <c r="J538" s="309"/>
      <c r="K538" s="309"/>
      <c r="L538" s="309"/>
    </row>
    <row r="539" spans="1:12" ht="15.6" customHeight="1" x14ac:dyDescent="0.35">
      <c r="A539" s="44"/>
      <c r="B539" s="132" t="s">
        <v>269</v>
      </c>
      <c r="C539" s="61"/>
      <c r="D539" s="61"/>
      <c r="E539" s="61"/>
      <c r="F539" s="74"/>
      <c r="G539" s="94"/>
      <c r="H539" s="98"/>
      <c r="I539" s="98"/>
      <c r="J539" s="98"/>
      <c r="K539" s="98"/>
      <c r="L539" s="98"/>
    </row>
    <row r="540" spans="1:12" ht="15.6" customHeight="1" x14ac:dyDescent="0.35">
      <c r="A540" s="44"/>
      <c r="B540" s="223" t="s">
        <v>121</v>
      </c>
      <c r="C540" s="224"/>
      <c r="D540" s="224"/>
      <c r="E540" s="219"/>
      <c r="F540" s="245"/>
      <c r="G540" s="339"/>
      <c r="H540" s="311">
        <f>G543</f>
        <v>73600000</v>
      </c>
      <c r="I540" s="311">
        <f>H543</f>
        <v>0</v>
      </c>
      <c r="J540" s="311">
        <f t="shared" ref="J540:L540" si="233">I543</f>
        <v>0</v>
      </c>
      <c r="K540" s="311">
        <f t="shared" si="233"/>
        <v>0</v>
      </c>
      <c r="L540" s="311">
        <f t="shared" si="233"/>
        <v>0</v>
      </c>
    </row>
    <row r="541" spans="1:12" ht="15.6" customHeight="1" x14ac:dyDescent="0.35">
      <c r="A541" s="44"/>
      <c r="B541" s="217" t="s">
        <v>266</v>
      </c>
      <c r="C541" s="242"/>
      <c r="D541" s="242"/>
      <c r="E541" s="256"/>
      <c r="F541" s="312"/>
      <c r="G541" s="312"/>
      <c r="H541" s="359">
        <f>H573</f>
        <v>-73600000</v>
      </c>
      <c r="I541" s="359">
        <f t="shared" ref="I541:L541" si="234">I573</f>
        <v>0</v>
      </c>
      <c r="J541" s="359">
        <f t="shared" si="234"/>
        <v>0</v>
      </c>
      <c r="K541" s="359">
        <f t="shared" si="234"/>
        <v>0</v>
      </c>
      <c r="L541" s="359">
        <f t="shared" si="234"/>
        <v>0</v>
      </c>
    </row>
    <row r="542" spans="1:12" ht="15.6" customHeight="1" x14ac:dyDescent="0.35">
      <c r="A542" s="44"/>
      <c r="B542" s="217" t="s">
        <v>267</v>
      </c>
      <c r="C542" s="242"/>
      <c r="D542" s="242"/>
      <c r="E542" s="256"/>
      <c r="F542" s="312"/>
      <c r="G542" s="312"/>
      <c r="H542" s="341">
        <v>0</v>
      </c>
      <c r="I542" s="341">
        <v>0</v>
      </c>
      <c r="J542" s="341">
        <v>0</v>
      </c>
      <c r="K542" s="341">
        <v>0</v>
      </c>
      <c r="L542" s="341">
        <v>0</v>
      </c>
    </row>
    <row r="543" spans="1:12" ht="15.6" customHeight="1" x14ac:dyDescent="0.35">
      <c r="A543" s="44"/>
      <c r="B543" s="316" t="s">
        <v>124</v>
      </c>
      <c r="C543" s="317"/>
      <c r="D543" s="317"/>
      <c r="E543" s="318"/>
      <c r="F543" s="313"/>
      <c r="G543" s="342">
        <v>73600000</v>
      </c>
      <c r="H543" s="263">
        <f>SUM(H540:H542)</f>
        <v>0</v>
      </c>
      <c r="I543" s="263">
        <f t="shared" ref="I543:L543" si="235">SUM(I540:I542)</f>
        <v>0</v>
      </c>
      <c r="J543" s="263">
        <f t="shared" si="235"/>
        <v>0</v>
      </c>
      <c r="K543" s="263">
        <f t="shared" si="235"/>
        <v>0</v>
      </c>
      <c r="L543" s="263">
        <f t="shared" si="235"/>
        <v>0</v>
      </c>
    </row>
    <row r="544" spans="1:12" ht="15.6" customHeight="1" x14ac:dyDescent="0.35">
      <c r="A544" s="44"/>
      <c r="B544" s="61"/>
      <c r="C544" s="61"/>
      <c r="D544" s="61"/>
      <c r="E544" s="61"/>
      <c r="F544" s="61"/>
      <c r="G544" s="309"/>
      <c r="H544" s="309"/>
      <c r="I544" s="309"/>
      <c r="J544" s="309"/>
      <c r="K544" s="309"/>
      <c r="L544" s="309"/>
    </row>
    <row r="545" spans="1:12" ht="15.6" customHeight="1" x14ac:dyDescent="0.35">
      <c r="A545" s="44"/>
      <c r="B545" s="132" t="s">
        <v>270</v>
      </c>
      <c r="C545" s="61"/>
      <c r="D545" s="61"/>
      <c r="E545" s="61"/>
      <c r="F545" s="74"/>
      <c r="G545" s="94"/>
      <c r="H545" s="98"/>
      <c r="I545" s="98"/>
      <c r="J545" s="98"/>
      <c r="K545" s="98"/>
      <c r="L545" s="98"/>
    </row>
    <row r="546" spans="1:12" ht="15.6" customHeight="1" x14ac:dyDescent="0.35">
      <c r="A546" s="44"/>
      <c r="B546" s="223" t="s">
        <v>121</v>
      </c>
      <c r="C546" s="224"/>
      <c r="D546" s="224"/>
      <c r="E546" s="219"/>
      <c r="F546" s="245"/>
      <c r="G546" s="339"/>
      <c r="H546" s="311">
        <f>G549</f>
        <v>269700000</v>
      </c>
      <c r="I546" s="311">
        <f>H549</f>
        <v>269700000</v>
      </c>
      <c r="J546" s="311">
        <f t="shared" ref="J546:L546" si="236">I549</f>
        <v>269700000</v>
      </c>
      <c r="K546" s="311">
        <f t="shared" si="236"/>
        <v>269700000</v>
      </c>
      <c r="L546" s="311">
        <f t="shared" si="236"/>
        <v>0</v>
      </c>
    </row>
    <row r="547" spans="1:12" ht="15.6" customHeight="1" x14ac:dyDescent="0.35">
      <c r="A547" s="44"/>
      <c r="B547" s="217" t="s">
        <v>266</v>
      </c>
      <c r="C547" s="242"/>
      <c r="D547" s="242"/>
      <c r="E547" s="256"/>
      <c r="F547" s="312"/>
      <c r="G547" s="312"/>
      <c r="H547" s="359">
        <f>H574</f>
        <v>0</v>
      </c>
      <c r="I547" s="359">
        <f t="shared" ref="I547:L547" si="237">I574</f>
        <v>0</v>
      </c>
      <c r="J547" s="359">
        <f t="shared" si="237"/>
        <v>0</v>
      </c>
      <c r="K547" s="359">
        <f t="shared" si="237"/>
        <v>-269700000</v>
      </c>
      <c r="L547" s="359">
        <f t="shared" si="237"/>
        <v>0</v>
      </c>
    </row>
    <row r="548" spans="1:12" ht="15.6" customHeight="1" x14ac:dyDescent="0.35">
      <c r="A548" s="44"/>
      <c r="B548" s="217" t="s">
        <v>267</v>
      </c>
      <c r="C548" s="242"/>
      <c r="D548" s="242"/>
      <c r="E548" s="256"/>
      <c r="F548" s="312"/>
      <c r="G548" s="312"/>
      <c r="H548" s="341">
        <v>0</v>
      </c>
      <c r="I548" s="341">
        <v>0</v>
      </c>
      <c r="J548" s="341">
        <v>0</v>
      </c>
      <c r="K548" s="341">
        <v>0</v>
      </c>
      <c r="L548" s="341">
        <v>0</v>
      </c>
    </row>
    <row r="549" spans="1:12" ht="15.6" customHeight="1" x14ac:dyDescent="0.35">
      <c r="A549" s="44"/>
      <c r="B549" s="316" t="s">
        <v>124</v>
      </c>
      <c r="C549" s="317"/>
      <c r="D549" s="317"/>
      <c r="E549" s="318"/>
      <c r="F549" s="313"/>
      <c r="G549" s="342">
        <v>269700000</v>
      </c>
      <c r="H549" s="263">
        <f>SUM(H546:H548)</f>
        <v>269700000</v>
      </c>
      <c r="I549" s="263">
        <f t="shared" ref="I549:L549" si="238">SUM(I546:I548)</f>
        <v>269700000</v>
      </c>
      <c r="J549" s="263">
        <f t="shared" si="238"/>
        <v>269700000</v>
      </c>
      <c r="K549" s="263">
        <f t="shared" si="238"/>
        <v>0</v>
      </c>
      <c r="L549" s="263">
        <f t="shared" si="238"/>
        <v>0</v>
      </c>
    </row>
    <row r="550" spans="1:12" ht="15.6" customHeight="1" x14ac:dyDescent="0.35">
      <c r="A550" s="44"/>
      <c r="B550" s="63"/>
      <c r="C550" s="63"/>
      <c r="D550" s="63"/>
      <c r="E550" s="63"/>
      <c r="F550" s="259"/>
      <c r="G550" s="362"/>
      <c r="H550" s="259"/>
      <c r="I550" s="259"/>
      <c r="J550" s="259"/>
      <c r="K550" s="259"/>
      <c r="L550" s="259"/>
    </row>
    <row r="551" spans="1:12" ht="15.6" customHeight="1" x14ac:dyDescent="0.35">
      <c r="A551" s="44"/>
      <c r="B551" s="451" t="s">
        <v>357</v>
      </c>
      <c r="C551" s="448"/>
      <c r="D551" s="448"/>
      <c r="E551" s="448"/>
      <c r="F551" s="449"/>
      <c r="G551" s="450"/>
      <c r="H551" s="449"/>
      <c r="I551" s="449"/>
      <c r="J551" s="449"/>
      <c r="K551" s="449"/>
      <c r="L551" s="449"/>
    </row>
    <row r="552" spans="1:12" ht="15.6" customHeight="1" x14ac:dyDescent="0.35">
      <c r="A552" s="44"/>
      <c r="B552" s="225" t="s">
        <v>358</v>
      </c>
      <c r="C552" s="452"/>
      <c r="D552" s="452"/>
      <c r="E552" s="220"/>
      <c r="F552" s="365"/>
      <c r="G552" s="360"/>
      <c r="H552" s="365">
        <f>H505+H518+H528-H530-H536-H542-H548</f>
        <v>200677049.14653027</v>
      </c>
      <c r="I552" s="365">
        <f t="shared" ref="I552:L552" si="239">I505+I518+I528-I530-I536-I542-I548</f>
        <v>-44002340.463643551</v>
      </c>
      <c r="J552" s="365">
        <f t="shared" si="239"/>
        <v>-174729036.1821847</v>
      </c>
      <c r="K552" s="365">
        <f t="shared" si="239"/>
        <v>-448317501.95890439</v>
      </c>
      <c r="L552" s="365">
        <f t="shared" si="239"/>
        <v>-177640971.51747164</v>
      </c>
    </row>
    <row r="553" spans="1:12" ht="15.6" customHeight="1" x14ac:dyDescent="0.35">
      <c r="A553" s="44"/>
      <c r="B553" s="217" t="s">
        <v>359</v>
      </c>
      <c r="C553" s="243"/>
      <c r="D553" s="243"/>
      <c r="E553" s="244"/>
      <c r="F553" s="262"/>
      <c r="G553" s="247"/>
      <c r="H553" s="262">
        <f>MAX(-H552, 0)</f>
        <v>0</v>
      </c>
      <c r="I553" s="262">
        <f t="shared" ref="I553:L553" si="240">MAX(-I552, 0)</f>
        <v>44002340.463643551</v>
      </c>
      <c r="J553" s="262">
        <f t="shared" si="240"/>
        <v>174729036.1821847</v>
      </c>
      <c r="K553" s="262">
        <f t="shared" si="240"/>
        <v>448317501.95890439</v>
      </c>
      <c r="L553" s="262">
        <f t="shared" si="240"/>
        <v>177640971.51747164</v>
      </c>
    </row>
    <row r="554" spans="1:12" ht="15.6" customHeight="1" x14ac:dyDescent="0.35">
      <c r="A554" s="44"/>
      <c r="B554" s="63"/>
      <c r="C554" s="63"/>
      <c r="D554" s="63"/>
      <c r="E554" s="63"/>
      <c r="F554" s="259"/>
      <c r="G554" s="362"/>
      <c r="H554" s="259"/>
      <c r="I554" s="259"/>
      <c r="J554" s="259"/>
      <c r="K554" s="259"/>
      <c r="L554" s="259"/>
    </row>
    <row r="555" spans="1:12" ht="15.6" customHeight="1" x14ac:dyDescent="0.35">
      <c r="A555" s="44"/>
      <c r="B555" s="132" t="s">
        <v>359</v>
      </c>
      <c r="C555" s="61"/>
      <c r="D555" s="61"/>
      <c r="E555" s="61"/>
      <c r="F555" s="74"/>
      <c r="G555" s="94"/>
      <c r="H555" s="98"/>
      <c r="I555" s="98"/>
      <c r="J555" s="98"/>
      <c r="K555" s="98"/>
      <c r="L555" s="98"/>
    </row>
    <row r="556" spans="1:12" ht="15.6" customHeight="1" x14ac:dyDescent="0.35">
      <c r="A556" s="44"/>
      <c r="B556" s="223" t="s">
        <v>121</v>
      </c>
      <c r="C556" s="224"/>
      <c r="D556" s="224"/>
      <c r="E556" s="219"/>
      <c r="F556" s="245"/>
      <c r="G556" s="339"/>
      <c r="H556" s="311">
        <f>G559</f>
        <v>0</v>
      </c>
      <c r="I556" s="311">
        <f>H559</f>
        <v>0</v>
      </c>
      <c r="J556" s="311">
        <f t="shared" ref="J556" si="241">I559</f>
        <v>44002340.463643551</v>
      </c>
      <c r="K556" s="311">
        <f t="shared" ref="K556" si="242">J559</f>
        <v>218731376.64582825</v>
      </c>
      <c r="L556" s="311">
        <f t="shared" ref="L556" si="243">K559</f>
        <v>667048878.60473263</v>
      </c>
    </row>
    <row r="557" spans="1:12" ht="15.6" customHeight="1" x14ac:dyDescent="0.35">
      <c r="A557" s="44"/>
      <c r="B557" s="217" t="s">
        <v>307</v>
      </c>
      <c r="C557" s="242"/>
      <c r="D557" s="242"/>
      <c r="E557" s="256"/>
      <c r="F557" s="312"/>
      <c r="G557" s="312"/>
      <c r="H557" s="359">
        <f>H553</f>
        <v>0</v>
      </c>
      <c r="I557" s="359">
        <f t="shared" ref="I557:L557" si="244">I553</f>
        <v>44002340.463643551</v>
      </c>
      <c r="J557" s="359">
        <f t="shared" si="244"/>
        <v>174729036.1821847</v>
      </c>
      <c r="K557" s="359">
        <f t="shared" si="244"/>
        <v>448317501.95890439</v>
      </c>
      <c r="L557" s="359">
        <f t="shared" si="244"/>
        <v>177640971.51747164</v>
      </c>
    </row>
    <row r="558" spans="1:12" ht="15.6" customHeight="1" x14ac:dyDescent="0.35">
      <c r="A558" s="44"/>
      <c r="B558" s="217" t="s">
        <v>361</v>
      </c>
      <c r="C558" s="242"/>
      <c r="D558" s="242"/>
      <c r="E558" s="256"/>
      <c r="F558" s="312"/>
      <c r="G558" s="312"/>
      <c r="H558" s="341">
        <v>0</v>
      </c>
      <c r="I558" s="341">
        <v>0</v>
      </c>
      <c r="J558" s="341">
        <v>0</v>
      </c>
      <c r="K558" s="341">
        <v>0</v>
      </c>
      <c r="L558" s="341">
        <v>0</v>
      </c>
    </row>
    <row r="559" spans="1:12" ht="15.6" customHeight="1" x14ac:dyDescent="0.35">
      <c r="A559" s="44"/>
      <c r="B559" s="316" t="s">
        <v>124</v>
      </c>
      <c r="C559" s="317"/>
      <c r="D559" s="317"/>
      <c r="E559" s="318"/>
      <c r="F559" s="313"/>
      <c r="G559" s="342">
        <v>0</v>
      </c>
      <c r="H559" s="263">
        <f>SUM(H556:H558)</f>
        <v>0</v>
      </c>
      <c r="I559" s="263">
        <f t="shared" ref="I559:L559" si="245">SUM(I556:I558)</f>
        <v>44002340.463643551</v>
      </c>
      <c r="J559" s="263">
        <f t="shared" si="245"/>
        <v>218731376.64582825</v>
      </c>
      <c r="K559" s="263">
        <f t="shared" si="245"/>
        <v>667048878.60473263</v>
      </c>
      <c r="L559" s="263">
        <f t="shared" si="245"/>
        <v>844689850.1222043</v>
      </c>
    </row>
    <row r="560" spans="1:12" ht="15.6" customHeight="1" x14ac:dyDescent="0.35">
      <c r="A560" s="44"/>
      <c r="B560" s="63"/>
      <c r="C560" s="63"/>
      <c r="D560" s="63"/>
      <c r="E560" s="63"/>
      <c r="F560" s="259"/>
      <c r="G560" s="362"/>
      <c r="H560" s="259"/>
      <c r="I560" s="259"/>
      <c r="J560" s="259"/>
      <c r="K560" s="259"/>
      <c r="L560" s="259"/>
    </row>
    <row r="561" spans="1:12" ht="15.6" customHeight="1" x14ac:dyDescent="0.35">
      <c r="A561" s="44"/>
      <c r="B561" s="132" t="s">
        <v>306</v>
      </c>
      <c r="C561" s="61"/>
      <c r="D561" s="61"/>
      <c r="E561" s="61"/>
      <c r="F561" s="74"/>
      <c r="G561" s="94"/>
      <c r="H561" s="98"/>
      <c r="I561" s="98"/>
      <c r="J561" s="98"/>
      <c r="K561" s="98"/>
      <c r="L561" s="98"/>
    </row>
    <row r="562" spans="1:12" ht="15.6" customHeight="1" x14ac:dyDescent="0.35">
      <c r="A562" s="44"/>
      <c r="B562" s="223" t="s">
        <v>121</v>
      </c>
      <c r="C562" s="224"/>
      <c r="D562" s="224"/>
      <c r="E562" s="219"/>
      <c r="F562" s="245"/>
      <c r="G562" s="339"/>
      <c r="H562" s="311">
        <f>SUM(H527,H534,H517,H540,H546)</f>
        <v>503600000</v>
      </c>
      <c r="I562" s="311">
        <f>H566</f>
        <v>419700000</v>
      </c>
      <c r="J562" s="311">
        <f t="shared" ref="J562:L562" si="246">I566</f>
        <v>551202340.46364355</v>
      </c>
      <c r="K562" s="311">
        <f t="shared" si="246"/>
        <v>725931376.64582825</v>
      </c>
      <c r="L562" s="311">
        <f t="shared" si="246"/>
        <v>904548878.60473251</v>
      </c>
    </row>
    <row r="563" spans="1:12" ht="15.6" customHeight="1" x14ac:dyDescent="0.35">
      <c r="A563" s="44"/>
      <c r="B563" s="223" t="s">
        <v>307</v>
      </c>
      <c r="C563" s="224"/>
      <c r="D563" s="224"/>
      <c r="E563" s="219"/>
      <c r="F563" s="245"/>
      <c r="G563" s="339"/>
      <c r="H563" s="311">
        <f>H518+H528+H557</f>
        <v>150000000</v>
      </c>
      <c r="I563" s="311">
        <f>I518+I528+I557</f>
        <v>131502340.46364355</v>
      </c>
      <c r="J563" s="311">
        <f t="shared" ref="J563:L563" si="247">J518+J528+J557</f>
        <v>174729036.1821847</v>
      </c>
      <c r="K563" s="311">
        <f t="shared" si="247"/>
        <v>448317501.95890439</v>
      </c>
      <c r="L563" s="311">
        <f t="shared" si="247"/>
        <v>177640971.51747164</v>
      </c>
    </row>
    <row r="564" spans="1:12" ht="15.6" customHeight="1" x14ac:dyDescent="0.35">
      <c r="A564" s="44"/>
      <c r="B564" s="217" t="s">
        <v>266</v>
      </c>
      <c r="C564" s="242"/>
      <c r="D564" s="242"/>
      <c r="E564" s="256"/>
      <c r="F564" s="312"/>
      <c r="G564" s="312"/>
      <c r="H564" s="359">
        <f>H519+H529+H535+H541+H547+H558</f>
        <v>-233900000</v>
      </c>
      <c r="I564" s="359">
        <f t="shared" ref="I564:L564" si="248">I519+I529+I535+I541+I547+I558</f>
        <v>0</v>
      </c>
      <c r="J564" s="359">
        <f t="shared" si="248"/>
        <v>0</v>
      </c>
      <c r="K564" s="359">
        <f t="shared" si="248"/>
        <v>-269700000</v>
      </c>
      <c r="L564" s="359">
        <f t="shared" si="248"/>
        <v>0</v>
      </c>
    </row>
    <row r="565" spans="1:12" ht="15.6" customHeight="1" x14ac:dyDescent="0.35">
      <c r="A565" s="44"/>
      <c r="B565" s="217" t="s">
        <v>267</v>
      </c>
      <c r="C565" s="242"/>
      <c r="D565" s="242"/>
      <c r="E565" s="256"/>
      <c r="F565" s="312"/>
      <c r="G565" s="312"/>
      <c r="H565" s="343">
        <f>H530+H536+H542+H548</f>
        <v>0</v>
      </c>
      <c r="I565" s="343">
        <f t="shared" ref="I565:L565" si="249">I530+I536+I542+I548</f>
        <v>0</v>
      </c>
      <c r="J565" s="343">
        <f t="shared" si="249"/>
        <v>0</v>
      </c>
      <c r="K565" s="343">
        <f t="shared" si="249"/>
        <v>0</v>
      </c>
      <c r="L565" s="343">
        <f t="shared" si="249"/>
        <v>0</v>
      </c>
    </row>
    <row r="566" spans="1:12" ht="15.6" customHeight="1" x14ac:dyDescent="0.35">
      <c r="A566" s="44"/>
      <c r="B566" s="316" t="s">
        <v>124</v>
      </c>
      <c r="C566" s="317"/>
      <c r="D566" s="317"/>
      <c r="E566" s="318"/>
      <c r="F566" s="313"/>
      <c r="G566" s="342">
        <v>263700000</v>
      </c>
      <c r="H566" s="263">
        <f>SUM(H562:H565)</f>
        <v>419700000</v>
      </c>
      <c r="I566" s="263">
        <f t="shared" ref="I566:L566" si="250">SUM(I562:I565)</f>
        <v>551202340.46364355</v>
      </c>
      <c r="J566" s="263">
        <f t="shared" si="250"/>
        <v>725931376.64582825</v>
      </c>
      <c r="K566" s="263">
        <f t="shared" si="250"/>
        <v>904548878.60473251</v>
      </c>
      <c r="L566" s="263">
        <f t="shared" si="250"/>
        <v>1082189850.1222041</v>
      </c>
    </row>
    <row r="567" spans="1:12" ht="15.6" customHeight="1" x14ac:dyDescent="0.35">
      <c r="A567" s="44"/>
      <c r="B567" s="63"/>
      <c r="C567" s="63"/>
      <c r="D567" s="63"/>
      <c r="E567" s="63"/>
      <c r="F567" s="259"/>
      <c r="G567" s="362"/>
      <c r="H567" s="259"/>
      <c r="I567" s="259"/>
      <c r="J567" s="259"/>
      <c r="K567" s="259"/>
      <c r="L567" s="259"/>
    </row>
    <row r="568" spans="1:12" ht="15.6" customHeight="1" x14ac:dyDescent="0.35">
      <c r="A568" s="44"/>
      <c r="B568" s="63"/>
      <c r="C568" s="63"/>
      <c r="D568" s="63"/>
      <c r="E568" s="63"/>
      <c r="F568" s="259"/>
      <c r="G568" s="362"/>
      <c r="H568" s="259"/>
      <c r="I568" s="259"/>
      <c r="J568" s="259"/>
      <c r="K568" s="259"/>
      <c r="L568" s="259"/>
    </row>
    <row r="569" spans="1:12" ht="15.6" customHeight="1" x14ac:dyDescent="0.35">
      <c r="A569" s="44"/>
      <c r="B569" s="202" t="s">
        <v>280</v>
      </c>
      <c r="C569" s="203"/>
      <c r="D569" s="204"/>
      <c r="E569" s="204"/>
      <c r="F569" s="205"/>
      <c r="G569" s="205"/>
      <c r="H569" s="205"/>
      <c r="I569" s="205"/>
      <c r="J569" s="205"/>
      <c r="K569" s="205"/>
      <c r="L569" s="206"/>
    </row>
    <row r="570" spans="1:12" ht="15.6" customHeight="1" x14ac:dyDescent="0.35">
      <c r="A570" s="44"/>
      <c r="B570" s="61"/>
      <c r="C570" s="61"/>
      <c r="D570" s="61"/>
      <c r="E570" s="61"/>
      <c r="F570" s="61"/>
      <c r="G570" s="309"/>
      <c r="H570" s="309"/>
      <c r="I570" s="309"/>
      <c r="J570" s="309"/>
      <c r="K570" s="309"/>
      <c r="L570" s="309"/>
    </row>
    <row r="571" spans="1:12" ht="15.6" customHeight="1" x14ac:dyDescent="0.35">
      <c r="A571" s="44"/>
      <c r="B571" s="217" t="s">
        <v>265</v>
      </c>
      <c r="C571" s="243"/>
      <c r="D571" s="242"/>
      <c r="E571" s="256"/>
      <c r="F571" s="312"/>
      <c r="G571" s="312"/>
      <c r="H571" s="341">
        <v>0</v>
      </c>
      <c r="I571" s="341">
        <v>0</v>
      </c>
      <c r="J571" s="341">
        <v>0</v>
      </c>
      <c r="K571" s="341">
        <v>0</v>
      </c>
      <c r="L571" s="341">
        <v>0</v>
      </c>
    </row>
    <row r="572" spans="1:12" ht="15.6" customHeight="1" x14ac:dyDescent="0.35">
      <c r="A572" s="44"/>
      <c r="B572" s="217" t="s">
        <v>268</v>
      </c>
      <c r="C572" s="243"/>
      <c r="D572" s="242"/>
      <c r="E572" s="256"/>
      <c r="F572" s="312"/>
      <c r="G572" s="312"/>
      <c r="H572" s="341">
        <v>-6500000</v>
      </c>
      <c r="I572" s="341">
        <v>0</v>
      </c>
      <c r="J572" s="341">
        <v>0</v>
      </c>
      <c r="K572" s="341">
        <v>0</v>
      </c>
      <c r="L572" s="341">
        <v>0</v>
      </c>
    </row>
    <row r="573" spans="1:12" ht="15.6" customHeight="1" x14ac:dyDescent="0.35">
      <c r="A573" s="44"/>
      <c r="B573" s="217" t="s">
        <v>269</v>
      </c>
      <c r="C573" s="243"/>
      <c r="D573" s="242"/>
      <c r="E573" s="256"/>
      <c r="F573" s="312"/>
      <c r="G573" s="312"/>
      <c r="H573" s="341">
        <v>-73600000</v>
      </c>
      <c r="I573" s="341">
        <v>0</v>
      </c>
      <c r="J573" s="341">
        <v>0</v>
      </c>
      <c r="K573" s="341">
        <v>0</v>
      </c>
      <c r="L573" s="341">
        <v>0</v>
      </c>
    </row>
    <row r="574" spans="1:12" ht="15.6" customHeight="1" x14ac:dyDescent="0.35">
      <c r="A574" s="44"/>
      <c r="B574" s="217" t="s">
        <v>270</v>
      </c>
      <c r="C574" s="243"/>
      <c r="D574" s="242"/>
      <c r="E574" s="256"/>
      <c r="F574" s="312"/>
      <c r="G574" s="312"/>
      <c r="H574" s="341">
        <v>0</v>
      </c>
      <c r="I574" s="341">
        <v>0</v>
      </c>
      <c r="J574" s="341"/>
      <c r="K574" s="341">
        <v>-269700000</v>
      </c>
      <c r="L574" s="341">
        <v>0</v>
      </c>
    </row>
    <row r="575" spans="1:12" ht="15.6" customHeight="1" x14ac:dyDescent="0.35">
      <c r="A575" s="44"/>
      <c r="B575" s="61"/>
      <c r="C575" s="61"/>
      <c r="D575" s="61"/>
      <c r="E575" s="61"/>
      <c r="F575" s="61"/>
      <c r="G575" s="309"/>
      <c r="H575" s="309"/>
      <c r="I575" s="309"/>
      <c r="J575" s="309"/>
      <c r="K575" s="309"/>
      <c r="L575" s="309"/>
    </row>
    <row r="576" spans="1:12" ht="15.6" x14ac:dyDescent="0.35">
      <c r="A576" s="44"/>
      <c r="B576" s="202" t="s">
        <v>138</v>
      </c>
      <c r="C576" s="203"/>
      <c r="D576" s="204"/>
      <c r="E576" s="204"/>
      <c r="F576" s="205"/>
      <c r="G576" s="205"/>
      <c r="H576" s="205"/>
      <c r="I576" s="205"/>
      <c r="J576" s="205"/>
      <c r="K576" s="205"/>
      <c r="L576" s="206"/>
    </row>
    <row r="577" spans="1:12" ht="15.6" x14ac:dyDescent="0.35">
      <c r="A577" s="44"/>
      <c r="B577" s="61"/>
      <c r="C577" s="61"/>
      <c r="D577" s="61"/>
      <c r="E577" s="61"/>
      <c r="F577" s="61"/>
      <c r="G577" s="100"/>
      <c r="H577" s="75"/>
      <c r="I577" s="75"/>
      <c r="J577" s="75"/>
      <c r="K577" s="75"/>
      <c r="L577" s="75"/>
    </row>
    <row r="578" spans="1:12" ht="15.6" x14ac:dyDescent="0.35">
      <c r="A578" s="44"/>
      <c r="B578" s="217" t="s">
        <v>134</v>
      </c>
      <c r="C578" s="243"/>
      <c r="D578" s="243"/>
      <c r="E578" s="243"/>
      <c r="F578" s="243"/>
      <c r="G578" s="344"/>
      <c r="H578" s="345">
        <v>4.2000000000000003E-2</v>
      </c>
      <c r="I578" s="345">
        <v>4.5999999999999999E-2</v>
      </c>
      <c r="J578" s="345">
        <v>0.05</v>
      </c>
      <c r="K578" s="345">
        <v>0.05</v>
      </c>
      <c r="L578" s="345">
        <v>4.7E-2</v>
      </c>
    </row>
    <row r="579" spans="1:12" ht="15.6" x14ac:dyDescent="0.35">
      <c r="A579" s="44"/>
      <c r="B579" s="217" t="s">
        <v>11</v>
      </c>
      <c r="C579" s="243"/>
      <c r="D579" s="243"/>
      <c r="E579" s="243"/>
      <c r="F579" s="243"/>
      <c r="G579" s="344"/>
      <c r="H579" s="346">
        <v>0.01</v>
      </c>
      <c r="I579" s="347">
        <f>H579</f>
        <v>0.01</v>
      </c>
      <c r="J579" s="347">
        <f t="shared" ref="J579:L579" si="251">I579</f>
        <v>0.01</v>
      </c>
      <c r="K579" s="347">
        <f t="shared" si="251"/>
        <v>0.01</v>
      </c>
      <c r="L579" s="347">
        <f t="shared" si="251"/>
        <v>0.01</v>
      </c>
    </row>
    <row r="580" spans="1:12" ht="15.6" x14ac:dyDescent="0.35">
      <c r="A580" s="44"/>
      <c r="B580" s="217" t="s">
        <v>139</v>
      </c>
      <c r="C580" s="243"/>
      <c r="D580" s="243"/>
      <c r="E580" s="243"/>
      <c r="F580" s="243"/>
      <c r="G580" s="344"/>
      <c r="H580" s="348">
        <v>5.0000000000000001E-3</v>
      </c>
      <c r="I580" s="349">
        <f>H580</f>
        <v>5.0000000000000001E-3</v>
      </c>
      <c r="J580" s="349">
        <f t="shared" ref="J580:L580" si="252">I580</f>
        <v>5.0000000000000001E-3</v>
      </c>
      <c r="K580" s="349">
        <f t="shared" si="252"/>
        <v>5.0000000000000001E-3</v>
      </c>
      <c r="L580" s="349">
        <f t="shared" si="252"/>
        <v>5.0000000000000001E-3</v>
      </c>
    </row>
    <row r="581" spans="1:12" ht="15.6" x14ac:dyDescent="0.35">
      <c r="A581" s="44"/>
      <c r="B581" s="61"/>
      <c r="C581" s="61"/>
      <c r="D581" s="61"/>
      <c r="E581" s="61"/>
      <c r="F581" s="61"/>
      <c r="G581" s="100"/>
      <c r="H581" s="143"/>
      <c r="I581" s="143"/>
      <c r="J581" s="143"/>
      <c r="K581" s="143"/>
      <c r="L581" s="143"/>
    </row>
    <row r="582" spans="1:12" ht="15.6" x14ac:dyDescent="0.35">
      <c r="A582" s="44"/>
      <c r="B582" s="217" t="s">
        <v>120</v>
      </c>
      <c r="C582" s="243"/>
      <c r="D582" s="243"/>
      <c r="E582" s="243"/>
      <c r="F582" s="243"/>
      <c r="G582" s="344"/>
      <c r="H582" s="350">
        <f>H$578+($G$611+$F$611)*($G$611&lt;&gt;0)</f>
        <v>9.1999999999999998E-2</v>
      </c>
      <c r="I582" s="350">
        <f>I$578+($G$611+$F$611)*($G$611&lt;&gt;0)</f>
        <v>9.6000000000000002E-2</v>
      </c>
      <c r="J582" s="350">
        <f>J$578+($G$611+$F$611)*($G$611&lt;&gt;0)</f>
        <v>0.1</v>
      </c>
      <c r="K582" s="350">
        <f>K$578+($G$611+$F$611)*($G$611&lt;&gt;0)</f>
        <v>0.1</v>
      </c>
      <c r="L582" s="350">
        <f>L$578+($G$611+$F$611)*($G$611&lt;&gt;0)</f>
        <v>9.7000000000000003E-2</v>
      </c>
    </row>
    <row r="583" spans="1:12" ht="15.6" x14ac:dyDescent="0.35">
      <c r="A583" s="44"/>
      <c r="B583" s="217" t="s">
        <v>271</v>
      </c>
      <c r="C583" s="243"/>
      <c r="D583" s="243"/>
      <c r="E583" s="243"/>
      <c r="F583" s="243"/>
      <c r="G583" s="344"/>
      <c r="H583" s="352">
        <f>H$578+($G$612+$F$612)*($G$612&lt;&gt;0)</f>
        <v>0.11200000000000002</v>
      </c>
      <c r="I583" s="352">
        <f>I$578+($G$612+$F$612)*($G$612&lt;&gt;0)</f>
        <v>0.11600000000000001</v>
      </c>
      <c r="J583" s="352">
        <f>J$578+($G$612+$F$612)*($G$612&lt;&gt;0)</f>
        <v>0.12000000000000001</v>
      </c>
      <c r="K583" s="352">
        <f>K$578+($G$612+$F$612)*($G$612&lt;&gt;0)</f>
        <v>0.12000000000000001</v>
      </c>
      <c r="L583" s="352">
        <f>L$578+($G$612+$F$612)*($G$612&lt;&gt;0)</f>
        <v>0.11700000000000001</v>
      </c>
    </row>
    <row r="584" spans="1:12" ht="15.6" x14ac:dyDescent="0.35">
      <c r="A584" s="44"/>
      <c r="B584" s="223" t="s">
        <v>268</v>
      </c>
      <c r="C584" s="224"/>
      <c r="D584" s="224"/>
      <c r="E584" s="224"/>
      <c r="F584" s="224"/>
      <c r="G584" s="351"/>
      <c r="H584" s="354">
        <f>$F$613+($G$613+H578)*($G$613&lt;&gt;0)</f>
        <v>6.5000000000000002E-2</v>
      </c>
      <c r="I584" s="354">
        <f>$F$613+($G$613+I578)*($G$613&lt;&gt;0)</f>
        <v>6.5000000000000002E-2</v>
      </c>
      <c r="J584" s="354">
        <f>$F$613+($G$613+J578)*($G$613&lt;&gt;0)</f>
        <v>6.5000000000000002E-2</v>
      </c>
      <c r="K584" s="354">
        <f>$F$613+($G$613+K578)*($G$613&lt;&gt;0)</f>
        <v>6.5000000000000002E-2</v>
      </c>
      <c r="L584" s="354">
        <f>$F$613+($G$613+L578)*($G$613&lt;&gt;0)</f>
        <v>6.5000000000000002E-2</v>
      </c>
    </row>
    <row r="585" spans="1:12" ht="15.6" x14ac:dyDescent="0.35">
      <c r="A585" s="44"/>
      <c r="B585" s="217" t="s">
        <v>273</v>
      </c>
      <c r="C585" s="243"/>
      <c r="D585" s="243"/>
      <c r="E585" s="243"/>
      <c r="F585" s="243"/>
      <c r="G585" s="344"/>
      <c r="H585" s="353">
        <f>(H578+$G$614)*($G$614&lt;&gt;0) +$F$614</f>
        <v>7.4999999999999997E-3</v>
      </c>
      <c r="I585" s="353">
        <f>(I578+$G$614)*($G$614&lt;&gt;0) +$F$614</f>
        <v>7.4999999999999997E-3</v>
      </c>
      <c r="J585" s="353">
        <f>(J578+$G$614)*($G$614&lt;&gt;0) +$F$614</f>
        <v>7.4999999999999997E-3</v>
      </c>
      <c r="K585" s="353">
        <f>(K578+$G$614)*($G$614&lt;&gt;0) +$F$614</f>
        <v>7.4999999999999997E-3</v>
      </c>
      <c r="L585" s="353">
        <f>(L578+$G$614)*($G$614&lt;&gt;0) +$F$614</f>
        <v>7.4999999999999997E-3</v>
      </c>
    </row>
    <row r="586" spans="1:12" ht="15.6" x14ac:dyDescent="0.35">
      <c r="A586" s="44"/>
      <c r="B586" s="217" t="s">
        <v>274</v>
      </c>
      <c r="C586" s="243"/>
      <c r="D586" s="243"/>
      <c r="E586" s="243"/>
      <c r="F586" s="243"/>
      <c r="G586" s="344"/>
      <c r="H586" s="353">
        <f>(H578+$G$615)*($G$615&lt;&gt;0) +$F$615</f>
        <v>0.11</v>
      </c>
      <c r="I586" s="353">
        <f>(I578+$G$615)*($G$615&lt;&gt;0) +$F$615</f>
        <v>0.11</v>
      </c>
      <c r="J586" s="353">
        <f>(J578+$G$615)*($G$615&lt;&gt;0) +$F$615</f>
        <v>0.11</v>
      </c>
      <c r="K586" s="353">
        <f>(K578+$G$615)*($G$615&lt;&gt;0) +$F$615</f>
        <v>0.11</v>
      </c>
      <c r="L586" s="353">
        <f>(L578+$G$615)*($G$615&lt;&gt;0) +$F$615</f>
        <v>0.11</v>
      </c>
    </row>
    <row r="587" spans="1:12" ht="15.6" x14ac:dyDescent="0.35">
      <c r="A587" s="44"/>
      <c r="B587" s="61"/>
      <c r="C587" s="61"/>
      <c r="D587" s="61"/>
      <c r="E587" s="61"/>
      <c r="F587" s="61"/>
      <c r="G587" s="100"/>
      <c r="H587" s="144"/>
      <c r="I587" s="144"/>
      <c r="J587" s="144"/>
      <c r="K587" s="144"/>
      <c r="L587" s="144"/>
    </row>
    <row r="588" spans="1:12" ht="15.6" x14ac:dyDescent="0.35">
      <c r="A588" s="44"/>
      <c r="B588" s="202" t="s">
        <v>297</v>
      </c>
      <c r="C588" s="203"/>
      <c r="D588" s="204"/>
      <c r="E588" s="204"/>
      <c r="F588" s="205"/>
      <c r="G588" s="205"/>
      <c r="H588" s="205"/>
      <c r="I588" s="205"/>
      <c r="J588" s="205"/>
      <c r="K588" s="205"/>
      <c r="L588" s="206"/>
    </row>
    <row r="589" spans="1:12" ht="15.6" x14ac:dyDescent="0.35">
      <c r="A589" s="44"/>
      <c r="B589" s="61"/>
      <c r="C589" s="61"/>
      <c r="D589" s="61"/>
      <c r="E589" s="61"/>
      <c r="F589" s="61"/>
      <c r="G589" s="100"/>
      <c r="H589" s="144"/>
      <c r="I589" s="144"/>
      <c r="J589" s="144"/>
      <c r="K589" s="144"/>
      <c r="L589" s="144"/>
    </row>
    <row r="590" spans="1:12" ht="15.6" x14ac:dyDescent="0.35">
      <c r="A590" s="44"/>
      <c r="B590" s="217" t="s">
        <v>139</v>
      </c>
      <c r="C590" s="243"/>
      <c r="D590" s="243"/>
      <c r="E590" s="243"/>
      <c r="F590" s="243"/>
      <c r="G590" s="344"/>
      <c r="H590" s="311">
        <f>G524*H580</f>
        <v>437500</v>
      </c>
      <c r="I590" s="311">
        <f>H524*I580</f>
        <v>437500</v>
      </c>
      <c r="J590" s="311">
        <f>I524*J580</f>
        <v>0</v>
      </c>
      <c r="K590" s="311">
        <f>J524*K580</f>
        <v>0</v>
      </c>
      <c r="L590" s="311">
        <f>K524*L580</f>
        <v>0</v>
      </c>
    </row>
    <row r="591" spans="1:12" ht="15.6" x14ac:dyDescent="0.35">
      <c r="A591" s="44"/>
      <c r="B591" s="61"/>
      <c r="C591" s="61"/>
      <c r="D591" s="61"/>
      <c r="E591" s="61"/>
      <c r="F591" s="61"/>
      <c r="G591" s="100"/>
      <c r="H591" s="144"/>
      <c r="I591" s="144"/>
      <c r="J591" s="144"/>
      <c r="K591" s="144"/>
      <c r="L591" s="144"/>
    </row>
    <row r="592" spans="1:12" ht="15.6" x14ac:dyDescent="0.35">
      <c r="A592" s="44"/>
      <c r="B592" s="217" t="s">
        <v>120</v>
      </c>
      <c r="C592" s="243"/>
      <c r="D592" s="243"/>
      <c r="E592" s="243"/>
      <c r="F592" s="243"/>
      <c r="G592" s="344"/>
      <c r="H592" s="311">
        <f>H517*H582</f>
        <v>0</v>
      </c>
      <c r="I592" s="311">
        <f>I517*I582</f>
        <v>0</v>
      </c>
      <c r="J592" s="311">
        <f>J517*J582</f>
        <v>8750000</v>
      </c>
      <c r="K592" s="311">
        <f>K517*K582</f>
        <v>8750000</v>
      </c>
      <c r="L592" s="311">
        <f>L517*L582</f>
        <v>8487500</v>
      </c>
    </row>
    <row r="593" spans="1:12" ht="15.6" x14ac:dyDescent="0.35">
      <c r="A593" s="44"/>
      <c r="B593" s="217" t="s">
        <v>265</v>
      </c>
      <c r="C593" s="243"/>
      <c r="D593" s="243"/>
      <c r="E593" s="243"/>
      <c r="F593" s="243"/>
      <c r="G593" s="344"/>
      <c r="H593" s="311">
        <f>H527*H583</f>
        <v>17225600.000000004</v>
      </c>
      <c r="I593" s="311">
        <f>I527*I583</f>
        <v>17400000</v>
      </c>
      <c r="J593" s="311">
        <f>J527*J583</f>
        <v>18000000</v>
      </c>
      <c r="K593" s="311">
        <f>K527*K583</f>
        <v>18000000</v>
      </c>
      <c r="L593" s="311">
        <f>L527*L583</f>
        <v>17550000</v>
      </c>
    </row>
    <row r="594" spans="1:12" ht="15.6" x14ac:dyDescent="0.35">
      <c r="A594" s="44"/>
      <c r="B594" s="217" t="s">
        <v>268</v>
      </c>
      <c r="C594" s="243"/>
      <c r="D594" s="243"/>
      <c r="E594" s="243"/>
      <c r="F594" s="243"/>
      <c r="G594" s="344"/>
      <c r="H594" s="311">
        <f>H534*H584</f>
        <v>422500</v>
      </c>
      <c r="I594" s="311">
        <f>I534*I584</f>
        <v>0</v>
      </c>
      <c r="J594" s="311">
        <f>J534*J584</f>
        <v>0</v>
      </c>
      <c r="K594" s="311">
        <f>K534*K584</f>
        <v>0</v>
      </c>
      <c r="L594" s="311">
        <f>L534*L584</f>
        <v>0</v>
      </c>
    </row>
    <row r="595" spans="1:12" ht="15.6" x14ac:dyDescent="0.35">
      <c r="A595" s="44"/>
      <c r="B595" s="217" t="s">
        <v>269</v>
      </c>
      <c r="C595" s="243"/>
      <c r="D595" s="243"/>
      <c r="E595" s="243"/>
      <c r="F595" s="243"/>
      <c r="G595" s="344"/>
      <c r="H595" s="311">
        <f>H540*H585</f>
        <v>552000</v>
      </c>
      <c r="I595" s="311">
        <f>I540*I585</f>
        <v>0</v>
      </c>
      <c r="J595" s="311">
        <f>J540*J585</f>
        <v>0</v>
      </c>
      <c r="K595" s="311">
        <f>K540*K585</f>
        <v>0</v>
      </c>
      <c r="L595" s="311">
        <f>L540*L585</f>
        <v>0</v>
      </c>
    </row>
    <row r="596" spans="1:12" ht="15.6" x14ac:dyDescent="0.35">
      <c r="A596" s="44"/>
      <c r="B596" s="223" t="s">
        <v>270</v>
      </c>
      <c r="C596" s="224"/>
      <c r="D596" s="224"/>
      <c r="E596" s="224"/>
      <c r="F596" s="224"/>
      <c r="G596" s="453"/>
      <c r="H596" s="311">
        <f>H546*H586</f>
        <v>29667000</v>
      </c>
      <c r="I596" s="311">
        <f>I546*I586</f>
        <v>29667000</v>
      </c>
      <c r="J596" s="311">
        <f>J546*J586</f>
        <v>29667000</v>
      </c>
      <c r="K596" s="311">
        <f>K546*K586</f>
        <v>29667000</v>
      </c>
      <c r="L596" s="311">
        <f>L546*L586</f>
        <v>0</v>
      </c>
    </row>
    <row r="597" spans="1:12" ht="15.6" x14ac:dyDescent="0.35">
      <c r="A597" s="44"/>
      <c r="B597" s="217" t="s">
        <v>360</v>
      </c>
      <c r="C597" s="243"/>
      <c r="D597" s="243"/>
      <c r="E597" s="243"/>
      <c r="F597" s="243"/>
      <c r="G597" s="344"/>
      <c r="H597" s="311">
        <f>G559*($G$616+H578)</f>
        <v>0</v>
      </c>
      <c r="I597" s="311">
        <f>H559*($G$616+I578)</f>
        <v>0</v>
      </c>
      <c r="J597" s="311">
        <f>I559*($G$616+J578)</f>
        <v>5280280.8556372263</v>
      </c>
      <c r="K597" s="311">
        <f>J559*($G$616+K578)</f>
        <v>26247765.197499391</v>
      </c>
      <c r="L597" s="311">
        <f>K559*($G$616+L578)</f>
        <v>78044718.796753719</v>
      </c>
    </row>
    <row r="598" spans="1:12" ht="15.6" x14ac:dyDescent="0.35">
      <c r="A598" s="44"/>
      <c r="B598" s="61"/>
      <c r="C598" s="61"/>
      <c r="D598" s="61"/>
      <c r="E598" s="61"/>
      <c r="F598" s="61"/>
      <c r="G598" s="100"/>
      <c r="H598" s="144"/>
      <c r="I598" s="144"/>
      <c r="J598" s="144"/>
      <c r="K598" s="144"/>
      <c r="L598" s="144"/>
    </row>
    <row r="599" spans="1:12" ht="15.6" x14ac:dyDescent="0.35">
      <c r="A599" s="44"/>
      <c r="B599" s="316" t="s">
        <v>277</v>
      </c>
      <c r="C599" s="317"/>
      <c r="D599" s="317"/>
      <c r="E599" s="318"/>
      <c r="F599" s="313"/>
      <c r="G599" s="342"/>
      <c r="H599" s="263">
        <f>H590+SUMPRODUCT(H$592:H$597,$H$611:$H$616)</f>
        <v>17663100.000000004</v>
      </c>
      <c r="I599" s="263">
        <f t="shared" ref="I599:L599" si="253">I590+SUMPRODUCT(I$592:I$597,$H$611:$H$616)</f>
        <v>17837500</v>
      </c>
      <c r="J599" s="263">
        <f t="shared" si="253"/>
        <v>26750000</v>
      </c>
      <c r="K599" s="263">
        <f t="shared" si="253"/>
        <v>26750000</v>
      </c>
      <c r="L599" s="263">
        <f t="shared" si="253"/>
        <v>26037500</v>
      </c>
    </row>
    <row r="600" spans="1:12" ht="15.6" x14ac:dyDescent="0.35">
      <c r="A600" s="44"/>
      <c r="B600" s="316" t="s">
        <v>279</v>
      </c>
      <c r="C600" s="317"/>
      <c r="D600" s="317"/>
      <c r="E600" s="318"/>
      <c r="F600" s="313"/>
      <c r="G600" s="342"/>
      <c r="H600" s="263">
        <f>SUM(H$592:H$597)+H590-SUMPRODUCT(H$592:H$597,$J611:$J616)</f>
        <v>18085600</v>
      </c>
      <c r="I600" s="263">
        <f t="shared" ref="I600:L600" si="254">SUM(I$592:I$597)+I590-SUMPRODUCT(I$592:I$597,$J611:$J616)</f>
        <v>17837500</v>
      </c>
      <c r="J600" s="263">
        <f t="shared" si="254"/>
        <v>32030280.855637223</v>
      </c>
      <c r="K600" s="263">
        <f t="shared" si="254"/>
        <v>52997765.197499394</v>
      </c>
      <c r="L600" s="263">
        <f t="shared" si="254"/>
        <v>104082218.79675372</v>
      </c>
    </row>
    <row r="601" spans="1:12" ht="15.6" x14ac:dyDescent="0.35">
      <c r="A601" s="44"/>
      <c r="B601" s="316" t="s">
        <v>278</v>
      </c>
      <c r="C601" s="317"/>
      <c r="D601" s="317"/>
      <c r="E601" s="318"/>
      <c r="F601" s="313"/>
      <c r="G601" s="342"/>
      <c r="H601" s="263">
        <f>H590+SUM(H592:H597)</f>
        <v>48304600</v>
      </c>
      <c r="I601" s="263">
        <f t="shared" ref="I601:L601" si="255">I590+SUM(I592:I597)</f>
        <v>47504500</v>
      </c>
      <c r="J601" s="263">
        <f t="shared" si="255"/>
        <v>61697280.855637223</v>
      </c>
      <c r="K601" s="263">
        <f t="shared" si="255"/>
        <v>82664765.197499394</v>
      </c>
      <c r="L601" s="263">
        <f t="shared" si="255"/>
        <v>104082218.79675372</v>
      </c>
    </row>
    <row r="602" spans="1:12" ht="15.6" x14ac:dyDescent="0.35">
      <c r="A602" s="44"/>
      <c r="B602" s="61"/>
      <c r="C602" s="61"/>
      <c r="D602" s="61"/>
      <c r="E602" s="61"/>
      <c r="F602" s="61"/>
      <c r="G602" s="100"/>
      <c r="H602" s="144"/>
      <c r="I602" s="144"/>
      <c r="J602" s="144"/>
      <c r="K602" s="144"/>
      <c r="L602" s="144"/>
    </row>
    <row r="603" spans="1:12" ht="15.6" x14ac:dyDescent="0.35">
      <c r="A603" s="44"/>
      <c r="B603" s="316" t="s">
        <v>298</v>
      </c>
      <c r="C603" s="317"/>
      <c r="D603" s="317"/>
      <c r="E603" s="318"/>
      <c r="F603" s="313"/>
      <c r="G603" s="342"/>
      <c r="H603" s="263">
        <f>MAX(H579*(G55), 0)</f>
        <v>3189000</v>
      </c>
      <c r="I603" s="263">
        <f>MAX(I579*(H55), 0)</f>
        <v>768770.49146530277</v>
      </c>
      <c r="J603" s="263">
        <f>MAX(J579*(I55), 0)</f>
        <v>300000</v>
      </c>
      <c r="K603" s="263">
        <f>MAX(K579*(J55), 0)</f>
        <v>300000</v>
      </c>
      <c r="L603" s="263">
        <f>MAX(L579*(K55), 0)</f>
        <v>300000</v>
      </c>
    </row>
    <row r="604" spans="1:12" ht="15.6" x14ac:dyDescent="0.35">
      <c r="A604" s="44"/>
      <c r="B604" s="61"/>
      <c r="C604" s="61"/>
      <c r="D604" s="61"/>
      <c r="E604" s="61"/>
      <c r="F604" s="61"/>
      <c r="G604" s="100"/>
      <c r="H604" s="144"/>
      <c r="I604" s="144"/>
      <c r="J604" s="144"/>
      <c r="K604" s="144"/>
      <c r="L604" s="144"/>
    </row>
    <row r="605" spans="1:12" ht="15.6" x14ac:dyDescent="0.35">
      <c r="A605" s="44"/>
      <c r="B605" s="61"/>
      <c r="C605" s="61"/>
      <c r="D605" s="61"/>
      <c r="E605" s="61"/>
      <c r="F605" s="61"/>
      <c r="G605" s="100"/>
      <c r="H605" s="144"/>
      <c r="I605" s="144"/>
      <c r="J605" s="144"/>
      <c r="K605" s="144"/>
      <c r="L605" s="144"/>
    </row>
    <row r="606" spans="1:12" ht="15.6" x14ac:dyDescent="0.35">
      <c r="A606" s="44"/>
      <c r="B606" s="202" t="s">
        <v>127</v>
      </c>
      <c r="C606" s="203"/>
      <c r="D606" s="204"/>
      <c r="E606" s="204"/>
      <c r="F606" s="205"/>
      <c r="G606" s="205"/>
      <c r="H606" s="205"/>
      <c r="I606" s="205"/>
      <c r="J606" s="205"/>
      <c r="K606" s="205"/>
      <c r="L606" s="206"/>
    </row>
    <row r="607" spans="1:12" ht="15.6" x14ac:dyDescent="0.35">
      <c r="A607" s="44"/>
      <c r="B607" s="77"/>
      <c r="C607" s="77"/>
      <c r="D607" s="77"/>
      <c r="E607" s="77"/>
      <c r="F607" s="77"/>
      <c r="G607" s="99"/>
      <c r="H607" s="99"/>
      <c r="I607" s="99"/>
      <c r="J607" s="99"/>
      <c r="K607" s="99"/>
      <c r="L607" s="99"/>
    </row>
    <row r="608" spans="1:12" ht="15.6" x14ac:dyDescent="0.35">
      <c r="A608" s="44"/>
      <c r="B608" s="77"/>
      <c r="C608" s="77"/>
      <c r="D608" s="77"/>
      <c r="E608" s="133"/>
      <c r="F608" s="133" t="s">
        <v>128</v>
      </c>
      <c r="G608" s="133" t="s">
        <v>133</v>
      </c>
      <c r="H608" s="134" t="s">
        <v>129</v>
      </c>
      <c r="I608" s="134" t="s">
        <v>130</v>
      </c>
      <c r="J608" s="134" t="s">
        <v>136</v>
      </c>
      <c r="K608" s="134" t="s">
        <v>275</v>
      </c>
      <c r="L608" s="134" t="s">
        <v>11</v>
      </c>
    </row>
    <row r="609" spans="1:12" ht="16.2" thickBot="1" x14ac:dyDescent="0.4">
      <c r="A609" s="44"/>
      <c r="B609" s="135"/>
      <c r="C609" s="135"/>
      <c r="D609" s="135"/>
      <c r="E609" s="136"/>
      <c r="F609" s="136" t="s">
        <v>132</v>
      </c>
      <c r="G609" s="136" t="s">
        <v>134</v>
      </c>
      <c r="H609" s="137" t="s">
        <v>135</v>
      </c>
      <c r="I609" s="137" t="s">
        <v>131</v>
      </c>
      <c r="J609" s="137" t="s">
        <v>131</v>
      </c>
      <c r="K609" s="137" t="s">
        <v>276</v>
      </c>
      <c r="L609" s="137" t="s">
        <v>137</v>
      </c>
    </row>
    <row r="610" spans="1:12" ht="4.05" customHeight="1" x14ac:dyDescent="0.35">
      <c r="A610" s="44"/>
      <c r="B610" s="77"/>
      <c r="C610" s="77"/>
      <c r="D610" s="77"/>
      <c r="E610" s="77"/>
      <c r="F610" s="99"/>
      <c r="G610" s="99"/>
      <c r="H610" s="99"/>
      <c r="I610" s="99"/>
      <c r="J610" s="99"/>
      <c r="K610" s="99"/>
      <c r="L610" s="99"/>
    </row>
    <row r="611" spans="1:12" ht="15.6" x14ac:dyDescent="0.35">
      <c r="A611" s="44"/>
      <c r="B611" s="140" t="s">
        <v>120</v>
      </c>
      <c r="C611" s="140"/>
      <c r="D611" s="140"/>
      <c r="E611" s="140"/>
      <c r="F611" s="141">
        <v>0</v>
      </c>
      <c r="G611" s="141">
        <v>0.05</v>
      </c>
      <c r="H611" s="356">
        <v>1</v>
      </c>
      <c r="I611" s="356">
        <v>0</v>
      </c>
      <c r="J611" s="356">
        <v>0</v>
      </c>
      <c r="K611" s="355">
        <v>0</v>
      </c>
      <c r="L611" s="142">
        <v>1</v>
      </c>
    </row>
    <row r="612" spans="1:12" ht="15.6" x14ac:dyDescent="0.35">
      <c r="A612" s="44"/>
      <c r="B612" s="140" t="s">
        <v>272</v>
      </c>
      <c r="C612" s="140"/>
      <c r="D612" s="140"/>
      <c r="E612" s="140"/>
      <c r="F612" s="141">
        <v>0</v>
      </c>
      <c r="G612" s="141">
        <v>7.0000000000000007E-2</v>
      </c>
      <c r="H612" s="356">
        <v>1</v>
      </c>
      <c r="I612" s="356">
        <v>0</v>
      </c>
      <c r="J612" s="356">
        <v>0</v>
      </c>
      <c r="K612" s="355">
        <v>0</v>
      </c>
      <c r="L612" s="142">
        <v>0</v>
      </c>
    </row>
    <row r="613" spans="1:12" ht="15.6" x14ac:dyDescent="0.35">
      <c r="A613" s="44"/>
      <c r="B613" s="140" t="s">
        <v>268</v>
      </c>
      <c r="C613" s="140"/>
      <c r="D613" s="140"/>
      <c r="E613" s="140"/>
      <c r="F613" s="141">
        <v>6.5000000000000002E-2</v>
      </c>
      <c r="G613" s="141">
        <v>0</v>
      </c>
      <c r="H613" s="356">
        <v>0</v>
      </c>
      <c r="I613" s="356">
        <v>0</v>
      </c>
      <c r="J613" s="356">
        <v>0</v>
      </c>
      <c r="K613" s="355">
        <v>0</v>
      </c>
      <c r="L613" s="142">
        <v>0</v>
      </c>
    </row>
    <row r="614" spans="1:12" ht="15.6" x14ac:dyDescent="0.35">
      <c r="A614" s="44"/>
      <c r="B614" s="140" t="s">
        <v>273</v>
      </c>
      <c r="C614" s="140"/>
      <c r="D614" s="140"/>
      <c r="E614" s="140"/>
      <c r="F614" s="141">
        <v>7.4999999999999997E-3</v>
      </c>
      <c r="G614" s="141">
        <v>0</v>
      </c>
      <c r="H614" s="356">
        <v>0</v>
      </c>
      <c r="I614" s="356">
        <v>0</v>
      </c>
      <c r="J614" s="356">
        <v>1</v>
      </c>
      <c r="K614" s="355">
        <v>79.650000000000006</v>
      </c>
      <c r="L614" s="142">
        <v>0</v>
      </c>
    </row>
    <row r="615" spans="1:12" ht="15.6" x14ac:dyDescent="0.35">
      <c r="A615" s="44"/>
      <c r="B615" s="140" t="s">
        <v>274</v>
      </c>
      <c r="C615" s="140"/>
      <c r="D615" s="140"/>
      <c r="E615" s="140"/>
      <c r="F615" s="141">
        <v>0.11</v>
      </c>
      <c r="G615" s="141">
        <v>0</v>
      </c>
      <c r="H615" s="356">
        <v>0</v>
      </c>
      <c r="I615" s="356">
        <v>0</v>
      </c>
      <c r="J615" s="356">
        <v>1</v>
      </c>
      <c r="K615" s="355">
        <v>79.650000000000006</v>
      </c>
      <c r="L615" s="142">
        <v>0</v>
      </c>
    </row>
    <row r="616" spans="1:12" ht="15.6" x14ac:dyDescent="0.35">
      <c r="A616" s="44"/>
      <c r="B616" s="140" t="s">
        <v>359</v>
      </c>
      <c r="C616" s="140"/>
      <c r="D616" s="140"/>
      <c r="E616" s="140"/>
      <c r="F616" s="141">
        <v>0</v>
      </c>
      <c r="G616" s="141">
        <v>7.0000000000000007E-2</v>
      </c>
      <c r="H616" s="356" t="s">
        <v>79</v>
      </c>
      <c r="I616" s="356" t="s">
        <v>362</v>
      </c>
      <c r="J616" s="356" t="s">
        <v>362</v>
      </c>
      <c r="K616" s="355">
        <v>0</v>
      </c>
      <c r="L616" s="142">
        <v>0</v>
      </c>
    </row>
    <row r="617" spans="1:12" ht="4.05" customHeight="1" thickBot="1" x14ac:dyDescent="0.4">
      <c r="A617" s="44"/>
      <c r="B617" s="138"/>
      <c r="C617" s="138"/>
      <c r="D617" s="138"/>
      <c r="E617" s="138"/>
      <c r="F617" s="138"/>
      <c r="G617" s="138"/>
      <c r="H617" s="139"/>
      <c r="I617" s="139"/>
      <c r="J617" s="139"/>
      <c r="K617" s="139"/>
      <c r="L617" s="139"/>
    </row>
    <row r="618" spans="1:12" ht="15.6" x14ac:dyDescent="0.35">
      <c r="A618" s="44"/>
      <c r="B618" s="44"/>
      <c r="C618" s="44"/>
      <c r="D618" s="44"/>
      <c r="E618" s="44"/>
      <c r="F618" s="44"/>
      <c r="G618" s="44"/>
      <c r="H618" s="96"/>
      <c r="I618" s="96"/>
      <c r="J618" s="96"/>
      <c r="K618" s="96"/>
      <c r="L618" s="96"/>
    </row>
    <row r="619" spans="1:12" ht="15.6" x14ac:dyDescent="0.35">
      <c r="A619" s="44"/>
      <c r="B619" s="44"/>
      <c r="C619" s="44"/>
      <c r="D619" s="44"/>
      <c r="E619" s="44"/>
      <c r="F619" s="44"/>
      <c r="G619" s="44"/>
      <c r="H619" s="96"/>
      <c r="I619" s="96"/>
      <c r="J619" s="96"/>
      <c r="K619" s="96"/>
      <c r="L619" s="96"/>
    </row>
    <row r="620" spans="1:12" ht="28.8" x14ac:dyDescent="0.65">
      <c r="A620" s="44"/>
      <c r="B620" s="45" t="str">
        <f>Cover!$B$2</f>
        <v>ASOS PLC</v>
      </c>
      <c r="C620" s="45"/>
      <c r="D620" s="46"/>
      <c r="E620" s="47"/>
      <c r="F620" s="47"/>
      <c r="G620" s="47"/>
      <c r="H620" s="47"/>
      <c r="I620" s="47"/>
      <c r="J620" s="47"/>
      <c r="K620" s="47"/>
      <c r="L620" s="47"/>
    </row>
    <row r="621" spans="1:12" ht="21" x14ac:dyDescent="0.5">
      <c r="A621" s="44"/>
      <c r="B621" s="48" t="s">
        <v>344</v>
      </c>
      <c r="C621" s="49"/>
      <c r="D621" s="47"/>
      <c r="E621" s="47"/>
      <c r="F621" s="47"/>
      <c r="G621" s="47"/>
      <c r="H621" s="47"/>
      <c r="I621" s="47"/>
      <c r="J621" s="47"/>
      <c r="K621" s="47"/>
      <c r="L621" s="164" t="str">
        <f>"Currently Running: "&amp;CHOOSE(Assumptions!$B$10,Assumptions!$F$15,Assumptions!$F$16,Assumptions!$F$17)&amp;"Scenario"</f>
        <v>Currently Running: Base Scenario</v>
      </c>
    </row>
    <row r="622" spans="1:12" ht="15.6" x14ac:dyDescent="0.35">
      <c r="A622" s="44"/>
      <c r="B622" s="50"/>
      <c r="C622" s="50"/>
      <c r="D622" s="50"/>
      <c r="E622" s="50"/>
      <c r="F622" s="50"/>
      <c r="G622" s="50"/>
      <c r="H622" s="50"/>
      <c r="I622" s="50"/>
      <c r="J622" s="50"/>
      <c r="K622" s="51"/>
      <c r="L622" s="51"/>
    </row>
    <row r="623" spans="1:12" ht="15.6" x14ac:dyDescent="0.35">
      <c r="A623" s="44"/>
      <c r="B623" s="51"/>
      <c r="C623" s="51"/>
      <c r="D623" s="51"/>
      <c r="E623" s="51"/>
      <c r="F623" s="249" t="s">
        <v>374</v>
      </c>
      <c r="G623" s="52"/>
      <c r="H623" s="52"/>
      <c r="I623" s="52"/>
      <c r="J623" s="52"/>
      <c r="K623" s="52"/>
      <c r="L623" s="52"/>
    </row>
    <row r="624" spans="1:12" ht="15.6" x14ac:dyDescent="0.35">
      <c r="A624" s="44"/>
      <c r="B624" s="51"/>
      <c r="C624" s="51"/>
      <c r="D624" s="51"/>
      <c r="E624" s="51"/>
      <c r="F624" s="53">
        <f>$F$7</f>
        <v>2024</v>
      </c>
      <c r="G624" s="53">
        <f>F624+1</f>
        <v>2025</v>
      </c>
      <c r="H624" s="54">
        <f>G624+1</f>
        <v>2026</v>
      </c>
      <c r="I624" s="54">
        <f t="shared" ref="I624" si="256">H624+1</f>
        <v>2027</v>
      </c>
      <c r="J624" s="54">
        <f t="shared" ref="J624" si="257">I624+1</f>
        <v>2028</v>
      </c>
      <c r="K624" s="54">
        <f t="shared" ref="K624" si="258">J624+1</f>
        <v>2029</v>
      </c>
      <c r="L624" s="54">
        <f t="shared" ref="L624" si="259">K624+1</f>
        <v>2030</v>
      </c>
    </row>
    <row r="625" spans="1:12" ht="16.2" thickBot="1" x14ac:dyDescent="0.4">
      <c r="A625" s="44"/>
      <c r="B625" s="55" t="s">
        <v>191</v>
      </c>
      <c r="C625" s="55"/>
      <c r="D625" s="55"/>
      <c r="E625" s="55"/>
      <c r="F625" s="56" t="s">
        <v>50</v>
      </c>
      <c r="G625" s="56"/>
      <c r="H625" s="57"/>
      <c r="I625" s="57"/>
      <c r="J625" s="57"/>
      <c r="K625" s="57"/>
      <c r="L625" s="57" t="s">
        <v>37</v>
      </c>
    </row>
    <row r="626" spans="1:12" ht="15.6" x14ac:dyDescent="0.35">
      <c r="A626" s="44"/>
      <c r="B626" s="77"/>
      <c r="C626" s="77"/>
      <c r="D626" s="77"/>
      <c r="E626" s="44"/>
      <c r="F626" s="44"/>
      <c r="G626" s="44"/>
      <c r="H626" s="101"/>
      <c r="I626" s="101"/>
      <c r="J626" s="101"/>
      <c r="K626" s="101"/>
      <c r="L626" s="101"/>
    </row>
    <row r="627" spans="1:12" ht="15.6" x14ac:dyDescent="0.35">
      <c r="A627" s="44"/>
      <c r="B627" s="202" t="s">
        <v>348</v>
      </c>
      <c r="C627" s="203"/>
      <c r="D627" s="204"/>
      <c r="E627" s="204"/>
      <c r="F627" s="205"/>
      <c r="G627" s="205"/>
      <c r="H627" s="205"/>
      <c r="I627" s="205"/>
      <c r="J627" s="205"/>
      <c r="K627" s="205"/>
      <c r="L627" s="206"/>
    </row>
    <row r="628" spans="1:12" ht="15.6" x14ac:dyDescent="0.35">
      <c r="A628" s="44"/>
      <c r="C628" s="77"/>
      <c r="D628" s="77"/>
      <c r="E628" s="44"/>
      <c r="F628" s="44"/>
      <c r="G628" s="44"/>
      <c r="H628" s="101"/>
      <c r="I628" s="101"/>
      <c r="J628" s="101"/>
      <c r="K628" s="101"/>
      <c r="L628" s="101"/>
    </row>
    <row r="629" spans="1:12" ht="15.6" x14ac:dyDescent="0.35">
      <c r="A629" s="44"/>
      <c r="B629" s="217" t="s">
        <v>346</v>
      </c>
      <c r="C629" s="326"/>
      <c r="D629" s="326"/>
      <c r="E629" s="327"/>
      <c r="F629" s="422"/>
      <c r="G629" s="422"/>
      <c r="H629" s="424">
        <f>H566</f>
        <v>419700000</v>
      </c>
      <c r="I629" s="424">
        <f t="shared" ref="I629:L629" si="260">I566</f>
        <v>551202340.46364355</v>
      </c>
      <c r="J629" s="424">
        <f t="shared" si="260"/>
        <v>725931376.64582825</v>
      </c>
      <c r="K629" s="424">
        <f t="shared" si="260"/>
        <v>904548878.60473251</v>
      </c>
      <c r="L629" s="424">
        <f t="shared" si="260"/>
        <v>1082189850.1222041</v>
      </c>
    </row>
    <row r="630" spans="1:12" ht="15.6" x14ac:dyDescent="0.35">
      <c r="A630" s="44"/>
      <c r="B630" s="336" t="s">
        <v>345</v>
      </c>
      <c r="C630" s="326"/>
      <c r="D630" s="326"/>
      <c r="E630" s="327"/>
      <c r="F630" s="422"/>
      <c r="G630" s="422"/>
      <c r="H630" s="424">
        <f>H629-H416-H55</f>
        <v>541957950.85346973</v>
      </c>
      <c r="I630" s="424">
        <f>I629-I416-I55</f>
        <v>694211390.46364355</v>
      </c>
      <c r="J630" s="424">
        <f>J629-J416-J55</f>
        <v>842030698.14582825</v>
      </c>
      <c r="K630" s="424">
        <f>K629-K416-K55</f>
        <v>992931179.74973249</v>
      </c>
      <c r="L630" s="424">
        <f>L629-L416-L55</f>
        <v>1142023620.3015542</v>
      </c>
    </row>
    <row r="631" spans="1:12" ht="15.6" x14ac:dyDescent="0.35">
      <c r="A631" s="44"/>
      <c r="B631" s="336" t="s">
        <v>347</v>
      </c>
      <c r="C631" s="326"/>
      <c r="D631" s="326"/>
      <c r="E631" s="327"/>
      <c r="F631" s="422"/>
      <c r="G631" s="422"/>
      <c r="H631" s="424">
        <f>H531</f>
        <v>150000000</v>
      </c>
      <c r="I631" s="424">
        <f>I531</f>
        <v>150000000</v>
      </c>
      <c r="J631" s="424">
        <f>J531</f>
        <v>150000000</v>
      </c>
      <c r="K631" s="424">
        <f>K531</f>
        <v>150000000</v>
      </c>
      <c r="L631" s="424">
        <f>L531</f>
        <v>150000000</v>
      </c>
    </row>
    <row r="632" spans="1:12" ht="15.6" x14ac:dyDescent="0.35">
      <c r="A632" s="44"/>
      <c r="B632" s="77"/>
      <c r="C632" s="77"/>
      <c r="D632" s="77"/>
      <c r="E632" s="44"/>
      <c r="F632" s="44"/>
      <c r="G632" s="44"/>
      <c r="H632" s="101"/>
      <c r="I632" s="101"/>
      <c r="J632" s="101"/>
      <c r="K632" s="101"/>
      <c r="L632" s="101"/>
    </row>
    <row r="633" spans="1:12" ht="15.6" x14ac:dyDescent="0.35">
      <c r="A633" s="44"/>
      <c r="B633" s="202" t="s">
        <v>349</v>
      </c>
      <c r="C633" s="203"/>
      <c r="D633" s="204"/>
      <c r="E633" s="204"/>
      <c r="F633" s="205"/>
      <c r="G633" s="205"/>
      <c r="H633" s="205"/>
      <c r="I633" s="205"/>
      <c r="J633" s="205"/>
      <c r="K633" s="205"/>
      <c r="L633" s="206"/>
    </row>
    <row r="634" spans="1:12" ht="15.6" x14ac:dyDescent="0.35">
      <c r="A634" s="44"/>
      <c r="B634" s="77"/>
      <c r="C634" s="77"/>
      <c r="D634" s="77"/>
      <c r="E634" s="44"/>
      <c r="F634" s="44"/>
      <c r="G634" s="44"/>
      <c r="H634" s="101"/>
      <c r="I634" s="101"/>
      <c r="J634" s="101"/>
      <c r="K634" s="101"/>
      <c r="L634" s="101"/>
    </row>
    <row r="635" spans="1:12" ht="15.6" x14ac:dyDescent="0.35">
      <c r="A635" s="44"/>
      <c r="B635" s="336" t="s">
        <v>350</v>
      </c>
      <c r="C635" s="326"/>
      <c r="D635" s="326"/>
      <c r="E635" s="327"/>
      <c r="F635" s="422"/>
      <c r="G635" s="422"/>
      <c r="H635" s="423">
        <f>H25/H601</f>
        <v>0.25205925874563739</v>
      </c>
      <c r="I635" s="423">
        <f>I25/I601</f>
        <v>9.1105902983164774E-2</v>
      </c>
      <c r="J635" s="423">
        <f>J25/J601</f>
        <v>0.12378422902805236</v>
      </c>
      <c r="K635" s="423">
        <f>K25/K601</f>
        <v>0.24326991374434928</v>
      </c>
      <c r="L635" s="423">
        <f>L25/L601</f>
        <v>0.37584729431621988</v>
      </c>
    </row>
    <row r="636" spans="1:12" ht="15.6" x14ac:dyDescent="0.35">
      <c r="A636" s="44"/>
      <c r="B636" s="336" t="s">
        <v>351</v>
      </c>
      <c r="C636" s="326"/>
      <c r="D636" s="326"/>
      <c r="E636" s="327"/>
      <c r="F636" s="422"/>
      <c r="G636" s="422"/>
      <c r="H636" s="423" t="str">
        <f>IF(OR(H18/H601 &lt; 0, H601=0), "NM", H18/H601)</f>
        <v>NM</v>
      </c>
      <c r="I636" s="423" t="str">
        <f t="shared" ref="I636:L636" si="261">IF(OR(I18/I601 &lt; 0, I601=0), "NM", I18/I601)</f>
        <v>NM</v>
      </c>
      <c r="J636" s="423" t="str">
        <f>IF(OR(J18/J601 &lt; 0, J601=0), "NM", J18/J601)</f>
        <v>NM</v>
      </c>
      <c r="K636" s="423" t="str">
        <f t="shared" si="261"/>
        <v>NM</v>
      </c>
      <c r="L636" s="423" t="str">
        <f t="shared" si="261"/>
        <v>NM</v>
      </c>
    </row>
    <row r="637" spans="1:12" ht="15.6" x14ac:dyDescent="0.35">
      <c r="A637" s="44"/>
      <c r="B637" s="77"/>
      <c r="C637" s="77"/>
      <c r="D637" s="77"/>
      <c r="E637" s="44"/>
      <c r="F637" s="44"/>
      <c r="G637" s="44"/>
      <c r="H637" s="101"/>
      <c r="I637" s="101"/>
      <c r="J637" s="101"/>
      <c r="K637" s="101"/>
      <c r="L637" s="101"/>
    </row>
    <row r="638" spans="1:12" ht="15.6" x14ac:dyDescent="0.35">
      <c r="A638" s="44"/>
      <c r="B638" s="202" t="s">
        <v>352</v>
      </c>
      <c r="C638" s="203"/>
      <c r="D638" s="204"/>
      <c r="E638" s="204"/>
      <c r="F638" s="205"/>
      <c r="G638" s="205"/>
      <c r="H638" s="205"/>
      <c r="I638" s="205"/>
      <c r="J638" s="205"/>
      <c r="K638" s="205"/>
      <c r="L638" s="206"/>
    </row>
    <row r="639" spans="1:12" ht="15.6" x14ac:dyDescent="0.35">
      <c r="A639" s="44"/>
      <c r="B639" s="77"/>
      <c r="C639" s="77"/>
      <c r="D639" s="77"/>
      <c r="E639" s="44"/>
      <c r="F639" s="44"/>
      <c r="G639" s="44"/>
      <c r="H639" s="101"/>
      <c r="I639" s="101"/>
      <c r="J639" s="101"/>
      <c r="K639" s="101"/>
      <c r="L639" s="101"/>
    </row>
    <row r="640" spans="1:12" ht="15.6" x14ac:dyDescent="0.35">
      <c r="A640" s="44"/>
      <c r="B640" s="336" t="s">
        <v>353</v>
      </c>
      <c r="C640" s="421"/>
      <c r="D640" s="421"/>
      <c r="E640" s="327"/>
      <c r="F640" s="422"/>
      <c r="G640" s="422"/>
      <c r="H640" s="423">
        <f>H629/H25</f>
        <v>34.470519155006258</v>
      </c>
      <c r="I640" s="423">
        <f>I629/I25</f>
        <v>127.35904230694624</v>
      </c>
      <c r="J640" s="423">
        <f>J629/J25</f>
        <v>95.052649740113736</v>
      </c>
      <c r="K640" s="423">
        <f>K629/K25</f>
        <v>44.98038847343151</v>
      </c>
      <c r="L640" s="423">
        <f>L629/L25</f>
        <v>27.664032515048429</v>
      </c>
    </row>
    <row r="641" spans="1:12" ht="15.6" x14ac:dyDescent="0.35">
      <c r="A641" s="44"/>
      <c r="B641" s="336" t="s">
        <v>159</v>
      </c>
      <c r="C641" s="421"/>
      <c r="D641" s="421"/>
      <c r="E641" s="327"/>
      <c r="F641" s="422"/>
      <c r="G641" s="422"/>
      <c r="H641" s="423">
        <f>H630/H25</f>
        <v>44.511727248278461</v>
      </c>
      <c r="I641" s="423">
        <f>I630/I25</f>
        <v>160.40225405003483</v>
      </c>
      <c r="J641" s="423">
        <f>J630/J25</f>
        <v>110.25456619755381</v>
      </c>
      <c r="K641" s="423">
        <f>K630/K25</f>
        <v>49.375364061494899</v>
      </c>
      <c r="L641" s="423">
        <f>L630/L25</f>
        <v>29.193563921716642</v>
      </c>
    </row>
    <row r="642" spans="1:12" ht="15.6" x14ac:dyDescent="0.35">
      <c r="A642" s="44"/>
      <c r="B642" s="77"/>
      <c r="C642" s="77"/>
      <c r="D642" s="77"/>
      <c r="E642" s="44"/>
      <c r="F642" s="44"/>
      <c r="G642" s="44"/>
      <c r="H642" s="101"/>
      <c r="I642" s="101"/>
      <c r="J642" s="101"/>
      <c r="K642" s="101"/>
      <c r="L642" s="101"/>
    </row>
    <row r="643" spans="1:12" ht="15.6" x14ac:dyDescent="0.35">
      <c r="A643" s="44"/>
      <c r="B643" s="77"/>
      <c r="C643" s="77"/>
      <c r="D643" s="77"/>
      <c r="E643" s="44"/>
      <c r="F643" s="44"/>
      <c r="G643" s="44"/>
      <c r="H643" s="101"/>
      <c r="I643" s="101"/>
      <c r="J643" s="101"/>
      <c r="K643" s="101"/>
      <c r="L643" s="101"/>
    </row>
    <row r="644" spans="1:12" ht="15.6" x14ac:dyDescent="0.35">
      <c r="A644" s="44"/>
      <c r="B644" s="77"/>
      <c r="C644" s="77"/>
      <c r="D644" s="77"/>
      <c r="E644" s="44"/>
      <c r="F644" s="44"/>
      <c r="G644" s="44"/>
      <c r="H644" s="101"/>
      <c r="I644" s="101"/>
      <c r="J644" s="101"/>
      <c r="K644" s="101"/>
      <c r="L644" s="101"/>
    </row>
    <row r="645" spans="1:12" ht="15.6" x14ac:dyDescent="0.35">
      <c r="A645" s="44"/>
      <c r="B645" s="77"/>
      <c r="C645" s="77"/>
      <c r="D645" s="77"/>
      <c r="E645" s="44"/>
      <c r="F645" s="44"/>
      <c r="G645" s="44"/>
      <c r="H645" s="101"/>
      <c r="I645" s="101"/>
      <c r="J645" s="101"/>
      <c r="K645" s="101"/>
      <c r="L645" s="101"/>
    </row>
    <row r="646" spans="1:12" ht="15.6" x14ac:dyDescent="0.35">
      <c r="A646" s="44"/>
      <c r="B646" s="44"/>
      <c r="C646" s="44"/>
      <c r="D646" s="44"/>
      <c r="E646" s="44"/>
      <c r="F646" s="44"/>
      <c r="G646" s="44"/>
      <c r="H646" s="44"/>
      <c r="I646" s="44"/>
      <c r="J646" s="44"/>
      <c r="K646" s="44"/>
      <c r="L646" s="44"/>
    </row>
    <row r="647" spans="1:12" ht="28.8" x14ac:dyDescent="0.65">
      <c r="A647" s="44"/>
      <c r="B647" s="45" t="str">
        <f>Cover!$B$2</f>
        <v>ASOS PLC</v>
      </c>
      <c r="C647" s="45"/>
      <c r="D647" s="46"/>
      <c r="E647" s="47"/>
      <c r="F647" s="47"/>
      <c r="G647" s="47"/>
      <c r="H647" s="47"/>
      <c r="I647" s="47"/>
      <c r="J647" s="47"/>
      <c r="K647" s="47"/>
      <c r="L647" s="47"/>
    </row>
    <row r="648" spans="1:12" ht="21" x14ac:dyDescent="0.5">
      <c r="A648" s="44"/>
      <c r="B648" s="48" t="s">
        <v>21</v>
      </c>
      <c r="C648" s="49"/>
      <c r="D648" s="47"/>
      <c r="E648" s="47"/>
      <c r="F648" s="47"/>
      <c r="G648" s="47"/>
      <c r="H648" s="47"/>
      <c r="I648" s="47"/>
      <c r="J648" s="47"/>
      <c r="K648" s="47"/>
      <c r="L648" s="164" t="str">
        <f>"Currently Running: "&amp;CHOOSE(Assumptions!$B$10,Assumptions!$F$15,Assumptions!$F$16,Assumptions!$F$17)&amp;"Scenario"</f>
        <v>Currently Running: Base Scenario</v>
      </c>
    </row>
    <row r="649" spans="1:12" ht="15.6" x14ac:dyDescent="0.35">
      <c r="A649" s="44"/>
      <c r="B649" s="50"/>
      <c r="C649" s="50"/>
      <c r="D649" s="50"/>
      <c r="E649" s="50"/>
      <c r="F649" s="50"/>
      <c r="G649" s="50"/>
      <c r="H649" s="50"/>
      <c r="I649" s="50"/>
      <c r="J649" s="50"/>
      <c r="K649" s="51"/>
      <c r="L649" s="51"/>
    </row>
    <row r="650" spans="1:12" ht="15.6" x14ac:dyDescent="0.35">
      <c r="A650" s="44"/>
      <c r="B650" s="51"/>
      <c r="C650" s="51"/>
      <c r="D650" s="51"/>
      <c r="E650" s="51"/>
      <c r="F650" s="249" t="s">
        <v>374</v>
      </c>
      <c r="G650" s="52"/>
      <c r="H650" s="52"/>
      <c r="I650" s="52"/>
      <c r="J650" s="52"/>
      <c r="K650" s="52"/>
      <c r="L650" s="52"/>
    </row>
    <row r="651" spans="1:12" ht="15.6" x14ac:dyDescent="0.35">
      <c r="A651" s="44"/>
      <c r="B651" s="51"/>
      <c r="C651" s="51"/>
      <c r="D651" s="51"/>
      <c r="E651" s="51"/>
      <c r="F651" s="53">
        <f>$F$7</f>
        <v>2024</v>
      </c>
      <c r="G651" s="53">
        <f>F651+1</f>
        <v>2025</v>
      </c>
      <c r="H651" s="54">
        <f>G651+1</f>
        <v>2026</v>
      </c>
      <c r="I651" s="54">
        <f t="shared" ref="I651" si="262">H651+1</f>
        <v>2027</v>
      </c>
      <c r="J651" s="54">
        <f t="shared" ref="J651" si="263">I651+1</f>
        <v>2028</v>
      </c>
      <c r="K651" s="54">
        <f t="shared" ref="K651" si="264">J651+1</f>
        <v>2029</v>
      </c>
      <c r="L651" s="54">
        <f t="shared" ref="L651" si="265">K651+1</f>
        <v>2030</v>
      </c>
    </row>
    <row r="652" spans="1:12" ht="16.2" thickBot="1" x14ac:dyDescent="0.4">
      <c r="A652" s="44"/>
      <c r="B652" s="55" t="s">
        <v>191</v>
      </c>
      <c r="C652" s="55"/>
      <c r="D652" s="55"/>
      <c r="E652" s="55"/>
      <c r="F652" s="56" t="s">
        <v>50</v>
      </c>
      <c r="G652" s="56"/>
      <c r="H652" s="57"/>
      <c r="I652" s="57"/>
      <c r="J652" s="57"/>
      <c r="K652" s="57"/>
      <c r="L652" s="57" t="s">
        <v>37</v>
      </c>
    </row>
    <row r="653" spans="1:12" ht="15.6" x14ac:dyDescent="0.35">
      <c r="A653" s="44"/>
      <c r="B653" s="51"/>
      <c r="C653" s="51"/>
      <c r="D653" s="51"/>
      <c r="E653" s="51"/>
      <c r="F653" s="72"/>
      <c r="G653" s="72"/>
      <c r="H653" s="73"/>
      <c r="I653" s="73"/>
      <c r="J653" s="73"/>
      <c r="K653" s="73"/>
      <c r="L653" s="73"/>
    </row>
    <row r="654" spans="1:12" ht="15.6" x14ac:dyDescent="0.35">
      <c r="A654" s="44"/>
      <c r="B654" s="202" t="s">
        <v>185</v>
      </c>
      <c r="C654" s="203"/>
      <c r="D654" s="204"/>
      <c r="E654" s="204"/>
      <c r="F654" s="205"/>
      <c r="G654" s="205"/>
      <c r="H654" s="205"/>
      <c r="I654" s="205"/>
      <c r="J654" s="205"/>
      <c r="K654" s="205"/>
      <c r="L654" s="206"/>
    </row>
    <row r="655" spans="1:12" ht="15.6" x14ac:dyDescent="0.35">
      <c r="A655" s="44"/>
      <c r="B655" s="61"/>
      <c r="C655" s="61"/>
      <c r="D655" s="61"/>
      <c r="E655" s="61"/>
      <c r="F655" s="61"/>
      <c r="G655" s="95"/>
      <c r="H655" s="95"/>
      <c r="I655" s="95"/>
      <c r="J655" s="95"/>
      <c r="K655" s="95"/>
      <c r="L655" s="95"/>
    </row>
    <row r="656" spans="1:12" ht="15.6" x14ac:dyDescent="0.35">
      <c r="A656" s="44"/>
      <c r="B656" s="217" t="s">
        <v>20</v>
      </c>
      <c r="C656" s="243"/>
      <c r="D656" s="243"/>
      <c r="E656" s="244"/>
      <c r="F656" s="343">
        <f>F32</f>
        <v>-379300000</v>
      </c>
      <c r="G656" s="343">
        <f>G32</f>
        <v>-281600000</v>
      </c>
      <c r="H656" s="311">
        <f>H32</f>
        <v>-184847149.00073671</v>
      </c>
      <c r="I656" s="311">
        <f>I32</f>
        <v>-212583131.31036022</v>
      </c>
      <c r="J656" s="311">
        <f>J32</f>
        <v>-241873093.15739432</v>
      </c>
      <c r="K656" s="311">
        <f>K32</f>
        <v>-268407977.5897311</v>
      </c>
      <c r="L656" s="311">
        <f>L32</f>
        <v>-289276040.23866594</v>
      </c>
    </row>
    <row r="657" spans="1:12" ht="15.6" x14ac:dyDescent="0.35">
      <c r="A657" s="44"/>
      <c r="B657" s="217" t="s">
        <v>145</v>
      </c>
      <c r="C657" s="243"/>
      <c r="D657" s="243"/>
      <c r="E657" s="244"/>
      <c r="F657" s="239">
        <v>0.25</v>
      </c>
      <c r="G657" s="239">
        <v>0.25</v>
      </c>
      <c r="H657" s="239">
        <v>0.25</v>
      </c>
      <c r="I657" s="239">
        <v>0.25</v>
      </c>
      <c r="J657" s="239">
        <v>0.25</v>
      </c>
      <c r="K657" s="239">
        <v>0.25</v>
      </c>
      <c r="L657" s="239">
        <v>0.25</v>
      </c>
    </row>
    <row r="658" spans="1:12" ht="15.6" x14ac:dyDescent="0.35">
      <c r="A658" s="44"/>
      <c r="B658" s="217" t="s">
        <v>143</v>
      </c>
      <c r="C658" s="242"/>
      <c r="D658" s="242"/>
      <c r="E658" s="256"/>
      <c r="F658" s="357">
        <f>-F33/F656</f>
        <v>0.10703928288953335</v>
      </c>
      <c r="G658" s="357">
        <f>-G33/G656</f>
        <v>-5.9659090909090912E-2</v>
      </c>
      <c r="H658" s="239">
        <v>0.25</v>
      </c>
      <c r="I658" s="239">
        <v>0.25</v>
      </c>
      <c r="J658" s="239">
        <v>0.25</v>
      </c>
      <c r="K658" s="239">
        <v>0.25</v>
      </c>
      <c r="L658" s="239">
        <v>0.25</v>
      </c>
    </row>
    <row r="659" spans="1:12" ht="15.6" x14ac:dyDescent="0.35">
      <c r="A659" s="44"/>
      <c r="B659" s="316" t="s">
        <v>188</v>
      </c>
      <c r="C659" s="317"/>
      <c r="D659" s="317"/>
      <c r="E659" s="318"/>
      <c r="F659" s="313"/>
      <c r="G659" s="342"/>
      <c r="H659" s="263">
        <f>MAX(0, H658*H656)</f>
        <v>0</v>
      </c>
      <c r="I659" s="263">
        <f>MAX(0, I658*I656)</f>
        <v>0</v>
      </c>
      <c r="J659" s="263">
        <f>MAX(0, J658*J656)</f>
        <v>0</v>
      </c>
      <c r="K659" s="263">
        <f>MAX(0, K658*K656)</f>
        <v>0</v>
      </c>
      <c r="L659" s="263">
        <f>MAX(0, L658*L656)</f>
        <v>0</v>
      </c>
    </row>
    <row r="660" spans="1:12" ht="15.6" x14ac:dyDescent="0.35">
      <c r="A660" s="44"/>
      <c r="B660" s="183"/>
      <c r="C660" s="63"/>
      <c r="D660" s="63"/>
      <c r="E660" s="63"/>
      <c r="F660" s="97"/>
      <c r="G660" s="97"/>
      <c r="H660" s="185"/>
      <c r="I660" s="185"/>
      <c r="J660" s="185"/>
      <c r="K660" s="185"/>
      <c r="L660" s="185"/>
    </row>
    <row r="661" spans="1:12" ht="15.6" x14ac:dyDescent="0.35">
      <c r="A661" s="44"/>
      <c r="B661" s="217" t="s">
        <v>296</v>
      </c>
      <c r="C661" s="242"/>
      <c r="D661" s="242"/>
      <c r="E661" s="256"/>
      <c r="F661" s="300"/>
      <c r="G661" s="300"/>
      <c r="H661" s="341">
        <v>0</v>
      </c>
      <c r="I661" s="341">
        <v>0</v>
      </c>
      <c r="J661" s="341">
        <v>0</v>
      </c>
      <c r="K661" s="341">
        <v>0</v>
      </c>
      <c r="L661" s="341">
        <v>0</v>
      </c>
    </row>
    <row r="662" spans="1:12" ht="15.6" x14ac:dyDescent="0.35">
      <c r="A662" s="44"/>
      <c r="B662" s="226" t="s">
        <v>43</v>
      </c>
      <c r="C662" s="191"/>
      <c r="D662" s="191"/>
      <c r="E662" s="221"/>
      <c r="F662" s="319"/>
      <c r="G662" s="366"/>
      <c r="H662" s="334">
        <f>MAX(H659, H659-H661)</f>
        <v>0</v>
      </c>
      <c r="I662" s="334">
        <f t="shared" ref="I662:L662" si="266">MAX(I659, I659-I661)</f>
        <v>0</v>
      </c>
      <c r="J662" s="334">
        <f t="shared" si="266"/>
        <v>0</v>
      </c>
      <c r="K662" s="334">
        <f t="shared" si="266"/>
        <v>0</v>
      </c>
      <c r="L662" s="334">
        <f t="shared" si="266"/>
        <v>0</v>
      </c>
    </row>
    <row r="663" spans="1:12" ht="15.6" x14ac:dyDescent="0.35">
      <c r="A663" s="44"/>
      <c r="B663" s="61"/>
      <c r="C663" s="61"/>
      <c r="D663" s="61"/>
      <c r="E663" s="61"/>
      <c r="F663" s="100"/>
      <c r="G663" s="128"/>
      <c r="H663" s="145"/>
      <c r="I663" s="145"/>
      <c r="J663" s="145"/>
      <c r="K663" s="145"/>
      <c r="L663" s="145"/>
    </row>
    <row r="664" spans="1:12" ht="15.6" x14ac:dyDescent="0.35">
      <c r="A664" s="44"/>
      <c r="B664" s="202" t="s">
        <v>187</v>
      </c>
      <c r="C664" s="203"/>
      <c r="D664" s="204"/>
      <c r="E664" s="204"/>
      <c r="F664" s="205"/>
      <c r="G664" s="205"/>
      <c r="H664" s="205"/>
      <c r="I664" s="205"/>
      <c r="J664" s="205"/>
      <c r="K664" s="205"/>
      <c r="L664" s="206"/>
    </row>
    <row r="665" spans="1:12" ht="15.6" x14ac:dyDescent="0.35">
      <c r="A665" s="44"/>
      <c r="B665" s="61"/>
      <c r="C665" s="61"/>
      <c r="D665" s="61"/>
      <c r="E665" s="61"/>
      <c r="F665" s="100"/>
      <c r="G665" s="100"/>
      <c r="H665" s="100"/>
      <c r="I665" s="100"/>
      <c r="J665" s="100"/>
      <c r="K665" s="100"/>
      <c r="L665" s="100"/>
    </row>
    <row r="666" spans="1:12" ht="15.6" x14ac:dyDescent="0.35">
      <c r="A666" s="44"/>
      <c r="B666" s="217" t="s">
        <v>287</v>
      </c>
      <c r="C666" s="243"/>
      <c r="D666" s="243"/>
      <c r="E666" s="244"/>
      <c r="F666" s="367"/>
      <c r="G666" s="367"/>
      <c r="H666" s="311">
        <f>G77</f>
        <v>0</v>
      </c>
      <c r="I666" s="311">
        <f>H77</f>
        <v>0</v>
      </c>
      <c r="J666" s="311">
        <f>I77</f>
        <v>0</v>
      </c>
      <c r="K666" s="311">
        <f>J77</f>
        <v>0</v>
      </c>
      <c r="L666" s="311">
        <f>K77</f>
        <v>0</v>
      </c>
    </row>
    <row r="667" spans="1:12" ht="15.6" x14ac:dyDescent="0.35">
      <c r="A667" s="44"/>
      <c r="B667" s="217" t="s">
        <v>292</v>
      </c>
      <c r="C667" s="243"/>
      <c r="D667" s="243"/>
      <c r="E667" s="244"/>
      <c r="F667" s="367"/>
      <c r="G667" s="367"/>
      <c r="H667" s="311">
        <f>G56</f>
        <v>3700000</v>
      </c>
      <c r="I667" s="311">
        <f>H56</f>
        <v>3700000</v>
      </c>
      <c r="J667" s="311">
        <f>I56</f>
        <v>3700000</v>
      </c>
      <c r="K667" s="311">
        <f>J56</f>
        <v>3700000</v>
      </c>
      <c r="L667" s="311">
        <f>K56</f>
        <v>3700000</v>
      </c>
    </row>
    <row r="668" spans="1:12" ht="15.6" x14ac:dyDescent="0.35">
      <c r="A668" s="44"/>
      <c r="B668" s="226" t="s">
        <v>291</v>
      </c>
      <c r="C668" s="191"/>
      <c r="D668" s="191"/>
      <c r="E668" s="221"/>
      <c r="F668" s="319"/>
      <c r="G668" s="366"/>
      <c r="H668" s="334">
        <f>SUM(H666:H667)</f>
        <v>3700000</v>
      </c>
      <c r="I668" s="334">
        <f t="shared" ref="I668:L668" si="267">SUM(I666:I667)</f>
        <v>3700000</v>
      </c>
      <c r="J668" s="334">
        <f t="shared" si="267"/>
        <v>3700000</v>
      </c>
      <c r="K668" s="334">
        <f t="shared" si="267"/>
        <v>3700000</v>
      </c>
      <c r="L668" s="334">
        <f t="shared" si="267"/>
        <v>3700000</v>
      </c>
    </row>
    <row r="669" spans="1:12" ht="15.6" x14ac:dyDescent="0.35">
      <c r="A669" s="44"/>
      <c r="B669" s="61"/>
      <c r="C669" s="61"/>
      <c r="D669" s="61"/>
      <c r="E669" s="61"/>
      <c r="F669" s="100"/>
      <c r="G669" s="100"/>
      <c r="H669" s="100"/>
      <c r="I669" s="100"/>
      <c r="J669" s="100"/>
      <c r="K669" s="100"/>
      <c r="L669" s="100"/>
    </row>
    <row r="670" spans="1:12" ht="15.6" x14ac:dyDescent="0.35">
      <c r="A670" s="44"/>
      <c r="B670" s="217" t="s">
        <v>287</v>
      </c>
      <c r="C670" s="243"/>
      <c r="D670" s="243"/>
      <c r="E670" s="244"/>
      <c r="F670" s="367"/>
      <c r="G670" s="367"/>
      <c r="H670" s="311">
        <f>H668</f>
        <v>3700000</v>
      </c>
      <c r="I670" s="311">
        <f t="shared" ref="I670:L670" si="268">I668</f>
        <v>3700000</v>
      </c>
      <c r="J670" s="311">
        <f t="shared" si="268"/>
        <v>3700000</v>
      </c>
      <c r="K670" s="311">
        <f t="shared" si="268"/>
        <v>3700000</v>
      </c>
      <c r="L670" s="311">
        <f t="shared" si="268"/>
        <v>3700000</v>
      </c>
    </row>
    <row r="671" spans="1:12" ht="15.6" x14ac:dyDescent="0.35">
      <c r="A671" s="44"/>
      <c r="B671" s="217" t="s">
        <v>144</v>
      </c>
      <c r="C671" s="243"/>
      <c r="D671" s="243"/>
      <c r="E671" s="244"/>
      <c r="F671" s="367"/>
      <c r="G671" s="291"/>
      <c r="H671" s="311">
        <f>H659</f>
        <v>0</v>
      </c>
      <c r="I671" s="311">
        <f t="shared" ref="I671:L671" si="269">I659</f>
        <v>0</v>
      </c>
      <c r="J671" s="311">
        <f t="shared" si="269"/>
        <v>0</v>
      </c>
      <c r="K671" s="311">
        <f t="shared" si="269"/>
        <v>0</v>
      </c>
      <c r="L671" s="311">
        <f t="shared" si="269"/>
        <v>0</v>
      </c>
    </row>
    <row r="672" spans="1:12" ht="15.6" x14ac:dyDescent="0.35">
      <c r="A672" s="44"/>
      <c r="B672" s="217" t="s">
        <v>25</v>
      </c>
      <c r="C672" s="243"/>
      <c r="D672" s="243"/>
      <c r="E672" s="244"/>
      <c r="F672" s="367"/>
      <c r="G672" s="291"/>
      <c r="H672" s="311">
        <f>-H662</f>
        <v>0</v>
      </c>
      <c r="I672" s="311">
        <f t="shared" ref="I672:L672" si="270">-I662</f>
        <v>0</v>
      </c>
      <c r="J672" s="311">
        <f t="shared" si="270"/>
        <v>0</v>
      </c>
      <c r="K672" s="311">
        <f t="shared" si="270"/>
        <v>0</v>
      </c>
      <c r="L672" s="311">
        <f t="shared" si="270"/>
        <v>0</v>
      </c>
    </row>
    <row r="673" spans="1:12" ht="15.6" x14ac:dyDescent="0.35">
      <c r="A673" s="44"/>
      <c r="B673" s="226" t="s">
        <v>290</v>
      </c>
      <c r="C673" s="191"/>
      <c r="D673" s="191"/>
      <c r="E673" s="221"/>
      <c r="F673" s="319"/>
      <c r="G673" s="366"/>
      <c r="H673" s="334">
        <f>SUM(H670:H672)</f>
        <v>3700000</v>
      </c>
      <c r="I673" s="334">
        <f t="shared" ref="I673:L673" si="271">SUM(I670:I672)</f>
        <v>3700000</v>
      </c>
      <c r="J673" s="334">
        <f t="shared" si="271"/>
        <v>3700000</v>
      </c>
      <c r="K673" s="334">
        <f t="shared" si="271"/>
        <v>3700000</v>
      </c>
      <c r="L673" s="334">
        <f t="shared" si="271"/>
        <v>3700000</v>
      </c>
    </row>
    <row r="674" spans="1:12" ht="15.6" x14ac:dyDescent="0.35">
      <c r="A674" s="44"/>
      <c r="B674" s="63"/>
      <c r="C674" s="63"/>
      <c r="D674" s="63"/>
      <c r="E674" s="63"/>
      <c r="F674" s="259"/>
      <c r="G674" s="362"/>
      <c r="H674" s="259"/>
      <c r="I674" s="259"/>
      <c r="J674" s="259"/>
      <c r="K674" s="259"/>
      <c r="L674" s="259"/>
    </row>
    <row r="675" spans="1:12" ht="15.6" x14ac:dyDescent="0.35">
      <c r="A675" s="44"/>
      <c r="B675" s="226" t="s">
        <v>294</v>
      </c>
      <c r="C675" s="191"/>
      <c r="D675" s="191"/>
      <c r="E675" s="221"/>
      <c r="F675" s="319"/>
      <c r="G675" s="366"/>
      <c r="H675" s="334">
        <f>IF(H673&gt;0, H673, 0)</f>
        <v>3700000</v>
      </c>
      <c r="I675" s="334">
        <f t="shared" ref="I675:L675" si="272">IF(I673&gt;0, I673, 0)</f>
        <v>3700000</v>
      </c>
      <c r="J675" s="334">
        <f t="shared" si="272"/>
        <v>3700000</v>
      </c>
      <c r="K675" s="334">
        <f t="shared" si="272"/>
        <v>3700000</v>
      </c>
      <c r="L675" s="334">
        <f t="shared" si="272"/>
        <v>3700000</v>
      </c>
    </row>
    <row r="676" spans="1:12" ht="15.6" x14ac:dyDescent="0.35">
      <c r="A676" s="44"/>
      <c r="B676" s="226" t="s">
        <v>293</v>
      </c>
      <c r="C676" s="191"/>
      <c r="D676" s="191"/>
      <c r="E676" s="221"/>
      <c r="F676" s="319"/>
      <c r="G676" s="366"/>
      <c r="H676" s="334">
        <f>IF(H673&lt;0, H673, 0)</f>
        <v>0</v>
      </c>
      <c r="I676" s="334">
        <f t="shared" ref="I676:L676" si="273">IF(I673&lt;0, I673, 0)</f>
        <v>0</v>
      </c>
      <c r="J676" s="334">
        <f t="shared" si="273"/>
        <v>0</v>
      </c>
      <c r="K676" s="334">
        <f t="shared" si="273"/>
        <v>0</v>
      </c>
      <c r="L676" s="334">
        <f t="shared" si="273"/>
        <v>0</v>
      </c>
    </row>
    <row r="677" spans="1:12" ht="15.6" x14ac:dyDescent="0.35">
      <c r="A677" s="44"/>
      <c r="B677" s="61"/>
      <c r="C677" s="61"/>
      <c r="D677" s="61"/>
      <c r="E677" s="61"/>
      <c r="F677" s="100"/>
      <c r="G677" s="95"/>
      <c r="H677" s="95"/>
      <c r="I677" s="95"/>
      <c r="J677" s="95"/>
      <c r="K677" s="95"/>
      <c r="L677" s="95"/>
    </row>
    <row r="678" spans="1:12" ht="15.6" x14ac:dyDescent="0.35">
      <c r="A678" s="44"/>
      <c r="B678" s="202" t="s">
        <v>288</v>
      </c>
      <c r="C678" s="203"/>
      <c r="D678" s="204"/>
      <c r="E678" s="204"/>
      <c r="F678" s="205"/>
      <c r="G678" s="205"/>
      <c r="H678" s="205"/>
      <c r="I678" s="205"/>
      <c r="J678" s="205"/>
      <c r="K678" s="205"/>
      <c r="L678" s="206"/>
    </row>
    <row r="679" spans="1:12" ht="15.6" x14ac:dyDescent="0.35">
      <c r="A679" s="44"/>
      <c r="B679" s="61"/>
      <c r="C679" s="61"/>
      <c r="D679" s="61"/>
      <c r="E679" s="61"/>
      <c r="F679" s="100"/>
      <c r="G679" s="95"/>
      <c r="H679" s="95"/>
      <c r="I679" s="95"/>
      <c r="J679" s="95"/>
      <c r="K679" s="95"/>
      <c r="L679" s="95"/>
    </row>
    <row r="680" spans="1:12" ht="15.6" x14ac:dyDescent="0.35">
      <c r="A680" s="44"/>
      <c r="B680" s="217" t="s">
        <v>289</v>
      </c>
      <c r="C680" s="243"/>
      <c r="D680" s="243"/>
      <c r="E680" s="244"/>
      <c r="F680" s="367"/>
      <c r="G680" s="367"/>
      <c r="H680" s="311">
        <f>G68</f>
        <v>44700000</v>
      </c>
      <c r="I680" s="311">
        <f>H68</f>
        <v>44700000</v>
      </c>
      <c r="J680" s="311">
        <f>I68</f>
        <v>44700000</v>
      </c>
      <c r="K680" s="311">
        <f>J68</f>
        <v>44700000</v>
      </c>
      <c r="L680" s="311">
        <f>K68</f>
        <v>44700000</v>
      </c>
    </row>
    <row r="681" spans="1:12" ht="15.6" x14ac:dyDescent="0.35">
      <c r="A681" s="44"/>
      <c r="B681" s="217" t="s">
        <v>186</v>
      </c>
      <c r="C681" s="243"/>
      <c r="D681" s="243"/>
      <c r="E681" s="244"/>
      <c r="F681" s="367"/>
      <c r="G681" s="291"/>
      <c r="H681" s="311">
        <f>H661</f>
        <v>0</v>
      </c>
      <c r="I681" s="311">
        <f>I661</f>
        <v>0</v>
      </c>
      <c r="J681" s="311">
        <f>J661</f>
        <v>0</v>
      </c>
      <c r="K681" s="311">
        <f>K661</f>
        <v>0</v>
      </c>
      <c r="L681" s="311">
        <f>L661</f>
        <v>0</v>
      </c>
    </row>
    <row r="682" spans="1:12" ht="15.6" x14ac:dyDescent="0.35">
      <c r="A682" s="44"/>
      <c r="B682" s="226" t="s">
        <v>295</v>
      </c>
      <c r="C682" s="191"/>
      <c r="D682" s="191"/>
      <c r="E682" s="221"/>
      <c r="F682" s="319"/>
      <c r="G682" s="366"/>
      <c r="H682" s="334">
        <f>SUM(H680:H681)</f>
        <v>44700000</v>
      </c>
      <c r="I682" s="334">
        <f>SUM(I680:I681)</f>
        <v>44700000</v>
      </c>
      <c r="J682" s="334">
        <f>SUM(J680:J681)</f>
        <v>44700000</v>
      </c>
      <c r="K682" s="334">
        <f>SUM(K680:K681)</f>
        <v>44700000</v>
      </c>
      <c r="L682" s="334">
        <f>SUM(L680:L681)</f>
        <v>44700000</v>
      </c>
    </row>
    <row r="683" spans="1:12" ht="15.6" x14ac:dyDescent="0.35">
      <c r="A683" s="44"/>
      <c r="B683" s="63"/>
      <c r="C683" s="63"/>
      <c r="D683" s="63"/>
      <c r="E683" s="63"/>
      <c r="F683" s="259"/>
      <c r="G683" s="362"/>
      <c r="H683" s="259"/>
      <c r="I683" s="259"/>
      <c r="J683" s="259"/>
      <c r="K683" s="259"/>
      <c r="L683" s="259"/>
    </row>
    <row r="684" spans="1:12" ht="15.6" x14ac:dyDescent="0.35">
      <c r="A684" s="44"/>
      <c r="B684" s="63"/>
      <c r="C684" s="63"/>
      <c r="D684" s="63"/>
      <c r="E684" s="63"/>
      <c r="F684" s="259"/>
      <c r="G684" s="362"/>
      <c r="H684" s="259"/>
      <c r="I684" s="259"/>
      <c r="J684" s="259"/>
      <c r="K684" s="259"/>
      <c r="L684" s="259"/>
    </row>
    <row r="685" spans="1:12" ht="15.6" x14ac:dyDescent="0.35">
      <c r="A685" s="44"/>
      <c r="B685" s="63"/>
      <c r="C685" s="63"/>
      <c r="D685" s="63"/>
      <c r="E685" s="63"/>
      <c r="F685" s="259"/>
      <c r="G685" s="362"/>
      <c r="H685" s="259"/>
      <c r="I685" s="259"/>
      <c r="J685" s="259"/>
      <c r="K685" s="259"/>
      <c r="L685" s="259"/>
    </row>
    <row r="686" spans="1:12" ht="15.6" x14ac:dyDescent="0.35">
      <c r="A686" s="44"/>
      <c r="B686" s="61"/>
      <c r="C686" s="61"/>
      <c r="D686" s="61"/>
      <c r="E686" s="61"/>
      <c r="F686" s="100"/>
      <c r="G686" s="95"/>
      <c r="H686" s="95"/>
      <c r="I686" s="95"/>
      <c r="J686" s="95"/>
      <c r="K686" s="95"/>
      <c r="L686" s="95"/>
    </row>
    <row r="687" spans="1:12" ht="28.8" x14ac:dyDescent="0.65">
      <c r="A687" s="44"/>
      <c r="B687" s="45" t="str">
        <f>Cover!$B$2</f>
        <v>ASOS PLC</v>
      </c>
      <c r="C687" s="45"/>
      <c r="D687" s="46"/>
      <c r="E687" s="47"/>
      <c r="F687" s="47"/>
      <c r="G687" s="47"/>
      <c r="H687" s="47"/>
      <c r="I687" s="47"/>
      <c r="J687" s="47"/>
      <c r="K687" s="47"/>
      <c r="L687" s="47"/>
    </row>
    <row r="688" spans="1:12" ht="21" x14ac:dyDescent="0.5">
      <c r="A688" s="44"/>
      <c r="B688" s="48" t="s">
        <v>146</v>
      </c>
      <c r="C688" s="49"/>
      <c r="D688" s="47"/>
      <c r="E688" s="47"/>
      <c r="F688" s="47"/>
      <c r="G688" s="47"/>
      <c r="H688" s="47"/>
      <c r="I688" s="47"/>
      <c r="J688" s="47"/>
      <c r="K688" s="47"/>
      <c r="L688" s="164" t="str">
        <f>"Currently Running: "&amp;CHOOSE(Assumptions!$B$10,Assumptions!$F$15,Assumptions!$F$16,Assumptions!$F$17)&amp;"Scenario"</f>
        <v>Currently Running: Base Scenario</v>
      </c>
    </row>
    <row r="689" spans="2:14" ht="15.6" x14ac:dyDescent="0.35">
      <c r="B689" s="50"/>
      <c r="C689" s="50"/>
      <c r="D689" s="50"/>
      <c r="E689" s="50"/>
      <c r="F689" s="50"/>
      <c r="G689" s="50"/>
      <c r="H689" s="50"/>
      <c r="I689" s="50"/>
      <c r="J689" s="50"/>
      <c r="K689" s="51"/>
      <c r="L689" s="51"/>
    </row>
    <row r="690" spans="2:14" ht="15.6" x14ac:dyDescent="0.35">
      <c r="B690" s="51"/>
      <c r="C690" s="51"/>
      <c r="D690" s="51"/>
      <c r="E690" s="51"/>
      <c r="F690" s="249" t="s">
        <v>374</v>
      </c>
      <c r="G690" s="52"/>
      <c r="H690" s="52"/>
      <c r="I690" s="52"/>
      <c r="J690" s="52"/>
      <c r="K690" s="52"/>
      <c r="L690" s="52"/>
      <c r="N690" t="s">
        <v>327</v>
      </c>
    </row>
    <row r="691" spans="2:14" ht="15.6" x14ac:dyDescent="0.35">
      <c r="B691" s="51"/>
      <c r="C691" s="51"/>
      <c r="D691" s="51"/>
      <c r="E691" s="51"/>
      <c r="F691" s="53">
        <f>F651</f>
        <v>2024</v>
      </c>
      <c r="G691" s="53">
        <f>F691+1</f>
        <v>2025</v>
      </c>
      <c r="H691" s="54">
        <f>G691+1</f>
        <v>2026</v>
      </c>
      <c r="I691" s="54">
        <f t="shared" ref="I691" si="274">H691+1</f>
        <v>2027</v>
      </c>
      <c r="J691" s="54">
        <f t="shared" ref="J691" si="275">I691+1</f>
        <v>2028</v>
      </c>
      <c r="K691" s="54">
        <f t="shared" ref="K691" si="276">J691+1</f>
        <v>2029</v>
      </c>
      <c r="L691" s="54">
        <f t="shared" ref="L691" si="277">K691+1</f>
        <v>2030</v>
      </c>
    </row>
    <row r="692" spans="2:14" ht="16.2" thickBot="1" x14ac:dyDescent="0.4">
      <c r="B692" s="55" t="s">
        <v>191</v>
      </c>
      <c r="C692" s="55"/>
      <c r="D692" s="55"/>
      <c r="E692" s="55"/>
      <c r="F692" s="56" t="s">
        <v>50</v>
      </c>
      <c r="G692" s="56"/>
      <c r="H692" s="57"/>
      <c r="I692" s="57"/>
      <c r="J692" s="57"/>
      <c r="K692" s="57"/>
      <c r="L692" s="57" t="s">
        <v>37</v>
      </c>
    </row>
    <row r="693" spans="2:14" ht="15.6" x14ac:dyDescent="0.35">
      <c r="B693" s="51"/>
      <c r="C693" s="51"/>
      <c r="D693" s="51"/>
      <c r="E693" s="51"/>
      <c r="F693" s="72"/>
      <c r="G693" s="72"/>
      <c r="H693" s="73"/>
      <c r="I693" s="73"/>
      <c r="J693" s="73"/>
      <c r="K693" s="73"/>
      <c r="L693" s="73"/>
    </row>
    <row r="694" spans="2:14" ht="15.6" x14ac:dyDescent="0.35">
      <c r="B694" s="202" t="s">
        <v>30</v>
      </c>
      <c r="C694" s="203"/>
      <c r="D694" s="204"/>
      <c r="E694" s="204"/>
      <c r="F694" s="205"/>
      <c r="G694" s="205"/>
      <c r="H694" s="205"/>
      <c r="I694" s="205"/>
      <c r="J694" s="205"/>
      <c r="K694" s="205"/>
      <c r="L694" s="206"/>
    </row>
    <row r="695" spans="2:14" ht="15.6" x14ac:dyDescent="0.35">
      <c r="B695" s="127"/>
      <c r="C695" s="127"/>
      <c r="D695" s="51"/>
      <c r="E695" s="51"/>
      <c r="F695" s="72"/>
      <c r="G695" s="72"/>
      <c r="H695" s="82"/>
      <c r="I695" s="82"/>
      <c r="J695" s="82"/>
      <c r="K695" s="82"/>
      <c r="L695" s="82"/>
    </row>
    <row r="696" spans="2:14" ht="15" x14ac:dyDescent="0.35">
      <c r="B696" s="217" t="s">
        <v>147</v>
      </c>
      <c r="C696" s="243"/>
      <c r="D696" s="243"/>
      <c r="E696" s="244"/>
      <c r="F696" s="367"/>
      <c r="G696" s="367"/>
      <c r="H696" s="239">
        <v>0</v>
      </c>
      <c r="I696" s="239">
        <v>0</v>
      </c>
      <c r="J696" s="239">
        <v>0</v>
      </c>
      <c r="K696" s="239">
        <v>0</v>
      </c>
      <c r="L696" s="239">
        <v>0</v>
      </c>
    </row>
    <row r="697" spans="2:14" ht="15" x14ac:dyDescent="0.35">
      <c r="B697" s="217" t="s">
        <v>64</v>
      </c>
      <c r="C697" s="243"/>
      <c r="D697" s="243"/>
      <c r="E697" s="244"/>
      <c r="F697" s="367"/>
      <c r="G697" s="367"/>
      <c r="H697" s="311">
        <f>H34</f>
        <v>-184847149.00073671</v>
      </c>
      <c r="I697" s="311">
        <f>I34</f>
        <v>-212583131.31036022</v>
      </c>
      <c r="J697" s="311">
        <f>J34</f>
        <v>-241873093.15739432</v>
      </c>
      <c r="K697" s="311">
        <f>K34</f>
        <v>-268407977.5897311</v>
      </c>
      <c r="L697" s="311">
        <f>L34</f>
        <v>-289276040.23866594</v>
      </c>
    </row>
    <row r="698" spans="2:14" ht="15" x14ac:dyDescent="0.35">
      <c r="B698" s="226" t="s">
        <v>148</v>
      </c>
      <c r="C698" s="191"/>
      <c r="D698" s="191"/>
      <c r="E698" s="221"/>
      <c r="F698" s="319"/>
      <c r="G698" s="366"/>
      <c r="H698" s="334">
        <f>MAX(H697*H696, 0)</f>
        <v>0</v>
      </c>
      <c r="I698" s="334">
        <f t="shared" ref="I698:L698" si="278">MAX(I697*I696, 0)</f>
        <v>0</v>
      </c>
      <c r="J698" s="334">
        <f t="shared" si="278"/>
        <v>0</v>
      </c>
      <c r="K698" s="334">
        <f t="shared" si="278"/>
        <v>0</v>
      </c>
      <c r="L698" s="334">
        <f t="shared" si="278"/>
        <v>0</v>
      </c>
    </row>
    <row r="699" spans="2:14" ht="15" x14ac:dyDescent="0.35">
      <c r="B699" s="127"/>
      <c r="C699" s="127"/>
      <c r="D699" s="127"/>
      <c r="E699" s="127"/>
      <c r="F699" s="146"/>
      <c r="G699" s="146"/>
      <c r="H699" s="82"/>
      <c r="I699" s="82"/>
      <c r="J699" s="82"/>
      <c r="K699" s="82"/>
      <c r="L699" s="82"/>
      <c r="N699" t="s">
        <v>328</v>
      </c>
    </row>
    <row r="700" spans="2:14" ht="15.6" x14ac:dyDescent="0.35">
      <c r="B700" s="202" t="s">
        <v>149</v>
      </c>
      <c r="C700" s="203"/>
      <c r="D700" s="204"/>
      <c r="E700" s="204"/>
      <c r="F700" s="205"/>
      <c r="G700" s="205"/>
      <c r="H700" s="205"/>
      <c r="I700" s="205"/>
      <c r="J700" s="205"/>
      <c r="K700" s="205"/>
      <c r="L700" s="206"/>
      <c r="N700" t="s">
        <v>329</v>
      </c>
    </row>
    <row r="701" spans="2:14" ht="15" x14ac:dyDescent="0.35">
      <c r="B701" s="102"/>
      <c r="C701" s="102"/>
      <c r="D701" s="102"/>
      <c r="E701" s="102"/>
      <c r="F701" s="146"/>
      <c r="G701" s="146"/>
      <c r="H701" s="82"/>
      <c r="I701" s="82"/>
      <c r="J701" s="82"/>
      <c r="K701" s="82"/>
      <c r="L701" s="82"/>
    </row>
    <row r="702" spans="2:14" ht="15" x14ac:dyDescent="0.35">
      <c r="B702" s="217" t="s">
        <v>330</v>
      </c>
      <c r="C702" s="243"/>
      <c r="D702" s="243"/>
      <c r="E702" s="244"/>
      <c r="F702" s="367"/>
      <c r="G702" s="367"/>
      <c r="H702" s="311">
        <f>G707</f>
        <v>-118000000</v>
      </c>
      <c r="I702" s="311">
        <f t="shared" ref="I702:L702" si="279">H707</f>
        <v>-302847149.00073671</v>
      </c>
      <c r="J702" s="311">
        <f t="shared" si="279"/>
        <v>-515430280.31109691</v>
      </c>
      <c r="K702" s="311">
        <f t="shared" si="279"/>
        <v>-757303373.4684912</v>
      </c>
      <c r="L702" s="311">
        <f t="shared" si="279"/>
        <v>-1025711351.0582223</v>
      </c>
    </row>
    <row r="703" spans="2:14" ht="15" x14ac:dyDescent="0.35">
      <c r="B703" s="217" t="s">
        <v>150</v>
      </c>
      <c r="C703" s="243"/>
      <c r="D703" s="243"/>
      <c r="E703" s="244"/>
      <c r="F703" s="367"/>
      <c r="G703" s="367"/>
      <c r="H703" s="311">
        <f>H34</f>
        <v>-184847149.00073671</v>
      </c>
      <c r="I703" s="311">
        <f>I34</f>
        <v>-212583131.31036022</v>
      </c>
      <c r="J703" s="311">
        <f>J34</f>
        <v>-241873093.15739432</v>
      </c>
      <c r="K703" s="311">
        <f>K34</f>
        <v>-268407977.5897311</v>
      </c>
      <c r="L703" s="311">
        <f>L34</f>
        <v>-289276040.23866594</v>
      </c>
    </row>
    <row r="704" spans="2:14" ht="15" x14ac:dyDescent="0.35">
      <c r="B704" s="217" t="s">
        <v>151</v>
      </c>
      <c r="C704" s="243"/>
      <c r="D704" s="243"/>
      <c r="E704" s="244"/>
      <c r="F704" s="367"/>
      <c r="G704" s="367"/>
      <c r="H704" s="311">
        <f>-H698</f>
        <v>0</v>
      </c>
      <c r="I704" s="311">
        <f t="shared" ref="I704:L704" si="280">-I698</f>
        <v>0</v>
      </c>
      <c r="J704" s="311">
        <f t="shared" si="280"/>
        <v>0</v>
      </c>
      <c r="K704" s="311">
        <f t="shared" si="280"/>
        <v>0</v>
      </c>
      <c r="L704" s="311">
        <f t="shared" si="280"/>
        <v>0</v>
      </c>
    </row>
    <row r="705" spans="2:12" ht="15" x14ac:dyDescent="0.35">
      <c r="B705" s="217" t="s">
        <v>152</v>
      </c>
      <c r="C705" s="243"/>
      <c r="D705" s="243"/>
      <c r="E705" s="244"/>
      <c r="F705" s="367"/>
      <c r="G705" s="367"/>
      <c r="H705" s="340">
        <f>0</f>
        <v>0</v>
      </c>
      <c r="I705" s="340">
        <f>0</f>
        <v>0</v>
      </c>
      <c r="J705" s="340">
        <f>0</f>
        <v>0</v>
      </c>
      <c r="K705" s="340">
        <f>0</f>
        <v>0</v>
      </c>
      <c r="L705" s="340">
        <f>0</f>
        <v>0</v>
      </c>
    </row>
    <row r="706" spans="2:12" ht="15" x14ac:dyDescent="0.35">
      <c r="B706" s="217" t="s">
        <v>153</v>
      </c>
      <c r="C706" s="243"/>
      <c r="D706" s="243"/>
      <c r="E706" s="244"/>
      <c r="F706" s="367"/>
      <c r="G706" s="367"/>
      <c r="H706" s="340">
        <f>0</f>
        <v>0</v>
      </c>
      <c r="I706" s="340">
        <f>0</f>
        <v>0</v>
      </c>
      <c r="J706" s="340">
        <f>0</f>
        <v>0</v>
      </c>
      <c r="K706" s="340">
        <f>0</f>
        <v>0</v>
      </c>
      <c r="L706" s="340">
        <f>0</f>
        <v>0</v>
      </c>
    </row>
    <row r="707" spans="2:12" ht="15" x14ac:dyDescent="0.35">
      <c r="B707" s="226" t="s">
        <v>331</v>
      </c>
      <c r="C707" s="191"/>
      <c r="D707" s="191"/>
      <c r="E707" s="221"/>
      <c r="F707" s="319"/>
      <c r="G707" s="368">
        <f>G94</f>
        <v>-118000000</v>
      </c>
      <c r="H707" s="334">
        <f>SUM(H702:H706)</f>
        <v>-302847149.00073671</v>
      </c>
      <c r="I707" s="334">
        <f t="shared" ref="I707:L707" si="281">SUM(I702:I706)</f>
        <v>-515430280.31109691</v>
      </c>
      <c r="J707" s="334">
        <f t="shared" si="281"/>
        <v>-757303373.4684912</v>
      </c>
      <c r="K707" s="334">
        <f t="shared" si="281"/>
        <v>-1025711351.0582223</v>
      </c>
      <c r="L707" s="334">
        <f t="shared" si="281"/>
        <v>-1314987391.2968884</v>
      </c>
    </row>
    <row r="708" spans="2:12" ht="15" x14ac:dyDescent="0.35">
      <c r="B708" s="63"/>
      <c r="C708" s="63"/>
      <c r="D708" s="63"/>
      <c r="E708" s="63"/>
      <c r="F708" s="63"/>
      <c r="G708" s="131"/>
      <c r="H708" s="131"/>
      <c r="I708" s="131"/>
      <c r="J708" s="131"/>
      <c r="K708" s="131"/>
      <c r="L708" s="131"/>
    </row>
    <row r="709" spans="2:12" ht="15" x14ac:dyDescent="0.35">
      <c r="B709" s="61"/>
      <c r="C709" s="61"/>
      <c r="D709" s="61"/>
      <c r="E709" s="61"/>
      <c r="F709" s="61"/>
      <c r="G709" s="61"/>
      <c r="H709" s="75"/>
      <c r="I709" s="75"/>
      <c r="J709" s="75"/>
      <c r="K709" s="75"/>
      <c r="L709" s="75"/>
    </row>
    <row r="710" spans="2:12" ht="15.6" x14ac:dyDescent="0.35">
      <c r="B710" s="44"/>
      <c r="C710" s="44"/>
      <c r="D710" s="44"/>
      <c r="E710" s="44"/>
      <c r="F710" s="44"/>
      <c r="G710" s="44"/>
      <c r="H710" s="147"/>
      <c r="I710" s="147"/>
      <c r="J710" s="147"/>
      <c r="K710" s="147"/>
      <c r="L710" s="147"/>
    </row>
    <row r="711" spans="2:12" ht="15.6" x14ac:dyDescent="0.35">
      <c r="B711" s="44"/>
      <c r="C711" s="44"/>
      <c r="D711" s="77"/>
      <c r="E711" s="77"/>
      <c r="F711" s="77"/>
      <c r="G711" s="77"/>
      <c r="H711" s="103"/>
      <c r="I711" s="103"/>
      <c r="J711" s="103"/>
      <c r="K711" s="103"/>
      <c r="L711" s="103"/>
    </row>
    <row r="712" spans="2:12" ht="15.6" x14ac:dyDescent="0.35">
      <c r="B712" s="44"/>
      <c r="C712" s="44"/>
      <c r="D712" s="44"/>
      <c r="E712" s="44"/>
      <c r="F712" s="44"/>
      <c r="G712" s="44"/>
      <c r="H712" s="103"/>
      <c r="I712" s="103"/>
      <c r="J712" s="103"/>
      <c r="K712" s="103"/>
      <c r="L712" s="103"/>
    </row>
    <row r="713" spans="2:12" ht="15.6" x14ac:dyDescent="0.35">
      <c r="B713" s="44"/>
      <c r="C713" s="44"/>
      <c r="D713" s="44"/>
      <c r="E713" s="44"/>
      <c r="F713" s="44"/>
      <c r="G713" s="44"/>
      <c r="H713" s="103"/>
      <c r="I713" s="103"/>
      <c r="J713" s="103"/>
      <c r="K713" s="103"/>
      <c r="L713" s="103"/>
    </row>
    <row r="714" spans="2:12" ht="15.6" x14ac:dyDescent="0.35">
      <c r="B714" s="77"/>
      <c r="C714" s="77"/>
      <c r="D714" s="44"/>
      <c r="E714" s="44"/>
      <c r="F714" s="44"/>
      <c r="G714" s="44"/>
      <c r="H714" s="103"/>
      <c r="I714" s="103"/>
      <c r="J714" s="103"/>
      <c r="K714" s="103"/>
      <c r="L714" s="103"/>
    </row>
    <row r="715" spans="2:12" ht="15.6" x14ac:dyDescent="0.35">
      <c r="B715" s="44"/>
      <c r="C715" s="44"/>
      <c r="D715" s="44"/>
      <c r="E715" s="44"/>
      <c r="F715" s="44"/>
      <c r="G715" s="44"/>
      <c r="H715" s="103"/>
      <c r="I715" s="103"/>
      <c r="J715" s="103"/>
      <c r="K715" s="103"/>
      <c r="L715" s="103"/>
    </row>
    <row r="716" spans="2:12" ht="15.6" x14ac:dyDescent="0.35">
      <c r="B716" s="44"/>
      <c r="C716" s="44"/>
      <c r="D716" s="44"/>
      <c r="E716" s="44"/>
      <c r="F716" s="44"/>
      <c r="G716" s="44"/>
      <c r="H716" s="79"/>
      <c r="I716" s="79"/>
      <c r="J716" s="79"/>
      <c r="K716" s="79"/>
      <c r="L716" s="79"/>
    </row>
    <row r="717" spans="2:12" ht="15.6" x14ac:dyDescent="0.35">
      <c r="B717" s="77"/>
      <c r="C717" s="77"/>
      <c r="D717" s="77"/>
      <c r="E717" s="77"/>
      <c r="F717" s="77"/>
      <c r="G717" s="77"/>
      <c r="H717" s="103"/>
      <c r="I717" s="103"/>
      <c r="J717" s="103"/>
      <c r="K717" s="103"/>
      <c r="L717" s="103"/>
    </row>
    <row r="719" spans="2:12" x14ac:dyDescent="0.3">
      <c r="B719" s="5"/>
      <c r="C719" s="5"/>
    </row>
    <row r="721" spans="2:12" x14ac:dyDescent="0.3">
      <c r="H721" s="32"/>
      <c r="I721" s="32"/>
      <c r="J721" s="32"/>
      <c r="K721" s="32"/>
      <c r="L721" s="32"/>
    </row>
    <row r="722" spans="2:12" x14ac:dyDescent="0.3">
      <c r="H722" s="34"/>
      <c r="I722" s="34"/>
      <c r="J722" s="34"/>
      <c r="K722" s="34"/>
      <c r="L722" s="34"/>
    </row>
    <row r="723" spans="2:12" x14ac:dyDescent="0.3">
      <c r="B723" s="5"/>
      <c r="C723" s="5"/>
      <c r="D723" s="5"/>
      <c r="E723" s="5"/>
      <c r="F723" s="5"/>
      <c r="G723" s="5"/>
      <c r="H723" s="31"/>
      <c r="I723" s="31"/>
      <c r="J723" s="31"/>
      <c r="K723" s="31"/>
      <c r="L723" s="31"/>
    </row>
    <row r="724" spans="2:12" x14ac:dyDescent="0.3">
      <c r="B724" s="5"/>
      <c r="C724" s="5"/>
      <c r="D724" s="5"/>
      <c r="E724" s="5"/>
      <c r="F724" s="5"/>
      <c r="G724" s="5"/>
      <c r="H724" s="31"/>
      <c r="I724" s="31"/>
      <c r="J724" s="31"/>
      <c r="K724" s="31"/>
      <c r="L724" s="31"/>
    </row>
    <row r="725" spans="2:12" x14ac:dyDescent="0.3">
      <c r="B725" s="5"/>
      <c r="C725" s="5"/>
    </row>
    <row r="727" spans="2:12" x14ac:dyDescent="0.3">
      <c r="H727" s="32"/>
      <c r="I727" s="32"/>
      <c r="J727" s="32"/>
      <c r="K727" s="32"/>
      <c r="L727" s="32"/>
    </row>
    <row r="728" spans="2:12" x14ac:dyDescent="0.3">
      <c r="H728" s="34"/>
      <c r="I728" s="34"/>
      <c r="J728" s="34"/>
      <c r="K728" s="34"/>
      <c r="L728" s="34"/>
    </row>
    <row r="729" spans="2:12" x14ac:dyDescent="0.3">
      <c r="B729" s="5"/>
      <c r="C729" s="5"/>
      <c r="D729" s="5"/>
      <c r="E729" s="5"/>
      <c r="F729" s="5"/>
      <c r="G729" s="5"/>
      <c r="H729" s="31"/>
      <c r="I729" s="31"/>
      <c r="J729" s="31"/>
      <c r="K729" s="31"/>
      <c r="L729" s="31"/>
    </row>
    <row r="730" spans="2:12" x14ac:dyDescent="0.3">
      <c r="B730" s="5"/>
      <c r="C730" s="5"/>
      <c r="H730" s="35"/>
    </row>
    <row r="731" spans="2:12" x14ac:dyDescent="0.3">
      <c r="B731" s="5"/>
      <c r="C731" s="5"/>
    </row>
    <row r="733" spans="2:12" x14ac:dyDescent="0.3">
      <c r="H733" s="32"/>
      <c r="I733" s="32"/>
      <c r="J733" s="32"/>
      <c r="K733" s="32"/>
      <c r="L733" s="32"/>
    </row>
    <row r="734" spans="2:12" x14ac:dyDescent="0.3">
      <c r="H734" s="34"/>
      <c r="I734" s="34"/>
      <c r="J734" s="34"/>
      <c r="K734" s="34"/>
      <c r="L734" s="34"/>
    </row>
    <row r="735" spans="2:12" x14ac:dyDescent="0.3">
      <c r="B735" s="5"/>
      <c r="C735" s="5"/>
      <c r="D735" s="5"/>
      <c r="E735" s="5"/>
      <c r="F735" s="5"/>
      <c r="G735" s="5"/>
      <c r="H735" s="31"/>
      <c r="I735" s="31"/>
      <c r="J735" s="31"/>
      <c r="K735" s="31"/>
      <c r="L735" s="31"/>
    </row>
    <row r="736" spans="2:12" x14ac:dyDescent="0.3">
      <c r="B736" s="5"/>
      <c r="C736" s="5"/>
      <c r="D736" s="5"/>
      <c r="E736" s="5"/>
      <c r="F736" s="5"/>
      <c r="G736" s="5"/>
      <c r="H736" s="31"/>
      <c r="I736" s="31"/>
      <c r="J736" s="31"/>
      <c r="K736" s="31"/>
      <c r="L736" s="31"/>
    </row>
    <row r="737" spans="2:12" x14ac:dyDescent="0.3">
      <c r="B737" s="5"/>
      <c r="C737" s="5"/>
      <c r="D737" s="5"/>
      <c r="E737" s="5"/>
      <c r="F737" s="5"/>
      <c r="G737" s="5"/>
      <c r="H737" s="31"/>
      <c r="I737" s="31"/>
      <c r="J737" s="31"/>
      <c r="K737" s="31"/>
      <c r="L737" s="31"/>
    </row>
    <row r="738" spans="2:12" x14ac:dyDescent="0.3">
      <c r="B738" s="5"/>
      <c r="C738" s="5"/>
      <c r="D738" s="5"/>
      <c r="E738" s="5"/>
      <c r="F738" s="5"/>
      <c r="G738" s="5"/>
      <c r="H738" s="31"/>
      <c r="I738" s="31"/>
      <c r="J738" s="31"/>
      <c r="K738" s="31"/>
      <c r="L738" s="31"/>
    </row>
    <row r="739" spans="2:12" x14ac:dyDescent="0.3">
      <c r="B739" s="5"/>
      <c r="C739" s="5"/>
    </row>
    <row r="741" spans="2:12" x14ac:dyDescent="0.3">
      <c r="H741" s="32"/>
      <c r="I741" s="32"/>
      <c r="J741" s="32"/>
      <c r="K741" s="32"/>
      <c r="L741" s="32"/>
    </row>
    <row r="742" spans="2:12" x14ac:dyDescent="0.3">
      <c r="H742" s="34"/>
      <c r="I742" s="34"/>
      <c r="J742" s="34"/>
      <c r="K742" s="34"/>
      <c r="L742" s="34"/>
    </row>
    <row r="743" spans="2:12" x14ac:dyDescent="0.3">
      <c r="B743" s="5"/>
      <c r="C743" s="5"/>
      <c r="D743" s="5"/>
      <c r="E743" s="5"/>
      <c r="F743" s="5"/>
      <c r="G743" s="5"/>
      <c r="H743" s="31"/>
      <c r="I743" s="31"/>
      <c r="J743" s="31"/>
      <c r="K743" s="31"/>
      <c r="L743" s="31"/>
    </row>
    <row r="744" spans="2:12" x14ac:dyDescent="0.3">
      <c r="B744" s="5"/>
      <c r="C744" s="5"/>
      <c r="H744" s="35"/>
    </row>
    <row r="745" spans="2:12" x14ac:dyDescent="0.3">
      <c r="B745" s="5"/>
      <c r="C745" s="5"/>
    </row>
    <row r="747" spans="2:12" x14ac:dyDescent="0.3">
      <c r="H747" s="32"/>
      <c r="I747" s="32"/>
      <c r="J747" s="32"/>
      <c r="K747" s="32"/>
      <c r="L747" s="32"/>
    </row>
    <row r="748" spans="2:12" x14ac:dyDescent="0.3">
      <c r="H748" s="34"/>
      <c r="I748" s="34"/>
      <c r="J748" s="34"/>
      <c r="K748" s="34"/>
      <c r="L748" s="34"/>
    </row>
    <row r="749" spans="2:12" x14ac:dyDescent="0.3">
      <c r="B749" s="5"/>
      <c r="C749" s="5"/>
      <c r="D749" s="5"/>
      <c r="E749" s="5"/>
      <c r="F749" s="5"/>
      <c r="G749" s="5"/>
      <c r="H749" s="31"/>
      <c r="I749" s="31"/>
      <c r="J749" s="31"/>
      <c r="K749" s="31"/>
      <c r="L749" s="31"/>
    </row>
    <row r="750" spans="2:12" x14ac:dyDescent="0.3">
      <c r="B750" s="5"/>
      <c r="C750" s="5"/>
      <c r="D750" s="5"/>
      <c r="E750" s="5"/>
      <c r="F750" s="5"/>
      <c r="G750" s="5"/>
      <c r="H750" s="31"/>
      <c r="I750" s="31"/>
      <c r="J750" s="31"/>
      <c r="K750" s="31"/>
      <c r="L750" s="31"/>
    </row>
    <row r="751" spans="2:12" x14ac:dyDescent="0.3">
      <c r="E751" s="5"/>
      <c r="F751" s="5"/>
      <c r="G751" s="5"/>
      <c r="H751" s="31"/>
      <c r="I751" s="31"/>
      <c r="J751" s="31"/>
      <c r="K751" s="31"/>
      <c r="L751" s="31"/>
    </row>
    <row r="752" spans="2:12" x14ac:dyDescent="0.3">
      <c r="E752" s="5"/>
      <c r="F752" s="5"/>
      <c r="G752" s="5"/>
      <c r="H752" s="31"/>
      <c r="I752" s="31"/>
      <c r="J752" s="31"/>
      <c r="K752" s="31"/>
      <c r="L752" s="31"/>
    </row>
    <row r="753" spans="2:12" x14ac:dyDescent="0.3">
      <c r="B753" s="5"/>
      <c r="C753" s="5"/>
      <c r="D753" s="5"/>
      <c r="H753" s="31"/>
      <c r="I753" s="31"/>
      <c r="J753" s="31"/>
      <c r="K753" s="31"/>
      <c r="L753" s="31"/>
    </row>
    <row r="754" spans="2:12" x14ac:dyDescent="0.3">
      <c r="B754" s="5"/>
      <c r="C754" s="5"/>
      <c r="D754" s="5"/>
      <c r="H754" s="31"/>
      <c r="I754" s="31"/>
      <c r="J754" s="31"/>
      <c r="K754" s="31"/>
      <c r="L754" s="31"/>
    </row>
    <row r="755" spans="2:12" x14ac:dyDescent="0.3">
      <c r="B755" s="5"/>
      <c r="C755" s="5"/>
      <c r="H755" s="31"/>
      <c r="I755" s="31"/>
      <c r="J755" s="31"/>
      <c r="K755" s="31"/>
      <c r="L755" s="31"/>
    </row>
    <row r="756" spans="2:12" x14ac:dyDescent="0.3">
      <c r="B756" s="5"/>
      <c r="C756" s="5"/>
      <c r="D756" s="5"/>
      <c r="H756" s="36"/>
      <c r="I756" s="36"/>
      <c r="J756" s="36"/>
      <c r="K756" s="36"/>
      <c r="L756" s="36"/>
    </row>
    <row r="759" spans="2:12" ht="25.8" x14ac:dyDescent="0.5">
      <c r="B759" s="3"/>
      <c r="C759" s="3"/>
      <c r="D759" s="3"/>
      <c r="E759" s="4"/>
      <c r="F759" s="4"/>
      <c r="G759" s="4"/>
      <c r="H759" s="4"/>
      <c r="I759" s="4"/>
      <c r="J759" s="4"/>
      <c r="K759" s="4"/>
      <c r="L759" s="4"/>
    </row>
    <row r="760" spans="2:12" x14ac:dyDescent="0.3">
      <c r="B760" s="4"/>
      <c r="C760" s="4"/>
      <c r="D760" s="4"/>
      <c r="E760" s="4"/>
      <c r="F760" s="4"/>
      <c r="G760" s="4"/>
      <c r="H760" s="4"/>
      <c r="I760" s="4"/>
      <c r="J760" s="4"/>
      <c r="K760" s="4"/>
      <c r="L760" s="4"/>
    </row>
    <row r="761" spans="2:12" x14ac:dyDescent="0.3">
      <c r="B761" s="4"/>
      <c r="C761" s="4"/>
      <c r="D761" s="4"/>
      <c r="E761" s="4"/>
      <c r="F761" s="4"/>
      <c r="G761" s="4"/>
      <c r="H761" s="4"/>
      <c r="I761" s="4"/>
      <c r="J761" s="4"/>
    </row>
    <row r="762" spans="2:12" x14ac:dyDescent="0.3">
      <c r="B762" s="4"/>
      <c r="C762" s="4"/>
      <c r="D762" s="4"/>
      <c r="E762" s="4"/>
      <c r="F762" s="4"/>
      <c r="G762" s="4"/>
      <c r="H762" s="4"/>
      <c r="I762" s="4"/>
      <c r="J762" s="4"/>
    </row>
    <row r="764" spans="2:12" x14ac:dyDescent="0.3">
      <c r="F764" s="28"/>
      <c r="G764" s="28"/>
      <c r="H764" s="29"/>
      <c r="I764" s="29"/>
      <c r="J764" s="29"/>
      <c r="K764" s="29"/>
      <c r="L764" s="29"/>
    </row>
    <row r="766" spans="2:12" x14ac:dyDescent="0.3">
      <c r="B766" s="5"/>
      <c r="C766" s="5"/>
    </row>
    <row r="767" spans="2:12" x14ac:dyDescent="0.3">
      <c r="B767" s="5"/>
      <c r="C767" s="5"/>
    </row>
    <row r="768" spans="2:12" x14ac:dyDescent="0.3">
      <c r="H768" s="30"/>
      <c r="I768" s="30"/>
      <c r="J768" s="30"/>
      <c r="K768" s="30"/>
      <c r="L768" s="30"/>
    </row>
    <row r="769" spans="2:12" x14ac:dyDescent="0.3">
      <c r="F769" s="8"/>
      <c r="H769" s="32"/>
      <c r="I769" s="32"/>
      <c r="J769" s="32"/>
      <c r="K769" s="32"/>
      <c r="L769" s="32"/>
    </row>
    <row r="770" spans="2:12" x14ac:dyDescent="0.3">
      <c r="H770" s="32"/>
      <c r="I770" s="32"/>
      <c r="J770" s="32"/>
      <c r="K770" s="32"/>
      <c r="L770" s="32"/>
    </row>
    <row r="771" spans="2:12" x14ac:dyDescent="0.3">
      <c r="H771" s="32"/>
      <c r="I771" s="32"/>
      <c r="J771" s="32"/>
      <c r="K771" s="32"/>
      <c r="L771" s="32"/>
    </row>
    <row r="772" spans="2:12" x14ac:dyDescent="0.3">
      <c r="H772" s="32"/>
      <c r="I772" s="32"/>
      <c r="J772" s="32"/>
      <c r="K772" s="32"/>
      <c r="L772" s="32"/>
    </row>
    <row r="773" spans="2:12" x14ac:dyDescent="0.3">
      <c r="H773" s="32"/>
      <c r="I773" s="32"/>
      <c r="J773" s="32"/>
      <c r="K773" s="32"/>
      <c r="L773" s="32"/>
    </row>
    <row r="774" spans="2:12" x14ac:dyDescent="0.3">
      <c r="B774" s="5"/>
      <c r="C774" s="5"/>
      <c r="D774" s="5"/>
      <c r="E774" s="5"/>
      <c r="F774" s="5"/>
      <c r="G774" s="5"/>
      <c r="H774" s="10"/>
      <c r="I774" s="10"/>
      <c r="J774" s="10"/>
      <c r="K774" s="10"/>
      <c r="L774" s="10"/>
    </row>
    <row r="775" spans="2:12" x14ac:dyDescent="0.3">
      <c r="B775" s="5"/>
      <c r="C775" s="5"/>
      <c r="D775" s="5"/>
      <c r="E775" s="5"/>
      <c r="F775" s="5"/>
      <c r="G775" s="5"/>
      <c r="H775" s="37"/>
      <c r="I775" s="37"/>
      <c r="J775" s="37"/>
      <c r="K775" s="37"/>
      <c r="L775" s="37"/>
    </row>
    <row r="776" spans="2:12" x14ac:dyDescent="0.3">
      <c r="B776" s="5"/>
      <c r="C776" s="5"/>
      <c r="D776" s="5"/>
      <c r="E776" s="5"/>
      <c r="F776" s="5"/>
      <c r="G776" s="5"/>
      <c r="H776" s="37"/>
      <c r="I776" s="37"/>
      <c r="J776" s="37"/>
      <c r="K776" s="37"/>
      <c r="L776" s="37"/>
    </row>
    <row r="777" spans="2:12" x14ac:dyDescent="0.3">
      <c r="B777" s="5"/>
      <c r="C777" s="5"/>
      <c r="D777" s="5"/>
      <c r="E777" s="5"/>
      <c r="F777" s="5"/>
      <c r="G777" s="5"/>
      <c r="H777" s="37"/>
      <c r="I777" s="37"/>
      <c r="J777" s="37"/>
      <c r="K777" s="37"/>
      <c r="L777" s="37"/>
    </row>
    <row r="778" spans="2:12" x14ac:dyDescent="0.3">
      <c r="D778" s="5"/>
      <c r="E778" s="5"/>
      <c r="F778" s="5"/>
      <c r="G778" s="5"/>
      <c r="H778" s="32"/>
      <c r="I778" s="32"/>
      <c r="J778" s="32"/>
      <c r="K778" s="32"/>
      <c r="L778" s="32"/>
    </row>
    <row r="779" spans="2:12" x14ac:dyDescent="0.3">
      <c r="D779" s="5"/>
      <c r="E779" s="5"/>
      <c r="F779" s="5"/>
      <c r="G779" s="5"/>
      <c r="H779" s="32"/>
      <c r="I779" s="32"/>
      <c r="J779" s="32"/>
      <c r="K779" s="32"/>
      <c r="L779" s="32"/>
    </row>
    <row r="780" spans="2:12" x14ac:dyDescent="0.3">
      <c r="D780" s="5"/>
      <c r="E780" s="5"/>
      <c r="F780" s="5"/>
      <c r="G780" s="5"/>
      <c r="H780" s="32"/>
      <c r="I780" s="30"/>
      <c r="J780" s="30"/>
      <c r="K780" s="30"/>
      <c r="L780" s="30"/>
    </row>
    <row r="781" spans="2:12" x14ac:dyDescent="0.3">
      <c r="D781" s="5"/>
      <c r="E781" s="5"/>
      <c r="F781" s="5"/>
      <c r="G781" s="5"/>
      <c r="H781" s="32"/>
      <c r="I781" s="32"/>
      <c r="J781" s="30"/>
      <c r="K781" s="32"/>
      <c r="L781" s="32"/>
    </row>
    <row r="782" spans="2:12" x14ac:dyDescent="0.3">
      <c r="D782" s="5"/>
      <c r="E782" s="5"/>
      <c r="F782" s="5"/>
      <c r="G782" s="5"/>
      <c r="H782" s="32"/>
      <c r="I782" s="32"/>
      <c r="J782" s="32"/>
      <c r="K782" s="30"/>
      <c r="L782" s="30"/>
    </row>
    <row r="783" spans="2:12" x14ac:dyDescent="0.3">
      <c r="D783" s="5"/>
      <c r="E783" s="5"/>
      <c r="F783" s="5"/>
      <c r="G783" s="5"/>
      <c r="H783" s="32"/>
      <c r="I783" s="32"/>
      <c r="J783" s="32"/>
      <c r="K783" s="32"/>
      <c r="L783" s="30"/>
    </row>
    <row r="784" spans="2:12" x14ac:dyDescent="0.3">
      <c r="B784" s="5"/>
      <c r="C784" s="5"/>
      <c r="D784" s="5"/>
      <c r="E784" s="5"/>
      <c r="F784" s="5"/>
      <c r="G784" s="5"/>
      <c r="H784" s="10"/>
      <c r="I784" s="10"/>
      <c r="J784" s="10"/>
      <c r="K784" s="10"/>
      <c r="L784" s="10"/>
    </row>
    <row r="786" spans="2:12" x14ac:dyDescent="0.3">
      <c r="B786" s="5"/>
      <c r="C786" s="5"/>
      <c r="F786" s="5"/>
      <c r="G786" s="5"/>
      <c r="H786" s="5"/>
      <c r="I786" s="5"/>
      <c r="J786" s="5"/>
      <c r="K786" s="5"/>
      <c r="L786" s="5"/>
    </row>
    <row r="788" spans="2:12" x14ac:dyDescent="0.3">
      <c r="F788" s="32"/>
      <c r="G788" s="32"/>
      <c r="H788" s="32"/>
      <c r="I788" s="32"/>
      <c r="J788" s="32"/>
      <c r="K788" s="32"/>
      <c r="L788" s="32"/>
    </row>
    <row r="789" spans="2:12" x14ac:dyDescent="0.3">
      <c r="F789" s="32"/>
      <c r="G789" s="38"/>
      <c r="H789" s="38"/>
      <c r="I789" s="32"/>
      <c r="J789" s="32"/>
      <c r="K789" s="32"/>
      <c r="L789" s="32"/>
    </row>
    <row r="790" spans="2:12" x14ac:dyDescent="0.3">
      <c r="F790" s="32"/>
      <c r="G790" s="32"/>
      <c r="H790" s="32"/>
      <c r="I790" s="32"/>
      <c r="J790" s="32"/>
      <c r="K790" s="32"/>
      <c r="L790" s="32"/>
    </row>
    <row r="791" spans="2:12" x14ac:dyDescent="0.3">
      <c r="B791" s="5"/>
      <c r="C791" s="5"/>
      <c r="D791" s="5"/>
      <c r="E791" s="5"/>
      <c r="F791" s="10"/>
      <c r="G791" s="10"/>
      <c r="H791" s="10"/>
      <c r="I791" s="10"/>
      <c r="J791" s="10"/>
      <c r="K791" s="10"/>
      <c r="L791" s="10"/>
    </row>
    <row r="793" spans="2:12" x14ac:dyDescent="0.3">
      <c r="B793" s="5"/>
      <c r="C793" s="5"/>
    </row>
    <row r="795" spans="2:12" x14ac:dyDescent="0.3">
      <c r="F795" s="6"/>
      <c r="G795" s="32"/>
      <c r="H795" s="32"/>
      <c r="I795" s="32"/>
      <c r="J795" s="32"/>
      <c r="K795" s="32"/>
      <c r="L795" s="32"/>
    </row>
    <row r="796" spans="2:12" x14ac:dyDescent="0.3">
      <c r="F796" s="9"/>
      <c r="G796" s="9"/>
      <c r="H796" s="38"/>
      <c r="I796" s="38"/>
      <c r="J796" s="38"/>
      <c r="K796" s="38"/>
      <c r="L796" s="38"/>
    </row>
    <row r="797" spans="2:12" x14ac:dyDescent="0.3">
      <c r="F797" s="39"/>
      <c r="G797" s="39"/>
      <c r="H797" s="38"/>
      <c r="I797" s="38"/>
      <c r="J797" s="38"/>
      <c r="K797" s="38"/>
      <c r="L797" s="38"/>
    </row>
    <row r="798" spans="2:12" x14ac:dyDescent="0.3">
      <c r="F798" s="5"/>
      <c r="G798" s="5"/>
      <c r="H798" s="10"/>
      <c r="I798" s="10"/>
      <c r="J798" s="10"/>
      <c r="K798" s="10"/>
      <c r="L798" s="10"/>
    </row>
    <row r="801" spans="2:12" ht="25.8" x14ac:dyDescent="0.5">
      <c r="B801" s="3"/>
      <c r="C801" s="3"/>
      <c r="D801" s="3"/>
      <c r="E801" s="4"/>
      <c r="F801" s="4"/>
      <c r="G801" s="4"/>
      <c r="H801" s="4"/>
      <c r="I801" s="4"/>
      <c r="J801" s="4"/>
      <c r="K801" s="4"/>
      <c r="L801" s="4"/>
    </row>
    <row r="802" spans="2:12" x14ac:dyDescent="0.3">
      <c r="B802" s="4"/>
      <c r="C802" s="4"/>
      <c r="D802" s="4"/>
      <c r="E802" s="4"/>
      <c r="F802" s="4"/>
      <c r="G802" s="4"/>
      <c r="H802" s="4"/>
      <c r="I802" s="4"/>
      <c r="J802" s="4"/>
      <c r="K802" s="4"/>
      <c r="L802" s="4"/>
    </row>
    <row r="803" spans="2:12" x14ac:dyDescent="0.3">
      <c r="B803" s="4"/>
      <c r="C803" s="4"/>
      <c r="D803" s="4"/>
      <c r="E803" s="4"/>
      <c r="F803" s="4"/>
      <c r="G803" s="4"/>
      <c r="H803" s="4"/>
      <c r="I803" s="4"/>
      <c r="J803" s="4"/>
    </row>
    <row r="804" spans="2:12" x14ac:dyDescent="0.3">
      <c r="B804" s="4"/>
      <c r="C804" s="4"/>
      <c r="D804" s="4"/>
      <c r="E804" s="4"/>
      <c r="F804" s="4"/>
      <c r="G804" s="4"/>
      <c r="H804" s="4"/>
      <c r="I804" s="4"/>
      <c r="J804" s="4"/>
    </row>
    <row r="806" spans="2:12" x14ac:dyDescent="0.3">
      <c r="F806" s="28"/>
      <c r="G806" s="28"/>
      <c r="H806" s="29"/>
      <c r="I806" s="29"/>
      <c r="J806" s="29"/>
      <c r="K806" s="29"/>
      <c r="L806" s="29"/>
    </row>
    <row r="808" spans="2:12" x14ac:dyDescent="0.3">
      <c r="B808" s="5"/>
      <c r="C808" s="5"/>
    </row>
    <row r="809" spans="2:12" x14ac:dyDescent="0.3">
      <c r="B809" s="5"/>
      <c r="C809" s="5"/>
    </row>
    <row r="810" spans="2:12" x14ac:dyDescent="0.3">
      <c r="F810" s="32"/>
      <c r="G810" s="32"/>
      <c r="H810" s="9"/>
      <c r="I810" s="9"/>
      <c r="J810" s="9"/>
      <c r="K810" s="9"/>
      <c r="L810" s="9"/>
    </row>
    <row r="811" spans="2:12" x14ac:dyDescent="0.3">
      <c r="F811" s="32"/>
      <c r="G811" s="32"/>
      <c r="H811" s="9"/>
      <c r="I811" s="9"/>
      <c r="J811" s="9"/>
      <c r="K811" s="9"/>
      <c r="L811" s="9"/>
    </row>
    <row r="812" spans="2:12" x14ac:dyDescent="0.3">
      <c r="F812" s="32"/>
      <c r="G812" s="32"/>
      <c r="H812" s="32"/>
      <c r="I812" s="32"/>
      <c r="J812" s="32"/>
      <c r="K812" s="32"/>
      <c r="L812" s="32"/>
    </row>
    <row r="813" spans="2:12" x14ac:dyDescent="0.3">
      <c r="B813" s="5"/>
      <c r="C813" s="5"/>
      <c r="F813" s="32"/>
      <c r="G813" s="32"/>
      <c r="H813" s="32"/>
      <c r="I813" s="32"/>
      <c r="J813" s="32"/>
      <c r="K813" s="32"/>
      <c r="L813" s="32"/>
    </row>
    <row r="815" spans="2:12" x14ac:dyDescent="0.3">
      <c r="B815" s="5"/>
      <c r="C815" s="5"/>
    </row>
    <row r="817" spans="2:12" x14ac:dyDescent="0.3">
      <c r="F817" s="9"/>
      <c r="G817" s="9"/>
      <c r="H817" s="32"/>
      <c r="I817" s="32"/>
      <c r="J817" s="32"/>
      <c r="K817" s="32"/>
      <c r="L817" s="32"/>
    </row>
    <row r="818" spans="2:12" x14ac:dyDescent="0.3">
      <c r="F818" s="9"/>
      <c r="G818" s="9"/>
      <c r="H818" s="32"/>
      <c r="I818" s="32"/>
      <c r="J818" s="32"/>
      <c r="K818" s="32"/>
      <c r="L818" s="32"/>
    </row>
    <row r="819" spans="2:12" x14ac:dyDescent="0.3">
      <c r="F819" s="9"/>
      <c r="G819" s="9"/>
      <c r="H819" s="32"/>
      <c r="I819" s="32"/>
      <c r="J819" s="32"/>
      <c r="K819" s="32"/>
      <c r="L819" s="32"/>
    </row>
    <row r="820" spans="2:12" x14ac:dyDescent="0.3">
      <c r="F820" s="9"/>
      <c r="G820" s="9"/>
      <c r="H820" s="32"/>
      <c r="I820" s="32"/>
      <c r="J820" s="32"/>
      <c r="K820" s="32"/>
      <c r="L820" s="32"/>
    </row>
    <row r="821" spans="2:12" x14ac:dyDescent="0.3">
      <c r="F821" s="9"/>
      <c r="G821" s="9"/>
      <c r="H821" s="32"/>
      <c r="I821" s="32"/>
      <c r="J821" s="32"/>
      <c r="K821" s="32"/>
      <c r="L821" s="32"/>
    </row>
    <row r="822" spans="2:12" x14ac:dyDescent="0.3">
      <c r="F822" s="9"/>
      <c r="G822" s="9"/>
      <c r="H822" s="32"/>
      <c r="I822" s="32"/>
      <c r="J822" s="32"/>
      <c r="K822" s="32"/>
      <c r="L822" s="32"/>
    </row>
    <row r="823" spans="2:12" x14ac:dyDescent="0.3">
      <c r="F823" s="9"/>
      <c r="G823" s="9"/>
      <c r="H823" s="38"/>
      <c r="I823" s="38"/>
      <c r="J823" s="38"/>
      <c r="K823" s="38"/>
      <c r="L823" s="38"/>
    </row>
    <row r="824" spans="2:12" x14ac:dyDescent="0.3">
      <c r="F824" s="9"/>
      <c r="G824" s="9"/>
      <c r="H824" s="38"/>
      <c r="I824" s="38"/>
      <c r="J824" s="38"/>
      <c r="K824" s="38"/>
      <c r="L824" s="38"/>
    </row>
    <row r="825" spans="2:12" x14ac:dyDescent="0.3">
      <c r="B825" s="5"/>
      <c r="C825" s="5"/>
      <c r="F825" s="10"/>
      <c r="G825" s="10"/>
      <c r="H825" s="10"/>
      <c r="I825" s="10"/>
      <c r="J825" s="10"/>
      <c r="K825" s="10"/>
      <c r="L825" s="10"/>
    </row>
    <row r="828" spans="2:12" ht="25.8" x14ac:dyDescent="0.5">
      <c r="B828" s="3"/>
      <c r="C828" s="3"/>
      <c r="D828" s="3"/>
      <c r="E828" s="4"/>
      <c r="F828" s="4"/>
      <c r="G828" s="4"/>
      <c r="H828" s="4"/>
      <c r="I828" s="4"/>
      <c r="J828" s="4"/>
      <c r="K828" s="4"/>
      <c r="L828" s="4"/>
    </row>
    <row r="829" spans="2:12" x14ac:dyDescent="0.3">
      <c r="B829" s="4"/>
      <c r="C829" s="4"/>
      <c r="D829" s="4"/>
      <c r="E829" s="4"/>
      <c r="F829" s="4"/>
      <c r="G829" s="4"/>
      <c r="H829" s="4"/>
      <c r="I829" s="4"/>
      <c r="J829" s="4"/>
      <c r="K829" s="4"/>
      <c r="L829" s="4"/>
    </row>
    <row r="830" spans="2:12" x14ac:dyDescent="0.3">
      <c r="B830" s="4"/>
      <c r="C830" s="4"/>
      <c r="D830" s="4"/>
      <c r="E830" s="4"/>
      <c r="F830" s="4"/>
      <c r="G830" s="4"/>
      <c r="H830" s="4"/>
      <c r="I830" s="4"/>
      <c r="J830" s="4"/>
    </row>
    <row r="831" spans="2:12" x14ac:dyDescent="0.3">
      <c r="B831" s="4"/>
      <c r="C831" s="4"/>
      <c r="D831" s="4"/>
      <c r="E831" s="4"/>
      <c r="F831" s="4"/>
      <c r="G831" s="4"/>
      <c r="H831" s="4"/>
      <c r="I831" s="4"/>
      <c r="J831" s="4"/>
    </row>
    <row r="833" spans="2:12" x14ac:dyDescent="0.3">
      <c r="F833" s="28"/>
      <c r="G833" s="28"/>
      <c r="H833" s="29"/>
      <c r="I833" s="29"/>
      <c r="J833" s="29"/>
      <c r="K833" s="29"/>
      <c r="L833" s="29"/>
    </row>
    <row r="835" spans="2:12" x14ac:dyDescent="0.3">
      <c r="B835" s="5"/>
      <c r="C835" s="5"/>
    </row>
    <row r="836" spans="2:12" x14ac:dyDescent="0.3">
      <c r="B836" s="5"/>
      <c r="C836" s="5"/>
    </row>
    <row r="837" spans="2:12" x14ac:dyDescent="0.3">
      <c r="H837" s="32"/>
      <c r="I837" s="32"/>
      <c r="J837" s="32"/>
      <c r="K837" s="32"/>
      <c r="L837" s="32"/>
    </row>
    <row r="838" spans="2:12" x14ac:dyDescent="0.3">
      <c r="H838" s="32"/>
      <c r="I838" s="32"/>
      <c r="J838" s="32"/>
      <c r="K838" s="32"/>
      <c r="L838" s="32"/>
    </row>
    <row r="839" spans="2:12" x14ac:dyDescent="0.3">
      <c r="H839" s="32"/>
      <c r="I839" s="32"/>
      <c r="J839" s="32"/>
      <c r="K839" s="32"/>
      <c r="L839" s="32"/>
    </row>
    <row r="840" spans="2:12" x14ac:dyDescent="0.3">
      <c r="H840" s="26"/>
      <c r="I840" s="26"/>
      <c r="J840" s="26"/>
    </row>
    <row r="841" spans="2:12" x14ac:dyDescent="0.3">
      <c r="B841" s="5"/>
      <c r="C841" s="5"/>
      <c r="D841" s="5"/>
      <c r="E841" s="5"/>
      <c r="F841" s="5"/>
      <c r="G841" s="5"/>
      <c r="H841" s="31"/>
      <c r="I841" s="31"/>
      <c r="J841" s="31"/>
      <c r="K841" s="31"/>
      <c r="L841" s="31"/>
    </row>
    <row r="843" spans="2:12" x14ac:dyDescent="0.3">
      <c r="H843" s="32"/>
      <c r="I843" s="32"/>
      <c r="J843" s="32"/>
      <c r="K843" s="32"/>
      <c r="L843" s="32"/>
    </row>
    <row r="844" spans="2:12" x14ac:dyDescent="0.3">
      <c r="H844" s="32"/>
      <c r="I844" s="32"/>
      <c r="J844" s="32"/>
      <c r="K844" s="32"/>
      <c r="L844" s="32"/>
    </row>
    <row r="845" spans="2:12" x14ac:dyDescent="0.3">
      <c r="H845" s="32"/>
      <c r="I845" s="32"/>
      <c r="J845" s="32"/>
      <c r="K845" s="32"/>
      <c r="L845" s="32"/>
    </row>
    <row r="846" spans="2:12" x14ac:dyDescent="0.3">
      <c r="H846" s="26"/>
      <c r="I846" s="26"/>
      <c r="J846" s="26"/>
      <c r="K846" s="26"/>
      <c r="L846" s="26"/>
    </row>
    <row r="847" spans="2:12" x14ac:dyDescent="0.3">
      <c r="B847" s="5"/>
      <c r="C847" s="5"/>
      <c r="D847" s="5"/>
      <c r="E847" s="5"/>
      <c r="F847" s="5"/>
      <c r="G847" s="5"/>
      <c r="H847" s="31"/>
      <c r="I847" s="31"/>
      <c r="J847" s="31"/>
      <c r="K847" s="31"/>
      <c r="L847" s="31"/>
    </row>
    <row r="848" spans="2:12" x14ac:dyDescent="0.3">
      <c r="B848" s="5"/>
      <c r="C848" s="5"/>
      <c r="H848" s="30"/>
      <c r="I848" s="30"/>
      <c r="J848" s="30"/>
      <c r="K848" s="30"/>
      <c r="L848" s="30"/>
    </row>
    <row r="849" spans="2:12" x14ac:dyDescent="0.3">
      <c r="H849" s="32"/>
      <c r="I849" s="32"/>
      <c r="J849" s="32"/>
      <c r="K849" s="32"/>
      <c r="L849" s="32"/>
    </row>
    <row r="850" spans="2:12" x14ac:dyDescent="0.3">
      <c r="H850" s="26"/>
      <c r="I850" s="26"/>
      <c r="J850" s="26"/>
      <c r="K850" s="26"/>
      <c r="L850" s="26"/>
    </row>
    <row r="851" spans="2:12" x14ac:dyDescent="0.3">
      <c r="B851" s="5"/>
      <c r="C851" s="5"/>
      <c r="D851" s="5"/>
      <c r="E851" s="5"/>
      <c r="F851" s="5"/>
      <c r="G851" s="5"/>
      <c r="H851" s="31"/>
      <c r="I851" s="31"/>
      <c r="J851" s="31"/>
      <c r="K851" s="31"/>
      <c r="L851" s="31"/>
    </row>
    <row r="853" spans="2:12" x14ac:dyDescent="0.3">
      <c r="H853" s="32"/>
      <c r="I853" s="32"/>
      <c r="J853" s="32"/>
      <c r="K853" s="32"/>
      <c r="L853" s="32"/>
    </row>
    <row r="854" spans="2:12" x14ac:dyDescent="0.3">
      <c r="H854" s="26"/>
      <c r="I854" s="26"/>
      <c r="J854" s="26"/>
      <c r="K854" s="26"/>
      <c r="L854" s="26"/>
    </row>
    <row r="855" spans="2:12" x14ac:dyDescent="0.3">
      <c r="B855" s="5"/>
      <c r="C855" s="5"/>
      <c r="D855" s="5"/>
      <c r="E855" s="5"/>
      <c r="F855" s="5"/>
      <c r="G855" s="5"/>
      <c r="H855" s="31"/>
      <c r="I855" s="31"/>
      <c r="J855" s="31"/>
      <c r="K855" s="31"/>
      <c r="L855" s="31"/>
    </row>
    <row r="857" spans="2:12" x14ac:dyDescent="0.3">
      <c r="H857" s="32"/>
      <c r="I857" s="32"/>
      <c r="J857" s="32"/>
      <c r="K857" s="32"/>
      <c r="L857" s="32"/>
    </row>
    <row r="858" spans="2:12" x14ac:dyDescent="0.3">
      <c r="H858" s="26"/>
      <c r="I858" s="26"/>
      <c r="J858" s="26"/>
      <c r="K858" s="26"/>
      <c r="L858" s="26"/>
    </row>
    <row r="859" spans="2:12" x14ac:dyDescent="0.3">
      <c r="B859" s="5"/>
      <c r="C859" s="5"/>
      <c r="D859" s="5"/>
      <c r="E859" s="5"/>
      <c r="F859" s="5"/>
      <c r="G859" s="5"/>
      <c r="H859" s="31"/>
      <c r="I859" s="31"/>
      <c r="J859" s="31"/>
      <c r="K859" s="31"/>
      <c r="L859" s="31"/>
    </row>
    <row r="860" spans="2:12" x14ac:dyDescent="0.3">
      <c r="B860" s="5"/>
      <c r="C860" s="5"/>
      <c r="H860" s="30"/>
      <c r="I860" s="30"/>
      <c r="J860" s="30"/>
      <c r="K860" s="30"/>
      <c r="L860" s="30"/>
    </row>
    <row r="861" spans="2:12" x14ac:dyDescent="0.3">
      <c r="B861" s="5"/>
      <c r="C861" s="5"/>
      <c r="D861" s="5"/>
      <c r="H861" s="31"/>
      <c r="I861" s="31"/>
      <c r="J861" s="31"/>
      <c r="K861" s="31"/>
      <c r="L861" s="31"/>
    </row>
    <row r="862" spans="2:12" x14ac:dyDescent="0.3">
      <c r="B862" s="5"/>
      <c r="C862" s="5"/>
      <c r="G862" s="12"/>
      <c r="H862" s="12"/>
      <c r="I862" s="12"/>
      <c r="J862" s="12"/>
      <c r="K862" s="12"/>
      <c r="L862" s="12"/>
    </row>
    <row r="863" spans="2:12" x14ac:dyDescent="0.3">
      <c r="B863" s="5"/>
      <c r="C863" s="5"/>
      <c r="D863" s="5"/>
      <c r="E863" s="5"/>
      <c r="F863" s="5"/>
      <c r="G863" s="5"/>
      <c r="H863" s="31"/>
      <c r="I863" s="31"/>
      <c r="J863" s="31"/>
      <c r="K863" s="31"/>
      <c r="L863" s="31"/>
    </row>
    <row r="864" spans="2:12" x14ac:dyDescent="0.3">
      <c r="B864" s="5"/>
      <c r="C864" s="5"/>
      <c r="H864" s="30"/>
      <c r="I864" s="30"/>
      <c r="J864" s="30"/>
    </row>
    <row r="865" spans="2:12" x14ac:dyDescent="0.3">
      <c r="B865" s="5"/>
      <c r="C865" s="5"/>
      <c r="H865" s="30"/>
      <c r="I865" s="30"/>
      <c r="J865" s="30"/>
    </row>
    <row r="866" spans="2:12" x14ac:dyDescent="0.3">
      <c r="B866" s="5"/>
      <c r="C866" s="5"/>
      <c r="H866" s="30"/>
      <c r="I866" s="30"/>
      <c r="J866" s="30"/>
      <c r="K866" s="30"/>
      <c r="L866" s="30"/>
    </row>
    <row r="867" spans="2:12" x14ac:dyDescent="0.3">
      <c r="B867" s="5"/>
      <c r="C867" s="5"/>
      <c r="H867" s="30"/>
      <c r="I867" s="30"/>
      <c r="J867" s="30"/>
      <c r="K867" s="30"/>
      <c r="L867" s="30"/>
    </row>
    <row r="868" spans="2:12" x14ac:dyDescent="0.3">
      <c r="B868" s="5"/>
      <c r="C868" s="5"/>
      <c r="H868" s="30"/>
      <c r="I868" s="30"/>
      <c r="J868" s="30"/>
      <c r="K868" s="30"/>
      <c r="L868" s="30"/>
    </row>
    <row r="869" spans="2:12" x14ac:dyDescent="0.3">
      <c r="H869" s="30"/>
      <c r="I869" s="30"/>
      <c r="J869" s="30"/>
      <c r="K869" s="30"/>
      <c r="L869" s="30"/>
    </row>
    <row r="870" spans="2:12" x14ac:dyDescent="0.3">
      <c r="H870" s="30"/>
      <c r="I870" s="30"/>
      <c r="J870" s="30"/>
      <c r="K870" s="30"/>
      <c r="L870" s="30"/>
    </row>
    <row r="871" spans="2:12" x14ac:dyDescent="0.3">
      <c r="H871" s="30"/>
      <c r="I871" s="30"/>
      <c r="J871" s="30"/>
      <c r="K871" s="30"/>
      <c r="L871" s="30"/>
    </row>
    <row r="872" spans="2:12" x14ac:dyDescent="0.3">
      <c r="H872" s="30"/>
      <c r="I872" s="30"/>
      <c r="J872" s="30"/>
      <c r="K872" s="30"/>
      <c r="L872" s="30"/>
    </row>
    <row r="873" spans="2:12" x14ac:dyDescent="0.3">
      <c r="B873" s="5"/>
      <c r="C873" s="5"/>
      <c r="G873" s="12"/>
      <c r="H873" s="30"/>
      <c r="I873" s="30"/>
      <c r="J873" s="30"/>
      <c r="K873" s="30"/>
      <c r="L873" s="30"/>
    </row>
    <row r="874" spans="2:12" x14ac:dyDescent="0.3">
      <c r="B874" s="5"/>
      <c r="C874" s="5"/>
      <c r="G874" s="30"/>
      <c r="H874" s="30"/>
      <c r="I874" s="30"/>
      <c r="J874" s="30"/>
      <c r="K874" s="30"/>
      <c r="L874" s="30"/>
    </row>
    <row r="875" spans="2:12" x14ac:dyDescent="0.3">
      <c r="B875" s="5"/>
      <c r="C875" s="5"/>
      <c r="G875" s="30"/>
      <c r="H875" s="30"/>
      <c r="I875" s="30"/>
      <c r="J875" s="30"/>
      <c r="K875" s="30"/>
      <c r="L875" s="30"/>
    </row>
    <row r="876" spans="2:12" x14ac:dyDescent="0.3">
      <c r="B876" s="5"/>
      <c r="C876" s="5"/>
      <c r="H876" s="30"/>
      <c r="I876" s="30"/>
      <c r="J876" s="30"/>
      <c r="K876" s="30"/>
      <c r="L876" s="30"/>
    </row>
    <row r="877" spans="2:12" x14ac:dyDescent="0.3">
      <c r="B877" s="5"/>
      <c r="C877" s="5"/>
      <c r="D877" s="5"/>
      <c r="E877" s="5"/>
      <c r="F877" s="5"/>
      <c r="G877" s="5"/>
      <c r="H877" s="33"/>
      <c r="I877" s="33"/>
      <c r="J877" s="33"/>
      <c r="K877" s="33"/>
      <c r="L877" s="33"/>
    </row>
    <row r="878" spans="2:12" x14ac:dyDescent="0.3">
      <c r="H878" s="27"/>
      <c r="I878" s="27"/>
      <c r="J878" s="27"/>
      <c r="K878" s="27"/>
      <c r="L878" s="27"/>
    </row>
    <row r="879" spans="2:12" x14ac:dyDescent="0.3">
      <c r="H879" s="27"/>
      <c r="I879" s="27"/>
      <c r="J879" s="27"/>
      <c r="K879" s="27"/>
      <c r="L879" s="27"/>
    </row>
    <row r="880" spans="2:12" x14ac:dyDescent="0.3">
      <c r="H880" s="12"/>
      <c r="I880" s="12"/>
      <c r="J880" s="12"/>
      <c r="K880" s="12"/>
      <c r="L880" s="12"/>
    </row>
    <row r="881" spans="2:12" x14ac:dyDescent="0.3">
      <c r="H881" s="7"/>
      <c r="I881" s="7"/>
      <c r="J881" s="7"/>
      <c r="K881" s="7"/>
      <c r="L881" s="7"/>
    </row>
    <row r="883" spans="2:12" x14ac:dyDescent="0.3">
      <c r="B883" s="5"/>
      <c r="C883" s="5"/>
      <c r="D883" s="5"/>
      <c r="E883" s="5"/>
      <c r="F883" s="5"/>
      <c r="G883" s="5"/>
      <c r="H883" s="33"/>
      <c r="I883" s="33"/>
      <c r="J883" s="33"/>
      <c r="K883" s="33"/>
      <c r="L883" s="33"/>
    </row>
    <row r="885" spans="2:12" x14ac:dyDescent="0.3">
      <c r="E885" s="11"/>
    </row>
    <row r="886" spans="2:12" ht="25.8" x14ac:dyDescent="0.5">
      <c r="B886" s="3"/>
      <c r="C886" s="3"/>
      <c r="D886" s="3"/>
      <c r="E886" s="4"/>
      <c r="F886" s="4"/>
      <c r="G886" s="4"/>
      <c r="H886" s="4"/>
      <c r="I886" s="4"/>
      <c r="J886" s="4"/>
      <c r="K886" s="4"/>
      <c r="L886" s="4"/>
    </row>
    <row r="887" spans="2:12" x14ac:dyDescent="0.3">
      <c r="B887" s="4"/>
      <c r="C887" s="4"/>
      <c r="D887" s="4"/>
      <c r="E887" s="4"/>
      <c r="F887" s="4"/>
      <c r="G887" s="4"/>
      <c r="H887" s="4"/>
      <c r="I887" s="4"/>
      <c r="J887" s="4"/>
      <c r="K887" s="4"/>
      <c r="L887" s="4"/>
    </row>
    <row r="888" spans="2:12" x14ac:dyDescent="0.3">
      <c r="B888" s="4"/>
      <c r="C888" s="4"/>
      <c r="D888" s="4"/>
      <c r="E888" s="4"/>
      <c r="F888" s="4"/>
      <c r="G888" s="4"/>
      <c r="H888" s="4"/>
      <c r="I888" s="4"/>
      <c r="J888" s="4"/>
    </row>
    <row r="889" spans="2:12" x14ac:dyDescent="0.3">
      <c r="B889" s="4"/>
      <c r="C889" s="4"/>
      <c r="D889" s="4"/>
      <c r="E889" s="4"/>
      <c r="F889" s="4"/>
      <c r="G889" s="4"/>
      <c r="H889" s="4"/>
      <c r="I889" s="4"/>
      <c r="J889" s="4"/>
    </row>
    <row r="891" spans="2:12" x14ac:dyDescent="0.3">
      <c r="F891" s="28"/>
      <c r="G891" s="28"/>
      <c r="H891" s="29"/>
      <c r="I891" s="29"/>
      <c r="J891" s="29"/>
      <c r="K891" s="29"/>
      <c r="L891" s="29"/>
    </row>
    <row r="894" spans="2:12" x14ac:dyDescent="0.3">
      <c r="H894" s="32"/>
      <c r="I894" s="32"/>
      <c r="J894" s="32"/>
      <c r="K894" s="32"/>
      <c r="L894" s="32"/>
    </row>
    <row r="895" spans="2:12" x14ac:dyDescent="0.3">
      <c r="H895" s="32"/>
      <c r="I895" s="32"/>
      <c r="J895" s="32"/>
      <c r="K895" s="32"/>
      <c r="L895" s="32"/>
    </row>
    <row r="896" spans="2:12" x14ac:dyDescent="0.3">
      <c r="H896" s="32"/>
      <c r="I896" s="32"/>
      <c r="J896" s="32"/>
      <c r="K896" s="32"/>
      <c r="L896" s="32"/>
    </row>
    <row r="897" spans="2:12" x14ac:dyDescent="0.3">
      <c r="H897" s="30"/>
      <c r="I897" s="30"/>
      <c r="J897" s="30"/>
      <c r="K897" s="30"/>
      <c r="L897" s="30"/>
    </row>
    <row r="898" spans="2:12" x14ac:dyDescent="0.3">
      <c r="B898" s="5"/>
      <c r="C898" s="5"/>
      <c r="D898" s="5"/>
      <c r="E898" s="5"/>
      <c r="F898" s="5"/>
      <c r="G898" s="10"/>
      <c r="H898" s="10"/>
      <c r="I898" s="10"/>
      <c r="J898" s="10"/>
      <c r="K898" s="10"/>
      <c r="L898" s="10"/>
    </row>
    <row r="899" spans="2:12" x14ac:dyDescent="0.3">
      <c r="B899" s="5"/>
      <c r="C899" s="5"/>
      <c r="D899" s="5"/>
      <c r="E899" s="5"/>
      <c r="F899" s="5"/>
      <c r="G899" s="10"/>
      <c r="H899" s="10"/>
      <c r="I899" s="10"/>
      <c r="J899" s="10"/>
      <c r="K899" s="10"/>
      <c r="L899" s="10"/>
    </row>
    <row r="900" spans="2:12" x14ac:dyDescent="0.3">
      <c r="B900" s="5"/>
      <c r="C900" s="5"/>
      <c r="D900" s="5"/>
      <c r="E900" s="5"/>
      <c r="F900" s="5"/>
      <c r="G900" s="10"/>
      <c r="H900" s="10"/>
      <c r="I900" s="10"/>
      <c r="J900" s="10"/>
      <c r="K900" s="10"/>
      <c r="L900" s="10"/>
    </row>
    <row r="901" spans="2:12" x14ac:dyDescent="0.3">
      <c r="G901" s="32"/>
      <c r="H901" s="32"/>
      <c r="I901" s="32"/>
      <c r="J901" s="32"/>
      <c r="K901" s="32"/>
      <c r="L901" s="32"/>
    </row>
    <row r="902" spans="2:12" x14ac:dyDescent="0.3">
      <c r="B902" s="5"/>
      <c r="C902" s="5"/>
      <c r="D902" s="5"/>
      <c r="E902" s="5"/>
      <c r="F902" s="5"/>
      <c r="G902" s="31"/>
      <c r="H902" s="31"/>
      <c r="I902" s="31"/>
      <c r="J902" s="31"/>
      <c r="K902" s="31"/>
      <c r="L902" s="31"/>
    </row>
    <row r="903" spans="2:12" x14ac:dyDescent="0.3">
      <c r="B903" s="5"/>
      <c r="C903" s="5"/>
      <c r="D903" s="5"/>
      <c r="E903" s="5"/>
      <c r="F903" s="5"/>
      <c r="G903" s="31"/>
      <c r="H903" s="31"/>
      <c r="I903" s="31"/>
      <c r="J903" s="31"/>
      <c r="K903" s="31"/>
      <c r="L903" s="31"/>
    </row>
    <row r="905" spans="2:12" x14ac:dyDescent="0.3">
      <c r="G905" s="32"/>
      <c r="H905" s="32"/>
      <c r="I905" s="32"/>
      <c r="J905" s="32"/>
      <c r="K905" s="32"/>
      <c r="L905" s="32"/>
    </row>
    <row r="906" spans="2:12" x14ac:dyDescent="0.3">
      <c r="B906" s="5"/>
      <c r="C906" s="5"/>
      <c r="G906" s="32"/>
      <c r="H906" s="32"/>
      <c r="I906" s="32"/>
      <c r="J906" s="32"/>
      <c r="K906" s="32"/>
      <c r="L906" s="32"/>
    </row>
    <row r="907" spans="2:12" x14ac:dyDescent="0.3">
      <c r="G907" s="7"/>
      <c r="H907" s="7"/>
      <c r="I907" s="7"/>
      <c r="J907" s="7"/>
      <c r="K907" s="7"/>
      <c r="L907" s="7"/>
    </row>
    <row r="908" spans="2:12" x14ac:dyDescent="0.3">
      <c r="G908" s="7"/>
      <c r="H908" s="7"/>
      <c r="I908" s="7"/>
      <c r="J908" s="7"/>
      <c r="K908" s="7"/>
      <c r="L908" s="7"/>
    </row>
  </sheetData>
  <pageMargins left="0.25" right="0.25" top="0.75" bottom="0.75" header="0.3" footer="0.3"/>
  <pageSetup scale="32" fitToWidth="0" fitToHeight="0" orientation="portrait" r:id="rId1"/>
  <rowBreaks count="3" manualBreakCount="3">
    <brk id="40" max="16383" man="1"/>
    <brk id="101" max="16383" man="1"/>
    <brk id="148" max="11" man="1"/>
  </rowBreak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Cover</vt:lpstr>
      <vt:lpstr>Assumptions</vt:lpstr>
      <vt:lpstr>Model</vt:lpstr>
      <vt:lpstr>Model!Print_Area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Hopkinson</dc:creator>
  <cp:lastModifiedBy>Peter Hopkinson</cp:lastModifiedBy>
  <cp:lastPrinted>2026-10-10T01:21:40Z</cp:lastPrinted>
  <dcterms:created xsi:type="dcterms:W3CDTF">2026-09-25T20:35:53Z</dcterms:created>
  <dcterms:modified xsi:type="dcterms:W3CDTF">2026-10-22T20:12:55Z</dcterms:modified>
</cp:coreProperties>
</file>