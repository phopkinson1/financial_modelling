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b4a63f789af4ef06/Documents/Career/Career Development/Financial Statements/3 Statement Model/"/>
    </mc:Choice>
  </mc:AlternateContent>
  <xr:revisionPtr revIDLastSave="4600" documentId="8_{8B7479BD-CF16-405B-9E54-99D78F102801}" xr6:coauthVersionLast="47" xr6:coauthVersionMax="47" xr10:uidLastSave="{9AF45FFD-2890-49DB-ACD2-4C33F136E0E9}"/>
  <bookViews>
    <workbookView xWindow="28680" yWindow="-120" windowWidth="51840" windowHeight="21120" activeTab="6" xr2:uid="{C4FDF26E-8D02-42E6-9BA6-E8E4AB263931}"/>
  </bookViews>
  <sheets>
    <sheet name="Cover" sheetId="1" r:id="rId1"/>
    <sheet name="Assumptions" sheetId="3" r:id="rId2"/>
    <sheet name="Model" sheetId="2" r:id="rId3"/>
    <sheet name="Charts" sheetId="4" r:id="rId4"/>
    <sheet name="DCF" sheetId="7" r:id="rId5"/>
    <sheet name="LBO" sheetId="5" r:id="rId6"/>
    <sheet name="LBO Debt" sheetId="6" r:id="rId7"/>
  </sheets>
  <definedNames>
    <definedName name="_xlnm.Print_Area" localSheetId="2">Model!$A$2:$M$844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4" i="6" l="1"/>
  <c r="J15" i="6"/>
  <c r="I15" i="6"/>
  <c r="H15" i="6"/>
  <c r="G15" i="6"/>
  <c r="F15" i="6"/>
  <c r="F25" i="2"/>
  <c r="G25" i="2"/>
  <c r="H559" i="2"/>
  <c r="F302" i="2"/>
  <c r="G302" i="2"/>
  <c r="G272" i="2"/>
  <c r="F272" i="2"/>
  <c r="E32" i="7"/>
  <c r="E25" i="7"/>
  <c r="G6" i="7"/>
  <c r="H6" i="7" s="1"/>
  <c r="I6" i="7" s="1"/>
  <c r="J6" i="7" s="1"/>
  <c r="J3" i="7"/>
  <c r="B2" i="7"/>
  <c r="B2" i="6"/>
  <c r="G6" i="6"/>
  <c r="H6" i="6" s="1"/>
  <c r="I6" i="6" s="1"/>
  <c r="J6" i="6" s="1"/>
  <c r="J3" i="6"/>
  <c r="F18" i="5"/>
  <c r="F28" i="5"/>
  <c r="F11" i="5"/>
  <c r="F3" i="5"/>
  <c r="I3" i="5"/>
  <c r="B2" i="5"/>
  <c r="L47" i="3"/>
  <c r="L201" i="2" s="1"/>
  <c r="K47" i="3"/>
  <c r="K201" i="2" s="1"/>
  <c r="J47" i="3"/>
  <c r="J201" i="2" s="1"/>
  <c r="I47" i="3"/>
  <c r="I201" i="2" s="1"/>
  <c r="H47" i="3"/>
  <c r="H201" i="2" s="1"/>
  <c r="H63" i="2"/>
  <c r="I63" i="2" s="1"/>
  <c r="J63" i="2" s="1"/>
  <c r="K63" i="2" s="1"/>
  <c r="L63" i="2" s="1"/>
  <c r="H670" i="2"/>
  <c r="G24" i="2"/>
  <c r="F24" i="2"/>
  <c r="K495" i="2"/>
  <c r="L495" i="2"/>
  <c r="J495" i="2"/>
  <c r="I495" i="2"/>
  <c r="H495" i="2"/>
  <c r="H493" i="2"/>
  <c r="H590" i="2"/>
  <c r="H596" i="2"/>
  <c r="H28" i="2" s="1"/>
  <c r="H550" i="2"/>
  <c r="H38" i="2"/>
  <c r="I38" i="2" s="1"/>
  <c r="J38" i="2" s="1"/>
  <c r="K38" i="2" s="1"/>
  <c r="L38" i="2" s="1"/>
  <c r="F616" i="2"/>
  <c r="G616" i="2" s="1"/>
  <c r="H616" i="2" s="1"/>
  <c r="I616" i="2" s="1"/>
  <c r="J616" i="2" s="1"/>
  <c r="K616" i="2" s="1"/>
  <c r="L616" i="2" s="1"/>
  <c r="L613" i="2"/>
  <c r="B612" i="2"/>
  <c r="K541" i="2"/>
  <c r="L24" i="3"/>
  <c r="L238" i="2" s="1"/>
  <c r="K24" i="3"/>
  <c r="K238" i="2" s="1"/>
  <c r="J24" i="3"/>
  <c r="J238" i="2" s="1"/>
  <c r="I24" i="3"/>
  <c r="I238" i="2" s="1"/>
  <c r="H24" i="3"/>
  <c r="H238" i="2" s="1"/>
  <c r="H239" i="2" s="1"/>
  <c r="G159" i="2"/>
  <c r="F159" i="2"/>
  <c r="C5" i="4" s="1"/>
  <c r="G158" i="2"/>
  <c r="F158" i="2"/>
  <c r="C4" i="4" s="1"/>
  <c r="G157" i="2"/>
  <c r="F157" i="2"/>
  <c r="C3" i="4" s="1"/>
  <c r="L37" i="3"/>
  <c r="L195" i="2" s="1"/>
  <c r="K37" i="3"/>
  <c r="K195" i="2" s="1"/>
  <c r="J37" i="3"/>
  <c r="J195" i="2" s="1"/>
  <c r="I37" i="3"/>
  <c r="I195" i="2" s="1"/>
  <c r="H37" i="3"/>
  <c r="H195" i="2" s="1"/>
  <c r="L32" i="3"/>
  <c r="L194" i="2" s="1"/>
  <c r="K32" i="3"/>
  <c r="K194" i="2" s="1"/>
  <c r="J32" i="3"/>
  <c r="J194" i="2" s="1"/>
  <c r="I32" i="3"/>
  <c r="I194" i="2" s="1"/>
  <c r="H32" i="3"/>
  <c r="H194" i="2" s="1"/>
  <c r="H17" i="2"/>
  <c r="I17" i="2" s="1"/>
  <c r="J17" i="2" s="1"/>
  <c r="K17" i="2" s="1"/>
  <c r="L17" i="2" s="1"/>
  <c r="L416" i="2"/>
  <c r="F76" i="2"/>
  <c r="H62" i="2"/>
  <c r="I62" i="2" s="1"/>
  <c r="J62" i="2" s="1"/>
  <c r="K62" i="2" s="1"/>
  <c r="L62" i="2" s="1"/>
  <c r="F323" i="2"/>
  <c r="G323" i="2"/>
  <c r="G322" i="2"/>
  <c r="L286" i="2"/>
  <c r="K286" i="2"/>
  <c r="J286" i="2"/>
  <c r="I286" i="2"/>
  <c r="H286" i="2"/>
  <c r="G315" i="2"/>
  <c r="F315" i="2"/>
  <c r="L309" i="2"/>
  <c r="B308" i="2"/>
  <c r="H141" i="2"/>
  <c r="L559" i="2"/>
  <c r="K559" i="2"/>
  <c r="J559" i="2"/>
  <c r="I559" i="2"/>
  <c r="H72" i="2"/>
  <c r="I72" i="2" s="1"/>
  <c r="J72" i="2" s="1"/>
  <c r="K72" i="2" s="1"/>
  <c r="L72" i="2" s="1"/>
  <c r="H83" i="2"/>
  <c r="I83" i="2" s="1"/>
  <c r="J83" i="2" s="1"/>
  <c r="K83" i="2" s="1"/>
  <c r="L83" i="2" s="1"/>
  <c r="H54" i="2"/>
  <c r="I54" i="2" s="1"/>
  <c r="J54" i="2" s="1"/>
  <c r="K54" i="2" s="1"/>
  <c r="L54" i="2" s="1"/>
  <c r="H65" i="2"/>
  <c r="I65" i="2" s="1"/>
  <c r="J65" i="2" s="1"/>
  <c r="K65" i="2" s="1"/>
  <c r="L65" i="2" s="1"/>
  <c r="H64" i="2"/>
  <c r="I64" i="2" s="1"/>
  <c r="J64" i="2" s="1"/>
  <c r="K64" i="2" s="1"/>
  <c r="L64" i="2" s="1"/>
  <c r="F249" i="2"/>
  <c r="G255" i="2"/>
  <c r="G253" i="2"/>
  <c r="F255" i="2"/>
  <c r="G251" i="2" s="1"/>
  <c r="G249" i="2" s="1"/>
  <c r="H91" i="2"/>
  <c r="I91" i="2" s="1"/>
  <c r="J91" i="2" s="1"/>
  <c r="K91" i="2" s="1"/>
  <c r="L91" i="2" s="1"/>
  <c r="H90" i="2"/>
  <c r="I90" i="2" s="1"/>
  <c r="J90" i="2" s="1"/>
  <c r="K90" i="2" s="1"/>
  <c r="L90" i="2" s="1"/>
  <c r="H89" i="2"/>
  <c r="G697" i="2"/>
  <c r="H692" i="2" s="1"/>
  <c r="H657" i="2"/>
  <c r="H656" i="2"/>
  <c r="L671" i="2"/>
  <c r="K671" i="2"/>
  <c r="J671" i="2"/>
  <c r="I671" i="2"/>
  <c r="H671" i="2"/>
  <c r="G298" i="2"/>
  <c r="F298" i="2"/>
  <c r="L541" i="2"/>
  <c r="J541" i="2"/>
  <c r="I541" i="2"/>
  <c r="H541" i="2"/>
  <c r="L535" i="2"/>
  <c r="K535" i="2"/>
  <c r="J535" i="2"/>
  <c r="I535" i="2"/>
  <c r="H535" i="2"/>
  <c r="L523" i="2"/>
  <c r="K523" i="2"/>
  <c r="J523" i="2"/>
  <c r="I523" i="2"/>
  <c r="L529" i="2"/>
  <c r="K529" i="2"/>
  <c r="J529" i="2"/>
  <c r="I529" i="2"/>
  <c r="H529" i="2"/>
  <c r="H52" i="2"/>
  <c r="I52" i="2" s="1"/>
  <c r="J52" i="2" s="1"/>
  <c r="L579" i="2"/>
  <c r="K579" i="2"/>
  <c r="J579" i="2"/>
  <c r="I579" i="2"/>
  <c r="H579" i="2"/>
  <c r="L578" i="2"/>
  <c r="K578" i="2"/>
  <c r="J578" i="2"/>
  <c r="I578" i="2"/>
  <c r="H578" i="2"/>
  <c r="L577" i="2"/>
  <c r="K577" i="2"/>
  <c r="J577" i="2"/>
  <c r="I577" i="2"/>
  <c r="H577" i="2"/>
  <c r="L576" i="2"/>
  <c r="K576" i="2"/>
  <c r="J576" i="2"/>
  <c r="I576" i="2"/>
  <c r="H576" i="2"/>
  <c r="L575" i="2"/>
  <c r="K575" i="2"/>
  <c r="J575" i="2"/>
  <c r="I575" i="2"/>
  <c r="H575" i="2"/>
  <c r="H540" i="2"/>
  <c r="H534" i="2"/>
  <c r="H528" i="2"/>
  <c r="H521" i="2"/>
  <c r="L287" i="2"/>
  <c r="K287" i="2"/>
  <c r="J287" i="2"/>
  <c r="I287" i="2"/>
  <c r="H287" i="2"/>
  <c r="L445" i="2"/>
  <c r="K445" i="2"/>
  <c r="J445" i="2"/>
  <c r="I445" i="2"/>
  <c r="H445" i="2"/>
  <c r="H480" i="2"/>
  <c r="I480" i="2" s="1"/>
  <c r="J480" i="2" s="1"/>
  <c r="K480" i="2" s="1"/>
  <c r="L480" i="2" s="1"/>
  <c r="G456" i="2"/>
  <c r="F456" i="2"/>
  <c r="F641" i="2"/>
  <c r="F407" i="2"/>
  <c r="G407" i="2"/>
  <c r="G291" i="2"/>
  <c r="F291" i="2"/>
  <c r="G276" i="2"/>
  <c r="G280" i="2" s="1"/>
  <c r="F276" i="2"/>
  <c r="F280" i="2" s="1"/>
  <c r="L262" i="2"/>
  <c r="B261" i="2"/>
  <c r="F236" i="2"/>
  <c r="F233" i="2"/>
  <c r="G231" i="2"/>
  <c r="F231" i="2"/>
  <c r="L223" i="2"/>
  <c r="B222" i="2"/>
  <c r="G198" i="2"/>
  <c r="F198" i="2"/>
  <c r="G201" i="2"/>
  <c r="L214" i="2"/>
  <c r="K214" i="2"/>
  <c r="J214" i="2"/>
  <c r="I214" i="2"/>
  <c r="H214" i="2"/>
  <c r="G214" i="2"/>
  <c r="G218" i="2" s="1"/>
  <c r="H193" i="2"/>
  <c r="G193" i="2"/>
  <c r="F46" i="2"/>
  <c r="G76" i="2"/>
  <c r="B42" i="2"/>
  <c r="G57" i="2"/>
  <c r="F57" i="2"/>
  <c r="F67" i="2" s="1"/>
  <c r="B5" i="1"/>
  <c r="G30" i="2"/>
  <c r="F30" i="2"/>
  <c r="G7" i="2"/>
  <c r="H7" i="2" s="1"/>
  <c r="I7" i="2" s="1"/>
  <c r="J7" i="2" s="1"/>
  <c r="K7" i="2" s="1"/>
  <c r="L7" i="2" s="1"/>
  <c r="G6" i="3"/>
  <c r="H6" i="3" s="1"/>
  <c r="I6" i="3" s="1"/>
  <c r="J6" i="3" s="1"/>
  <c r="K6" i="3" s="1"/>
  <c r="L6" i="3" s="1"/>
  <c r="H511" i="2"/>
  <c r="H409" i="2"/>
  <c r="H405" i="2" s="1"/>
  <c r="H407" i="2" s="1"/>
  <c r="H411" i="2" s="1"/>
  <c r="H415" i="2" s="1"/>
  <c r="H133" i="2" s="1"/>
  <c r="L410" i="2"/>
  <c r="K410" i="2"/>
  <c r="J410" i="2"/>
  <c r="I410" i="2"/>
  <c r="H410" i="2"/>
  <c r="F337" i="2"/>
  <c r="G337" i="2" s="1"/>
  <c r="H337" i="2" s="1"/>
  <c r="I337" i="2" s="1"/>
  <c r="J337" i="2" s="1"/>
  <c r="K337" i="2" s="1"/>
  <c r="L337" i="2" s="1"/>
  <c r="F377" i="2"/>
  <c r="G377" i="2" s="1"/>
  <c r="H377" i="2" s="1"/>
  <c r="F423" i="2"/>
  <c r="G423" i="2" s="1"/>
  <c r="H423" i="2" s="1"/>
  <c r="F488" i="2"/>
  <c r="G488" i="2" s="1"/>
  <c r="H488" i="2" s="1"/>
  <c r="I488" i="2" s="1"/>
  <c r="J488" i="2" s="1"/>
  <c r="K488" i="2" s="1"/>
  <c r="L488" i="2" s="1"/>
  <c r="I472" i="2"/>
  <c r="H441" i="2"/>
  <c r="I398" i="2"/>
  <c r="H398" i="2"/>
  <c r="H397" i="2"/>
  <c r="H394" i="2" s="1"/>
  <c r="G80" i="2"/>
  <c r="G85" i="2" s="1"/>
  <c r="F80" i="2"/>
  <c r="F85" i="2" s="1"/>
  <c r="L3" i="3"/>
  <c r="L678" i="2"/>
  <c r="L638" i="2"/>
  <c r="L485" i="2"/>
  <c r="L420" i="2"/>
  <c r="L374" i="2"/>
  <c r="L334" i="2"/>
  <c r="L185" i="2"/>
  <c r="L149" i="2"/>
  <c r="L102" i="2"/>
  <c r="L43" i="2"/>
  <c r="L4" i="2"/>
  <c r="L19" i="3"/>
  <c r="K19" i="3"/>
  <c r="J19" i="3"/>
  <c r="I19" i="3"/>
  <c r="H19" i="3"/>
  <c r="H270" i="2" s="1"/>
  <c r="H42" i="3"/>
  <c r="H198" i="2" s="1"/>
  <c r="L42" i="3"/>
  <c r="L198" i="2" s="1"/>
  <c r="K42" i="3"/>
  <c r="K198" i="2" s="1"/>
  <c r="J42" i="3"/>
  <c r="J198" i="2" s="1"/>
  <c r="I42" i="3"/>
  <c r="I198" i="2" s="1"/>
  <c r="L14" i="3"/>
  <c r="K14" i="3"/>
  <c r="J14" i="3"/>
  <c r="I14" i="3"/>
  <c r="H14" i="3"/>
  <c r="H301" i="2" s="1"/>
  <c r="B2" i="3"/>
  <c r="L695" i="2"/>
  <c r="L135" i="2" s="1"/>
  <c r="K695" i="2"/>
  <c r="K135" i="2" s="1"/>
  <c r="J695" i="2"/>
  <c r="J135" i="2" s="1"/>
  <c r="I695" i="2"/>
  <c r="I135" i="2" s="1"/>
  <c r="H695" i="2"/>
  <c r="H135" i="2" s="1"/>
  <c r="L696" i="2"/>
  <c r="K696" i="2"/>
  <c r="J696" i="2"/>
  <c r="I696" i="2"/>
  <c r="H696" i="2"/>
  <c r="B677" i="2"/>
  <c r="B637" i="2"/>
  <c r="I573" i="2"/>
  <c r="I572" i="2"/>
  <c r="H517" i="2"/>
  <c r="G518" i="2"/>
  <c r="H583" i="2" s="1"/>
  <c r="G358" i="2"/>
  <c r="F358" i="2"/>
  <c r="G357" i="2"/>
  <c r="F357" i="2"/>
  <c r="G348" i="2"/>
  <c r="F348" i="2"/>
  <c r="G345" i="2"/>
  <c r="F345" i="2"/>
  <c r="G344" i="2"/>
  <c r="F344" i="2"/>
  <c r="B333" i="2"/>
  <c r="B484" i="2"/>
  <c r="H471" i="2"/>
  <c r="G429" i="2"/>
  <c r="F429" i="2"/>
  <c r="B419" i="2"/>
  <c r="B373" i="2"/>
  <c r="B184" i="2"/>
  <c r="B148" i="2"/>
  <c r="B101" i="2"/>
  <c r="B3" i="2"/>
  <c r="G12" i="2"/>
  <c r="G18" i="2" s="1"/>
  <c r="F12" i="2"/>
  <c r="F271" i="2" l="1"/>
  <c r="I301" i="2"/>
  <c r="G271" i="2"/>
  <c r="H271" i="2" s="1"/>
  <c r="D5" i="4"/>
  <c r="D4" i="4"/>
  <c r="D3" i="4"/>
  <c r="F16" i="6"/>
  <c r="G19" i="7"/>
  <c r="L270" i="2"/>
  <c r="L293" i="2"/>
  <c r="K270" i="2"/>
  <c r="K293" i="2"/>
  <c r="J270" i="2"/>
  <c r="J293" i="2"/>
  <c r="I270" i="2"/>
  <c r="I293" i="2"/>
  <c r="H293" i="2"/>
  <c r="G295" i="2"/>
  <c r="F295" i="2"/>
  <c r="G641" i="2"/>
  <c r="H641" i="2" s="1"/>
  <c r="I641" i="2" s="1"/>
  <c r="J641" i="2" s="1"/>
  <c r="K641" i="2" s="1"/>
  <c r="L641" i="2" s="1"/>
  <c r="F681" i="2"/>
  <c r="G681" i="2" s="1"/>
  <c r="H681" i="2" s="1"/>
  <c r="I681" i="2" s="1"/>
  <c r="J681" i="2" s="1"/>
  <c r="K681" i="2" s="1"/>
  <c r="L681" i="2" s="1"/>
  <c r="H585" i="2"/>
  <c r="H589" i="2"/>
  <c r="H588" i="2"/>
  <c r="H587" i="2"/>
  <c r="H586" i="2"/>
  <c r="H202" i="2"/>
  <c r="G87" i="2"/>
  <c r="G93" i="2" s="1"/>
  <c r="H196" i="2"/>
  <c r="H157" i="2" s="1"/>
  <c r="E3" i="4" s="1"/>
  <c r="H556" i="2"/>
  <c r="F87" i="2"/>
  <c r="H322" i="2"/>
  <c r="G324" i="2"/>
  <c r="G327" i="2" s="1"/>
  <c r="G316" i="2"/>
  <c r="F324" i="2"/>
  <c r="F316" i="2"/>
  <c r="H316" i="2" s="1"/>
  <c r="I316" i="2" s="1"/>
  <c r="J316" i="2" s="1"/>
  <c r="K316" i="2" s="1"/>
  <c r="L316" i="2" s="1"/>
  <c r="J573" i="2"/>
  <c r="H251" i="2"/>
  <c r="H254" i="2" s="1"/>
  <c r="G252" i="2"/>
  <c r="H658" i="2"/>
  <c r="I89" i="2"/>
  <c r="J89" i="2" s="1"/>
  <c r="K89" i="2" s="1"/>
  <c r="L89" i="2" s="1"/>
  <c r="J572" i="2"/>
  <c r="H537" i="2"/>
  <c r="H543" i="2"/>
  <c r="G368" i="2"/>
  <c r="F368" i="2"/>
  <c r="G367" i="2"/>
  <c r="K52" i="2"/>
  <c r="H531" i="2"/>
  <c r="F367" i="2"/>
  <c r="H525" i="2"/>
  <c r="G366" i="2"/>
  <c r="F366" i="2"/>
  <c r="L450" i="2"/>
  <c r="L285" i="2"/>
  <c r="K450" i="2"/>
  <c r="K285" i="2"/>
  <c r="J450" i="2"/>
  <c r="J285" i="2"/>
  <c r="I450" i="2"/>
  <c r="I285" i="2"/>
  <c r="H450" i="2"/>
  <c r="H285" i="2"/>
  <c r="G360" i="2"/>
  <c r="F360" i="2"/>
  <c r="J472" i="2"/>
  <c r="F349" i="2"/>
  <c r="I239" i="2"/>
  <c r="F105" i="2"/>
  <c r="F312" i="2" s="1"/>
  <c r="G312" i="2" s="1"/>
  <c r="H312" i="2" s="1"/>
  <c r="I312" i="2" s="1"/>
  <c r="J312" i="2" s="1"/>
  <c r="K312" i="2" s="1"/>
  <c r="L312" i="2" s="1"/>
  <c r="G46" i="2"/>
  <c r="H46" i="2" s="1"/>
  <c r="I46" i="2" s="1"/>
  <c r="J46" i="2" s="1"/>
  <c r="K46" i="2" s="1"/>
  <c r="L46" i="2" s="1"/>
  <c r="F13" i="2"/>
  <c r="F164" i="2" s="1"/>
  <c r="F18" i="2"/>
  <c r="H473" i="2"/>
  <c r="H468" i="2" s="1"/>
  <c r="G349" i="2"/>
  <c r="J398" i="2"/>
  <c r="I517" i="2"/>
  <c r="G362" i="2"/>
  <c r="F362" i="2"/>
  <c r="G361" i="2"/>
  <c r="F361" i="2"/>
  <c r="G346" i="2"/>
  <c r="F346" i="2"/>
  <c r="H447" i="2"/>
  <c r="I423" i="2"/>
  <c r="H413" i="2"/>
  <c r="G67" i="2"/>
  <c r="I377" i="2"/>
  <c r="G13" i="2"/>
  <c r="G164" i="2" s="1"/>
  <c r="J301" i="2" l="1"/>
  <c r="G370" i="2"/>
  <c r="F370" i="2"/>
  <c r="H295" i="2"/>
  <c r="I295" i="2" s="1"/>
  <c r="J295" i="2" s="1"/>
  <c r="F93" i="2"/>
  <c r="H19" i="7"/>
  <c r="I271" i="2"/>
  <c r="I521" i="2"/>
  <c r="I586" i="2" s="1"/>
  <c r="I202" i="2"/>
  <c r="H199" i="2"/>
  <c r="H158" i="2" s="1"/>
  <c r="E4" i="4" s="1"/>
  <c r="I193" i="2"/>
  <c r="I196" i="2" s="1"/>
  <c r="I157" i="2" s="1"/>
  <c r="F3" i="4" s="1"/>
  <c r="G328" i="2"/>
  <c r="H328" i="2" s="1"/>
  <c r="H327" i="2"/>
  <c r="I322" i="2"/>
  <c r="H660" i="2"/>
  <c r="H56" i="2"/>
  <c r="I657" i="2" s="1"/>
  <c r="K573" i="2"/>
  <c r="I540" i="2"/>
  <c r="H288" i="2"/>
  <c r="I534" i="2"/>
  <c r="I588" i="2" s="1"/>
  <c r="K572" i="2"/>
  <c r="L52" i="2"/>
  <c r="I528" i="2"/>
  <c r="K472" i="2"/>
  <c r="F351" i="2"/>
  <c r="F226" i="2"/>
  <c r="G226" i="2" s="1"/>
  <c r="H226" i="2" s="1"/>
  <c r="I226" i="2" s="1"/>
  <c r="J226" i="2" s="1"/>
  <c r="K226" i="2" s="1"/>
  <c r="L226" i="2" s="1"/>
  <c r="F265" i="2"/>
  <c r="G265" i="2" s="1"/>
  <c r="H265" i="2" s="1"/>
  <c r="I265" i="2" s="1"/>
  <c r="J265" i="2" s="1"/>
  <c r="K265" i="2" s="1"/>
  <c r="L265" i="2" s="1"/>
  <c r="J239" i="2"/>
  <c r="G105" i="2"/>
  <c r="H105" i="2" s="1"/>
  <c r="I105" i="2" s="1"/>
  <c r="J105" i="2" s="1"/>
  <c r="K105" i="2" s="1"/>
  <c r="L105" i="2" s="1"/>
  <c r="F188" i="2"/>
  <c r="G188" i="2" s="1"/>
  <c r="H188" i="2" s="1"/>
  <c r="I188" i="2" s="1"/>
  <c r="J188" i="2" s="1"/>
  <c r="K188" i="2" s="1"/>
  <c r="L188" i="2" s="1"/>
  <c r="F152" i="2"/>
  <c r="G152" i="2" s="1"/>
  <c r="H152" i="2" s="1"/>
  <c r="I152" i="2" s="1"/>
  <c r="J152" i="2" s="1"/>
  <c r="K152" i="2" s="1"/>
  <c r="L152" i="2" s="1"/>
  <c r="G94" i="2"/>
  <c r="G351" i="2"/>
  <c r="I468" i="2"/>
  <c r="I394" i="2"/>
  <c r="K398" i="2"/>
  <c r="F31" i="2"/>
  <c r="I409" i="2"/>
  <c r="I405" i="2" s="1"/>
  <c r="I407" i="2" s="1"/>
  <c r="I411" i="2" s="1"/>
  <c r="H416" i="2" s="1"/>
  <c r="H73" i="2" s="1"/>
  <c r="J517" i="2"/>
  <c r="J377" i="2"/>
  <c r="J423" i="2"/>
  <c r="I441" i="2"/>
  <c r="J441" i="2" s="1"/>
  <c r="K441" i="2" s="1"/>
  <c r="L441" i="2" s="1"/>
  <c r="G19" i="2"/>
  <c r="G165" i="2" s="1"/>
  <c r="G31" i="2"/>
  <c r="F19" i="2"/>
  <c r="F165" i="2" s="1"/>
  <c r="F94" i="2" l="1"/>
  <c r="E26" i="7"/>
  <c r="E27" i="7" s="1"/>
  <c r="E28" i="7" s="1"/>
  <c r="E33" i="7" s="1"/>
  <c r="J24" i="7" s="1"/>
  <c r="K301" i="2"/>
  <c r="I19" i="7"/>
  <c r="J271" i="2"/>
  <c r="K295" i="2"/>
  <c r="J202" i="2"/>
  <c r="K202" i="2" s="1"/>
  <c r="I543" i="2"/>
  <c r="J540" i="2" s="1"/>
  <c r="I589" i="2"/>
  <c r="I531" i="2"/>
  <c r="J528" i="2" s="1"/>
  <c r="I587" i="2"/>
  <c r="J521" i="2"/>
  <c r="J586" i="2" s="1"/>
  <c r="I525" i="2"/>
  <c r="H203" i="2"/>
  <c r="H231" i="2"/>
  <c r="H272" i="2" s="1"/>
  <c r="H15" i="2" s="1"/>
  <c r="I199" i="2"/>
  <c r="I158" i="2" s="1"/>
  <c r="F4" i="4" s="1"/>
  <c r="J193" i="2"/>
  <c r="J196" i="2" s="1"/>
  <c r="J157" i="2" s="1"/>
  <c r="G3" i="4" s="1"/>
  <c r="I537" i="2"/>
  <c r="I328" i="2"/>
  <c r="I327" i="2"/>
  <c r="J322" i="2"/>
  <c r="L573" i="2"/>
  <c r="L572" i="2"/>
  <c r="L472" i="2"/>
  <c r="K239" i="2"/>
  <c r="I415" i="2"/>
  <c r="I133" i="2" s="1"/>
  <c r="I413" i="2"/>
  <c r="J409" i="2" s="1"/>
  <c r="J468" i="2"/>
  <c r="K468" i="2" s="1"/>
  <c r="L468" i="2" s="1"/>
  <c r="J394" i="2"/>
  <c r="K394" i="2" s="1"/>
  <c r="L394" i="2" s="1"/>
  <c r="C387" i="2" a="1"/>
  <c r="L398" i="2"/>
  <c r="K377" i="2"/>
  <c r="F26" i="2"/>
  <c r="F166" i="2" s="1"/>
  <c r="G26" i="2"/>
  <c r="G166" i="2" s="1"/>
  <c r="G34" i="2"/>
  <c r="G646" i="2"/>
  <c r="G648" i="2" s="1"/>
  <c r="F34" i="2"/>
  <c r="F35" i="2" s="1"/>
  <c r="F167" i="2" s="1"/>
  <c r="F646" i="2"/>
  <c r="F648" i="2" s="1"/>
  <c r="K517" i="2"/>
  <c r="K423" i="2"/>
  <c r="G18" i="7" l="1"/>
  <c r="H18" i="7"/>
  <c r="F18" i="7"/>
  <c r="L301" i="2"/>
  <c r="I18" i="7"/>
  <c r="J19" i="7"/>
  <c r="J18" i="7" s="1"/>
  <c r="K271" i="2"/>
  <c r="L295" i="2"/>
  <c r="H233" i="2"/>
  <c r="H236" i="2" s="1"/>
  <c r="H240" i="2" s="1"/>
  <c r="H243" i="2" s="1"/>
  <c r="H244" i="2" s="1"/>
  <c r="H11" i="2" s="1"/>
  <c r="H296" i="2"/>
  <c r="J587" i="2"/>
  <c r="J531" i="2"/>
  <c r="K528" i="2" s="1"/>
  <c r="J543" i="2"/>
  <c r="K540" i="2" s="1"/>
  <c r="J589" i="2"/>
  <c r="J525" i="2"/>
  <c r="K521" i="2"/>
  <c r="K586" i="2" s="1"/>
  <c r="G35" i="2"/>
  <c r="G167" i="2" s="1"/>
  <c r="G173" i="2"/>
  <c r="H206" i="2"/>
  <c r="H159" i="2"/>
  <c r="E5" i="4" s="1"/>
  <c r="I203" i="2"/>
  <c r="I231" i="2"/>
  <c r="I272" i="2" s="1"/>
  <c r="I15" i="2" s="1"/>
  <c r="K193" i="2"/>
  <c r="K196" i="2" s="1"/>
  <c r="K157" i="2" s="1"/>
  <c r="H3" i="4" s="1"/>
  <c r="J199" i="2"/>
  <c r="J158" i="2" s="1"/>
  <c r="G4" i="4" s="1"/>
  <c r="J534" i="2"/>
  <c r="J328" i="2"/>
  <c r="J327" i="2"/>
  <c r="K322" i="2"/>
  <c r="L322" i="2"/>
  <c r="L239" i="2"/>
  <c r="L202" i="2"/>
  <c r="L377" i="2"/>
  <c r="B387" i="2" s="1" a="1"/>
  <c r="J405" i="2"/>
  <c r="J407" i="2" s="1"/>
  <c r="J411" i="2" s="1"/>
  <c r="I416" i="2" s="1"/>
  <c r="I73" i="2" s="1"/>
  <c r="H417" i="2"/>
  <c r="H84" i="2" s="1"/>
  <c r="L517" i="2"/>
  <c r="L423" i="2"/>
  <c r="H253" i="2" l="1"/>
  <c r="H345" i="2"/>
  <c r="H255" i="2" s="1"/>
  <c r="L271" i="2"/>
  <c r="K531" i="2"/>
  <c r="L528" i="2" s="1"/>
  <c r="K587" i="2"/>
  <c r="I233" i="2"/>
  <c r="I236" i="2" s="1"/>
  <c r="I240" i="2" s="1"/>
  <c r="I243" i="2" s="1"/>
  <c r="I244" i="2" s="1"/>
  <c r="I296" i="2"/>
  <c r="J537" i="2"/>
  <c r="K534" i="2" s="1"/>
  <c r="K588" i="2" s="1"/>
  <c r="J588" i="2"/>
  <c r="K543" i="2"/>
  <c r="L540" i="2" s="1"/>
  <c r="K589" i="2"/>
  <c r="L521" i="2"/>
  <c r="K525" i="2"/>
  <c r="H428" i="2"/>
  <c r="H124" i="2" s="1"/>
  <c r="H218" i="2"/>
  <c r="H455" i="2"/>
  <c r="I206" i="2"/>
  <c r="I159" i="2"/>
  <c r="F5" i="4" s="1"/>
  <c r="K199" i="2"/>
  <c r="K158" i="2" s="1"/>
  <c r="H4" i="4" s="1"/>
  <c r="L193" i="2"/>
  <c r="L196" i="2" s="1"/>
  <c r="J231" i="2"/>
  <c r="J272" i="2" s="1"/>
  <c r="J15" i="2" s="1"/>
  <c r="J203" i="2"/>
  <c r="K328" i="2"/>
  <c r="K327" i="2"/>
  <c r="J415" i="2"/>
  <c r="J133" i="2" s="1"/>
  <c r="J413" i="2"/>
  <c r="K409" i="2" s="1"/>
  <c r="L391" i="2"/>
  <c r="J389" i="2"/>
  <c r="K389" i="2" s="1"/>
  <c r="L389" i="2" s="1"/>
  <c r="I388" i="2"/>
  <c r="H387" i="2"/>
  <c r="H393" i="2" s="1"/>
  <c r="H395" i="2" s="1"/>
  <c r="H399" i="2" s="1"/>
  <c r="K390" i="2"/>
  <c r="L390" i="2" s="1"/>
  <c r="B434" i="2" a="1"/>
  <c r="B461" i="2" a="1"/>
  <c r="H252" i="2" l="1"/>
  <c r="L587" i="2"/>
  <c r="L531" i="2"/>
  <c r="I11" i="2"/>
  <c r="I253" i="2" s="1"/>
  <c r="I345" i="2"/>
  <c r="I255" i="2" s="1"/>
  <c r="H51" i="2"/>
  <c r="I251" i="2"/>
  <c r="J233" i="2"/>
  <c r="J236" i="2" s="1"/>
  <c r="J240" i="2" s="1"/>
  <c r="J243" i="2" s="1"/>
  <c r="J244" i="2" s="1"/>
  <c r="J296" i="2"/>
  <c r="L525" i="2"/>
  <c r="L586" i="2"/>
  <c r="L543" i="2"/>
  <c r="L589" i="2"/>
  <c r="K537" i="2"/>
  <c r="H475" i="2"/>
  <c r="H125" i="2"/>
  <c r="H127" i="2" s="1"/>
  <c r="F15" i="7" s="1"/>
  <c r="I218" i="2"/>
  <c r="I428" i="2"/>
  <c r="I124" i="2" s="1"/>
  <c r="I455" i="2"/>
  <c r="H10" i="2"/>
  <c r="H219" i="2"/>
  <c r="H160" i="2" s="1"/>
  <c r="L199" i="2"/>
  <c r="L157" i="2"/>
  <c r="I3" i="4" s="1"/>
  <c r="J206" i="2"/>
  <c r="J159" i="2"/>
  <c r="G5" i="4" s="1"/>
  <c r="K203" i="2"/>
  <c r="K231" i="2"/>
  <c r="K272" i="2" s="1"/>
  <c r="K15" i="2" s="1"/>
  <c r="L328" i="2"/>
  <c r="L327" i="2"/>
  <c r="I288" i="2"/>
  <c r="J388" i="2"/>
  <c r="K405" i="2"/>
  <c r="K407" i="2" s="1"/>
  <c r="K411" i="2" s="1"/>
  <c r="J416" i="2" s="1"/>
  <c r="H112" i="2"/>
  <c r="I387" i="2"/>
  <c r="I393" i="2" s="1"/>
  <c r="I417" i="2"/>
  <c r="I84" i="2" s="1"/>
  <c r="J11" i="2" l="1"/>
  <c r="J253" i="2" s="1"/>
  <c r="J345" i="2"/>
  <c r="J255" i="2" s="1"/>
  <c r="I254" i="2"/>
  <c r="I252" i="2" s="1"/>
  <c r="K233" i="2"/>
  <c r="K236" i="2" s="1"/>
  <c r="K240" i="2" s="1"/>
  <c r="K243" i="2" s="1"/>
  <c r="K244" i="2" s="1"/>
  <c r="K296" i="2"/>
  <c r="L534" i="2"/>
  <c r="L158" i="2"/>
  <c r="I4" i="4" s="1"/>
  <c r="L231" i="2"/>
  <c r="L272" i="2" s="1"/>
  <c r="L15" i="2" s="1"/>
  <c r="L203" i="2"/>
  <c r="J218" i="2"/>
  <c r="J455" i="2"/>
  <c r="J428" i="2"/>
  <c r="J124" i="2" s="1"/>
  <c r="I10" i="2"/>
  <c r="I219" i="2"/>
  <c r="I160" i="2" s="1"/>
  <c r="I475" i="2"/>
  <c r="I125" i="2"/>
  <c r="I127" i="2" s="1"/>
  <c r="G15" i="7" s="1"/>
  <c r="H299" i="2"/>
  <c r="H302" i="2" s="1"/>
  <c r="K206" i="2"/>
  <c r="K159" i="2"/>
  <c r="H5" i="4" s="1"/>
  <c r="J288" i="2"/>
  <c r="H284" i="2"/>
  <c r="H22" i="2"/>
  <c r="K415" i="2"/>
  <c r="K133" i="2" s="1"/>
  <c r="J73" i="2"/>
  <c r="K388" i="2"/>
  <c r="K413" i="2"/>
  <c r="L409" i="2" s="1"/>
  <c r="L405" i="2" s="1"/>
  <c r="L407" i="2" s="1"/>
  <c r="L411" i="2" s="1"/>
  <c r="K416" i="2" s="1"/>
  <c r="H401" i="2"/>
  <c r="H61" i="2" s="1"/>
  <c r="H315" i="2" s="1"/>
  <c r="I395" i="2"/>
  <c r="I112" i="2" s="1"/>
  <c r="J387" i="2"/>
  <c r="J393" i="2" s="1"/>
  <c r="H357" i="2"/>
  <c r="K11" i="2" l="1"/>
  <c r="K253" i="2" s="1"/>
  <c r="K345" i="2"/>
  <c r="K255" i="2" s="1"/>
  <c r="I51" i="2"/>
  <c r="J251" i="2"/>
  <c r="L233" i="2"/>
  <c r="L236" i="2" s="1"/>
  <c r="L240" i="2" s="1"/>
  <c r="L243" i="2" s="1"/>
  <c r="L244" i="2" s="1"/>
  <c r="L296" i="2"/>
  <c r="L537" i="2"/>
  <c r="L588" i="2"/>
  <c r="L206" i="2"/>
  <c r="L159" i="2"/>
  <c r="I5" i="4" s="1"/>
  <c r="J10" i="2"/>
  <c r="J219" i="2"/>
  <c r="J160" i="2" s="1"/>
  <c r="J125" i="2"/>
  <c r="J127" i="2" s="1"/>
  <c r="H15" i="7" s="1"/>
  <c r="J475" i="2"/>
  <c r="I299" i="2"/>
  <c r="I302" i="2" s="1"/>
  <c r="K218" i="2"/>
  <c r="K428" i="2"/>
  <c r="K124" i="2" s="1"/>
  <c r="K455" i="2"/>
  <c r="H317" i="2"/>
  <c r="H323" i="2" s="1"/>
  <c r="I284" i="2"/>
  <c r="I22" i="2"/>
  <c r="L415" i="2"/>
  <c r="L133" i="2" s="1"/>
  <c r="L388" i="2"/>
  <c r="I397" i="2"/>
  <c r="J417" i="2"/>
  <c r="J84" i="2" s="1"/>
  <c r="I399" i="2"/>
  <c r="L413" i="2"/>
  <c r="H344" i="2"/>
  <c r="H53" i="2" s="1"/>
  <c r="J395" i="2"/>
  <c r="J112" i="2" s="1"/>
  <c r="K387" i="2"/>
  <c r="K393" i="2" s="1"/>
  <c r="H448" i="2"/>
  <c r="I357" i="2"/>
  <c r="J254" i="2" l="1"/>
  <c r="J252" i="2" s="1"/>
  <c r="L11" i="2"/>
  <c r="L253" i="2" s="1"/>
  <c r="L345" i="2"/>
  <c r="L255" i="2" s="1"/>
  <c r="K251" i="2"/>
  <c r="J51" i="2"/>
  <c r="L455" i="2"/>
  <c r="L218" i="2"/>
  <c r="L428" i="2"/>
  <c r="L124" i="2" s="1"/>
  <c r="J299" i="2"/>
  <c r="J302" i="2" s="1"/>
  <c r="K219" i="2"/>
  <c r="K160" i="2" s="1"/>
  <c r="K10" i="2"/>
  <c r="K125" i="2"/>
  <c r="K127" i="2" s="1"/>
  <c r="I15" i="7" s="1"/>
  <c r="K475" i="2"/>
  <c r="H324" i="2"/>
  <c r="H325" i="2" s="1"/>
  <c r="H118" i="2" s="1"/>
  <c r="H289" i="2"/>
  <c r="K288" i="2"/>
  <c r="L73" i="2"/>
  <c r="K73" i="2"/>
  <c r="H366" i="2"/>
  <c r="J284" i="2"/>
  <c r="J22" i="2"/>
  <c r="I401" i="2"/>
  <c r="I61" i="2" s="1"/>
  <c r="I315" i="2" s="1"/>
  <c r="J399" i="2"/>
  <c r="K417" i="2"/>
  <c r="K84" i="2" s="1"/>
  <c r="L387" i="2"/>
  <c r="L393" i="2" s="1"/>
  <c r="L395" i="2" s="1"/>
  <c r="L112" i="2" s="1"/>
  <c r="K395" i="2"/>
  <c r="K112" i="2" s="1"/>
  <c r="I344" i="2"/>
  <c r="I448" i="2"/>
  <c r="J357" i="2"/>
  <c r="K254" i="2" l="1"/>
  <c r="K252" i="2" s="1"/>
  <c r="L475" i="2"/>
  <c r="C461" i="2" a="1"/>
  <c r="L125" i="2"/>
  <c r="L127" i="2" s="1"/>
  <c r="J15" i="7" s="1"/>
  <c r="L219" i="2"/>
  <c r="L160" i="2" s="1"/>
  <c r="L10" i="2"/>
  <c r="K299" i="2"/>
  <c r="K302" i="2" s="1"/>
  <c r="H330" i="2"/>
  <c r="H82" i="2" s="1"/>
  <c r="H329" i="2"/>
  <c r="H74" i="2" s="1"/>
  <c r="K51" i="2"/>
  <c r="L251" i="2"/>
  <c r="I317" i="2"/>
  <c r="I323" i="2" s="1"/>
  <c r="L284" i="2"/>
  <c r="L22" i="2"/>
  <c r="K284" i="2"/>
  <c r="K22" i="2"/>
  <c r="I366" i="2"/>
  <c r="I53" i="2"/>
  <c r="J397" i="2"/>
  <c r="J401" i="2" s="1"/>
  <c r="J61" i="2" s="1"/>
  <c r="J315" i="2" s="1"/>
  <c r="L417" i="2"/>
  <c r="L84" i="2" s="1"/>
  <c r="L399" i="2"/>
  <c r="K399" i="2"/>
  <c r="J344" i="2"/>
  <c r="J448" i="2"/>
  <c r="K357" i="2"/>
  <c r="L254" i="2" l="1"/>
  <c r="L252" i="2"/>
  <c r="L299" i="2"/>
  <c r="L302" i="2" s="1"/>
  <c r="I324" i="2"/>
  <c r="I325" i="2" s="1"/>
  <c r="I118" i="2" s="1"/>
  <c r="I289" i="2"/>
  <c r="J317" i="2"/>
  <c r="J323" i="2" s="1"/>
  <c r="L288" i="2"/>
  <c r="J366" i="2"/>
  <c r="J53" i="2"/>
  <c r="L357" i="2"/>
  <c r="K397" i="2"/>
  <c r="K401" i="2" s="1"/>
  <c r="K61" i="2" s="1"/>
  <c r="K315" i="2" s="1"/>
  <c r="K344" i="2"/>
  <c r="K448" i="2"/>
  <c r="L51" i="2" l="1"/>
  <c r="I329" i="2"/>
  <c r="I74" i="2" s="1"/>
  <c r="I330" i="2"/>
  <c r="I82" i="2" s="1"/>
  <c r="J324" i="2"/>
  <c r="J325" i="2" s="1"/>
  <c r="J118" i="2" s="1"/>
  <c r="J289" i="2"/>
  <c r="K317" i="2"/>
  <c r="K323" i="2" s="1"/>
  <c r="K366" i="2"/>
  <c r="K53" i="2"/>
  <c r="L344" i="2"/>
  <c r="L448" i="2"/>
  <c r="C434" i="2" a="1"/>
  <c r="L397" i="2"/>
  <c r="L401" i="2" s="1"/>
  <c r="L61" i="2" s="1"/>
  <c r="L315" i="2" s="1"/>
  <c r="J329" i="2" l="1"/>
  <c r="J74" i="2" s="1"/>
  <c r="J330" i="2"/>
  <c r="J82" i="2" s="1"/>
  <c r="K324" i="2"/>
  <c r="K325" i="2" s="1"/>
  <c r="K118" i="2" s="1"/>
  <c r="K289" i="2"/>
  <c r="L317" i="2"/>
  <c r="L323" i="2" s="1"/>
  <c r="L366" i="2"/>
  <c r="L53" i="2"/>
  <c r="I462" i="2"/>
  <c r="J462" i="2" s="1"/>
  <c r="K462" i="2" s="1"/>
  <c r="L462" i="2" s="1"/>
  <c r="K464" i="2"/>
  <c r="L464" i="2" s="1"/>
  <c r="J463" i="2"/>
  <c r="K463" i="2" s="1"/>
  <c r="L463" i="2" s="1"/>
  <c r="L465" i="2"/>
  <c r="H461" i="2"/>
  <c r="K437" i="2"/>
  <c r="L437" i="2" s="1"/>
  <c r="I435" i="2"/>
  <c r="J435" i="2" s="1"/>
  <c r="K435" i="2" s="1"/>
  <c r="L435" i="2" s="1"/>
  <c r="H434" i="2"/>
  <c r="J436" i="2"/>
  <c r="K436" i="2" s="1"/>
  <c r="L436" i="2" s="1"/>
  <c r="L438" i="2"/>
  <c r="K330" i="2" l="1"/>
  <c r="K82" i="2" s="1"/>
  <c r="K329" i="2"/>
  <c r="K74" i="2" s="1"/>
  <c r="L324" i="2"/>
  <c r="L325" i="2" s="1"/>
  <c r="L118" i="2" s="1"/>
  <c r="L289" i="2"/>
  <c r="H467" i="2"/>
  <c r="H469" i="2" s="1"/>
  <c r="H113" i="2" s="1"/>
  <c r="I461" i="2"/>
  <c r="H440" i="2"/>
  <c r="H442" i="2" s="1"/>
  <c r="H111" i="2" s="1"/>
  <c r="I434" i="2"/>
  <c r="L330" i="2" l="1"/>
  <c r="L82" i="2" s="1"/>
  <c r="L329" i="2"/>
  <c r="L74" i="2" s="1"/>
  <c r="H283" i="2"/>
  <c r="H23" i="2"/>
  <c r="H282" i="2"/>
  <c r="H291" i="2" s="1"/>
  <c r="H21" i="2"/>
  <c r="I467" i="2"/>
  <c r="I469" i="2" s="1"/>
  <c r="I113" i="2" s="1"/>
  <c r="J461" i="2"/>
  <c r="H476" i="2"/>
  <c r="H477" i="2" s="1"/>
  <c r="H481" i="2" s="1"/>
  <c r="J434" i="2"/>
  <c r="I440" i="2"/>
  <c r="I442" i="2" s="1"/>
  <c r="I111" i="2" s="1"/>
  <c r="H449" i="2"/>
  <c r="H451" i="2" s="1"/>
  <c r="H59" i="2" s="1"/>
  <c r="H304" i="2" l="1"/>
  <c r="H305" i="2" s="1"/>
  <c r="H16" i="2" s="1"/>
  <c r="H24" i="2"/>
  <c r="F14" i="7" s="1"/>
  <c r="I283" i="2"/>
  <c r="I23" i="2"/>
  <c r="I471" i="2"/>
  <c r="I473" i="2" s="1"/>
  <c r="H60" i="2"/>
  <c r="I282" i="2"/>
  <c r="I21" i="2"/>
  <c r="I476" i="2"/>
  <c r="K461" i="2"/>
  <c r="J467" i="2"/>
  <c r="J469" i="2" s="1"/>
  <c r="J113" i="2" s="1"/>
  <c r="J440" i="2"/>
  <c r="J442" i="2" s="1"/>
  <c r="J111" i="2" s="1"/>
  <c r="K434" i="2"/>
  <c r="I449" i="2"/>
  <c r="I447" i="2"/>
  <c r="I291" i="2" l="1"/>
  <c r="I304" i="2" s="1"/>
  <c r="I305" i="2" s="1"/>
  <c r="I16" i="2" s="1"/>
  <c r="I24" i="2"/>
  <c r="G14" i="7" s="1"/>
  <c r="I477" i="2"/>
  <c r="I481" i="2" s="1"/>
  <c r="J283" i="2"/>
  <c r="J23" i="2"/>
  <c r="J282" i="2"/>
  <c r="J21" i="2"/>
  <c r="I451" i="2"/>
  <c r="I59" i="2" s="1"/>
  <c r="L461" i="2"/>
  <c r="L467" i="2" s="1"/>
  <c r="L469" i="2" s="1"/>
  <c r="K467" i="2"/>
  <c r="K469" i="2" s="1"/>
  <c r="J476" i="2"/>
  <c r="L434" i="2"/>
  <c r="L440" i="2" s="1"/>
  <c r="L442" i="2" s="1"/>
  <c r="L111" i="2" s="1"/>
  <c r="K440" i="2"/>
  <c r="K442" i="2" s="1"/>
  <c r="K111" i="2" s="1"/>
  <c r="J449" i="2"/>
  <c r="H358" i="2"/>
  <c r="H348" i="2" s="1"/>
  <c r="H368" i="2" s="1"/>
  <c r="H12" i="2"/>
  <c r="J291" i="2" l="1"/>
  <c r="J304" i="2" s="1"/>
  <c r="J305" i="2" s="1"/>
  <c r="J16" i="2" s="1"/>
  <c r="H370" i="2"/>
  <c r="H361" i="2"/>
  <c r="L23" i="2"/>
  <c r="L113" i="2"/>
  <c r="K23" i="2"/>
  <c r="K113" i="2"/>
  <c r="J24" i="2"/>
  <c r="H14" i="7" s="1"/>
  <c r="I60" i="2"/>
  <c r="J471" i="2"/>
  <c r="J473" i="2" s="1"/>
  <c r="J477" i="2" s="1"/>
  <c r="J481" i="2" s="1"/>
  <c r="L282" i="2"/>
  <c r="L21" i="2"/>
  <c r="K282" i="2"/>
  <c r="K21" i="2"/>
  <c r="L476" i="2"/>
  <c r="L283" i="2"/>
  <c r="K476" i="2"/>
  <c r="K283" i="2"/>
  <c r="L449" i="2"/>
  <c r="K449" i="2"/>
  <c r="J447" i="2"/>
  <c r="J451" i="2" s="1"/>
  <c r="J59" i="2" s="1"/>
  <c r="H13" i="2"/>
  <c r="H164" i="2" s="1"/>
  <c r="I12" i="2"/>
  <c r="I358" i="2"/>
  <c r="L291" i="2" l="1"/>
  <c r="L304" i="2" s="1"/>
  <c r="L305" i="2" s="1"/>
  <c r="L16" i="2" s="1"/>
  <c r="K291" i="2"/>
  <c r="K304" i="2" s="1"/>
  <c r="K305" i="2" s="1"/>
  <c r="K16" i="2" s="1"/>
  <c r="L24" i="2"/>
  <c r="J14" i="7" s="1"/>
  <c r="K24" i="2"/>
  <c r="I14" i="7" s="1"/>
  <c r="H71" i="2"/>
  <c r="K471" i="2"/>
  <c r="K473" i="2" s="1"/>
  <c r="K477" i="2" s="1"/>
  <c r="K481" i="2" s="1"/>
  <c r="J60" i="2"/>
  <c r="K447" i="2"/>
  <c r="K451" i="2" s="1"/>
  <c r="K59" i="2" s="1"/>
  <c r="H349" i="2"/>
  <c r="L12" i="2"/>
  <c r="L358" i="2"/>
  <c r="I13" i="2"/>
  <c r="I164" i="2" s="1"/>
  <c r="I348" i="2"/>
  <c r="K12" i="2"/>
  <c r="K358" i="2"/>
  <c r="J12" i="2"/>
  <c r="J358" i="2"/>
  <c r="I368" i="2" l="1"/>
  <c r="I370" i="2" s="1"/>
  <c r="I71" i="2"/>
  <c r="L471" i="2"/>
  <c r="L473" i="2" s="1"/>
  <c r="L477" i="2" s="1"/>
  <c r="L481" i="2" s="1"/>
  <c r="L60" i="2" s="1"/>
  <c r="K60" i="2"/>
  <c r="L447" i="2"/>
  <c r="L451" i="2" s="1"/>
  <c r="L59" i="2" s="1"/>
  <c r="I349" i="2"/>
  <c r="L13" i="2"/>
  <c r="L164" i="2" s="1"/>
  <c r="L348" i="2"/>
  <c r="K13" i="2"/>
  <c r="K164" i="2" s="1"/>
  <c r="K348" i="2"/>
  <c r="J13" i="2"/>
  <c r="J164" i="2" s="1"/>
  <c r="J348" i="2"/>
  <c r="L368" i="2" l="1"/>
  <c r="L370" i="2" s="1"/>
  <c r="L71" i="2"/>
  <c r="K368" i="2"/>
  <c r="K370" i="2" s="1"/>
  <c r="K71" i="2"/>
  <c r="J368" i="2"/>
  <c r="J370" i="2" s="1"/>
  <c r="J71" i="2"/>
  <c r="L349" i="2"/>
  <c r="K349" i="2"/>
  <c r="J349" i="2"/>
  <c r="H346" i="2" l="1"/>
  <c r="H351" i="2" s="1"/>
  <c r="H352" i="2" s="1"/>
  <c r="I361" i="2"/>
  <c r="K361" i="2"/>
  <c r="L361" i="2"/>
  <c r="I346" i="2"/>
  <c r="I351" i="2" s="1"/>
  <c r="J361" i="2"/>
  <c r="J346" i="2"/>
  <c r="J351" i="2" s="1"/>
  <c r="L346" i="2"/>
  <c r="L351" i="2" s="1"/>
  <c r="K346" i="2"/>
  <c r="K351" i="2" s="1"/>
  <c r="H114" i="2" l="1"/>
  <c r="F16" i="7"/>
  <c r="L352" i="2"/>
  <c r="K352" i="2"/>
  <c r="I352" i="2"/>
  <c r="J352" i="2"/>
  <c r="L114" i="2" l="1"/>
  <c r="J16" i="7"/>
  <c r="K114" i="2"/>
  <c r="I16" i="7"/>
  <c r="I114" i="2"/>
  <c r="G16" i="7"/>
  <c r="J114" i="2"/>
  <c r="H16" i="7"/>
  <c r="H594" i="2"/>
  <c r="H592" i="2"/>
  <c r="H593" i="2"/>
  <c r="H29" i="2" l="1"/>
  <c r="H30" i="2" s="1"/>
  <c r="H672" i="2" l="1"/>
  <c r="H66" i="2" s="1"/>
  <c r="I670" i="2" s="1"/>
  <c r="I672" i="2" l="1"/>
  <c r="I66" i="2" s="1"/>
  <c r="J670" i="2" s="1"/>
  <c r="J672" i="2" l="1"/>
  <c r="J66" i="2" s="1"/>
  <c r="K670" i="2" s="1"/>
  <c r="K672" i="2" l="1"/>
  <c r="K66" i="2" s="1"/>
  <c r="L670" i="2" s="1"/>
  <c r="L672" i="2" l="1"/>
  <c r="L66" i="2" s="1"/>
  <c r="H18" i="2" l="1"/>
  <c r="H25" i="2" s="1"/>
  <c r="I18" i="2"/>
  <c r="J18" i="2"/>
  <c r="J25" i="2" s="1"/>
  <c r="K18" i="2"/>
  <c r="K25" i="2" s="1"/>
  <c r="L18" i="2"/>
  <c r="I19" i="2" l="1"/>
  <c r="I165" i="2" s="1"/>
  <c r="I25" i="2"/>
  <c r="I26" i="2" s="1"/>
  <c r="I166" i="2" s="1"/>
  <c r="J11" i="7"/>
  <c r="J12" i="7" s="1"/>
  <c r="J13" i="7" s="1"/>
  <c r="J17" i="7" s="1"/>
  <c r="L25" i="2"/>
  <c r="K26" i="2"/>
  <c r="K166" i="2" s="1"/>
  <c r="K19" i="2"/>
  <c r="K165" i="2" s="1"/>
  <c r="I11" i="7"/>
  <c r="I12" i="7" s="1"/>
  <c r="I13" i="7" s="1"/>
  <c r="I17" i="7" s="1"/>
  <c r="I17" i="6" s="1"/>
  <c r="F11" i="7"/>
  <c r="F12" i="7" s="1"/>
  <c r="F13" i="7" s="1"/>
  <c r="F17" i="7" s="1"/>
  <c r="H19" i="2"/>
  <c r="H165" i="2" s="1"/>
  <c r="H31" i="2"/>
  <c r="H646" i="2" s="1"/>
  <c r="H649" i="2" s="1"/>
  <c r="H628" i="2"/>
  <c r="G11" i="7"/>
  <c r="G12" i="7" s="1"/>
  <c r="G13" i="7" s="1"/>
  <c r="G17" i="7" s="1"/>
  <c r="G17" i="6" s="1"/>
  <c r="J26" i="2"/>
  <c r="J166" i="2" s="1"/>
  <c r="H11" i="7"/>
  <c r="H12" i="7" s="1"/>
  <c r="H13" i="7" s="1"/>
  <c r="H17" i="7" s="1"/>
  <c r="H17" i="6" s="1"/>
  <c r="J19" i="2"/>
  <c r="J165" i="2" s="1"/>
  <c r="L19" i="2"/>
  <c r="L165" i="2" s="1"/>
  <c r="J27" i="7" l="1"/>
  <c r="J28" i="7" s="1"/>
  <c r="J17" i="6"/>
  <c r="H652" i="2"/>
  <c r="H661" i="2"/>
  <c r="H33" i="2"/>
  <c r="H627" i="2"/>
  <c r="F10" i="5"/>
  <c r="H26" i="2"/>
  <c r="H166" i="2" s="1"/>
  <c r="F17" i="6"/>
  <c r="J26" i="7"/>
  <c r="L26" i="2"/>
  <c r="L166" i="2" s="1"/>
  <c r="F27" i="5"/>
  <c r="F29" i="5" s="1"/>
  <c r="J29" i="7" l="1"/>
  <c r="F21" i="5"/>
  <c r="F11" i="6" s="1"/>
  <c r="F13" i="5"/>
  <c r="H116" i="2"/>
  <c r="H662" i="2"/>
  <c r="H663" i="2" s="1"/>
  <c r="H34" i="2"/>
  <c r="H687" i="2" s="1"/>
  <c r="H688" i="2" s="1"/>
  <c r="H115" i="2"/>
  <c r="F13" i="6" l="1"/>
  <c r="F18" i="6" s="1"/>
  <c r="F19" i="6" s="1"/>
  <c r="F12" i="6"/>
  <c r="H37" i="2"/>
  <c r="H110" i="2"/>
  <c r="H120" i="2" s="1"/>
  <c r="H177" i="2" s="1"/>
  <c r="H178" i="2" s="1"/>
  <c r="H179" i="2" s="1"/>
  <c r="H665" i="2"/>
  <c r="H666" i="2"/>
  <c r="H75" i="2" s="1"/>
  <c r="H693" i="2"/>
  <c r="H35" i="2"/>
  <c r="H167" i="2" s="1"/>
  <c r="H134" i="2"/>
  <c r="H694" i="2"/>
  <c r="H494" i="2" l="1"/>
  <c r="H496" i="2" s="1"/>
  <c r="H499" i="2" s="1"/>
  <c r="H697" i="2"/>
  <c r="I656" i="2"/>
  <c r="I658" i="2" s="1"/>
  <c r="H76" i="2"/>
  <c r="F21" i="6" l="1"/>
  <c r="G16" i="6" s="1"/>
  <c r="F20" i="6"/>
  <c r="H502" i="2"/>
  <c r="H512" i="2"/>
  <c r="H92" i="2"/>
  <c r="G171" i="2" s="1"/>
  <c r="I692" i="2"/>
  <c r="I56" i="2"/>
  <c r="J657" i="2" s="1"/>
  <c r="I660" i="2"/>
  <c r="F22" i="6" l="1"/>
  <c r="G11" i="6"/>
  <c r="H513" i="2"/>
  <c r="H558" i="2" s="1"/>
  <c r="H503" i="2"/>
  <c r="H504" i="2" s="1"/>
  <c r="H546" i="2"/>
  <c r="H547" i="2" s="1"/>
  <c r="H551" i="2" s="1"/>
  <c r="G13" i="6" l="1"/>
  <c r="G14" i="6" s="1"/>
  <c r="G18" i="6" s="1"/>
  <c r="G19" i="6" s="1"/>
  <c r="G12" i="6"/>
  <c r="H553" i="2"/>
  <c r="H557" i="2"/>
  <c r="H131" i="2" s="1"/>
  <c r="H514" i="2"/>
  <c r="H505" i="2"/>
  <c r="H506" i="2" s="1"/>
  <c r="G21" i="6" l="1"/>
  <c r="H16" i="6" s="1"/>
  <c r="I590" i="2"/>
  <c r="I550" i="2"/>
  <c r="H560" i="2"/>
  <c r="H132" i="2"/>
  <c r="H137" i="2" s="1"/>
  <c r="H142" i="2" s="1"/>
  <c r="H143" i="2" s="1"/>
  <c r="H623" i="2"/>
  <c r="H518" i="2"/>
  <c r="I583" i="2" s="1"/>
  <c r="I511" i="2"/>
  <c r="I585" i="2" s="1"/>
  <c r="G20" i="6" l="1"/>
  <c r="I593" i="2"/>
  <c r="I594" i="2"/>
  <c r="H621" i="2"/>
  <c r="I556" i="2"/>
  <c r="H80" i="2"/>
  <c r="H85" i="2" s="1"/>
  <c r="H87" i="2" s="1"/>
  <c r="H93" i="2" s="1"/>
  <c r="I141" i="2"/>
  <c r="H55" i="2"/>
  <c r="I592" i="2"/>
  <c r="G22" i="6" l="1"/>
  <c r="H11" i="6"/>
  <c r="I29" i="2"/>
  <c r="I628" i="2"/>
  <c r="I627" i="2"/>
  <c r="H622" i="2"/>
  <c r="H632" i="2"/>
  <c r="I493" i="2"/>
  <c r="I596" i="2"/>
  <c r="I28" i="2" s="1"/>
  <c r="H57" i="2"/>
  <c r="H67" i="2" s="1"/>
  <c r="H12" i="6" l="1"/>
  <c r="H13" i="6"/>
  <c r="H14" i="6" s="1"/>
  <c r="F12" i="5"/>
  <c r="F16" i="5" s="1"/>
  <c r="F17" i="5" s="1"/>
  <c r="J30" i="7"/>
  <c r="I30" i="2"/>
  <c r="I31" i="2" s="1"/>
  <c r="I646" i="2" s="1"/>
  <c r="I649" i="2" s="1"/>
  <c r="H633" i="2"/>
  <c r="H94" i="2"/>
  <c r="H173" i="2"/>
  <c r="H18" i="6" l="1"/>
  <c r="H19" i="6" s="1"/>
  <c r="I661" i="2"/>
  <c r="I33" i="2"/>
  <c r="I652" i="2"/>
  <c r="F20" i="5"/>
  <c r="F22" i="5" s="1"/>
  <c r="H21" i="6" l="1"/>
  <c r="I16" i="6" s="1"/>
  <c r="H20" i="6"/>
  <c r="I34" i="2"/>
  <c r="I693" i="2" s="1"/>
  <c r="I115" i="2"/>
  <c r="I116" i="2"/>
  <c r="I662" i="2"/>
  <c r="I663" i="2" s="1"/>
  <c r="I11" i="6" l="1"/>
  <c r="H22" i="6"/>
  <c r="I687" i="2"/>
  <c r="I688" i="2" s="1"/>
  <c r="I110" i="2"/>
  <c r="I120" i="2" s="1"/>
  <c r="I177" i="2" s="1"/>
  <c r="I178" i="2" s="1"/>
  <c r="I179" i="2" s="1"/>
  <c r="I37" i="2"/>
  <c r="I35" i="2"/>
  <c r="I167" i="2" s="1"/>
  <c r="I665" i="2"/>
  <c r="I666" i="2"/>
  <c r="I75" i="2" s="1"/>
  <c r="I13" i="6" l="1"/>
  <c r="I14" i="6" s="1"/>
  <c r="I12" i="6"/>
  <c r="I694" i="2"/>
  <c r="I697" i="2" s="1"/>
  <c r="I134" i="2"/>
  <c r="I494" i="2" s="1"/>
  <c r="I496" i="2" s="1"/>
  <c r="I499" i="2" s="1"/>
  <c r="I76" i="2"/>
  <c r="J656" i="2"/>
  <c r="J658" i="2" s="1"/>
  <c r="I18" i="6" l="1"/>
  <c r="I19" i="6" s="1"/>
  <c r="J692" i="2"/>
  <c r="I92" i="2"/>
  <c r="H171" i="2" s="1"/>
  <c r="I512" i="2"/>
  <c r="I502" i="2"/>
  <c r="J56" i="2"/>
  <c r="K657" i="2" s="1"/>
  <c r="J660" i="2"/>
  <c r="I21" i="6" l="1"/>
  <c r="J16" i="6" s="1"/>
  <c r="I20" i="6"/>
  <c r="I513" i="2"/>
  <c r="I503" i="2"/>
  <c r="I504" i="2" s="1"/>
  <c r="I505" i="2" s="1"/>
  <c r="I506" i="2" s="1"/>
  <c r="I546" i="2"/>
  <c r="I547" i="2" s="1"/>
  <c r="I551" i="2" s="1"/>
  <c r="I22" i="6" l="1"/>
  <c r="J11" i="6"/>
  <c r="I558" i="2"/>
  <c r="I132" i="2" s="1"/>
  <c r="I514" i="2"/>
  <c r="I553" i="2"/>
  <c r="I557" i="2"/>
  <c r="J12" i="6" l="1"/>
  <c r="J13" i="6"/>
  <c r="J14" i="6" s="1"/>
  <c r="J511" i="2"/>
  <c r="J585" i="2" s="1"/>
  <c r="I518" i="2"/>
  <c r="J583" i="2" s="1"/>
  <c r="I623" i="2"/>
  <c r="J550" i="2"/>
  <c r="J590" i="2"/>
  <c r="I131" i="2"/>
  <c r="I137" i="2" s="1"/>
  <c r="I142" i="2" s="1"/>
  <c r="I143" i="2" s="1"/>
  <c r="I560" i="2"/>
  <c r="J18" i="6" l="1"/>
  <c r="J19" i="6" s="1"/>
  <c r="J141" i="2"/>
  <c r="I55" i="2"/>
  <c r="J592" i="2"/>
  <c r="J593" i="2"/>
  <c r="J594" i="2"/>
  <c r="I80" i="2"/>
  <c r="I85" i="2" s="1"/>
  <c r="I87" i="2" s="1"/>
  <c r="I93" i="2" s="1"/>
  <c r="J556" i="2"/>
  <c r="I621" i="2"/>
  <c r="J21" i="6" l="1"/>
  <c r="J20" i="6"/>
  <c r="J493" i="2"/>
  <c r="I57" i="2"/>
  <c r="I67" i="2" s="1"/>
  <c r="J596" i="2"/>
  <c r="J28" i="2" s="1"/>
  <c r="J628" i="2"/>
  <c r="J29" i="2"/>
  <c r="J627" i="2"/>
  <c r="I622" i="2"/>
  <c r="I633" i="2" s="1"/>
  <c r="I632" i="2"/>
  <c r="J22" i="6" l="1"/>
  <c r="F30" i="5" s="1"/>
  <c r="F32" i="5" s="1"/>
  <c r="F33" i="5" s="1"/>
  <c r="F34" i="5" s="1"/>
  <c r="J30" i="2"/>
  <c r="J31" i="2" s="1"/>
  <c r="J646" i="2" s="1"/>
  <c r="J649" i="2" s="1"/>
  <c r="J661" i="2" s="1"/>
  <c r="I173" i="2"/>
  <c r="I94" i="2"/>
  <c r="J652" i="2" l="1"/>
  <c r="J33" i="2"/>
  <c r="J115" i="2" l="1"/>
  <c r="J34" i="2"/>
  <c r="J662" i="2"/>
  <c r="J663" i="2" s="1"/>
  <c r="J116" i="2"/>
  <c r="J110" i="2" l="1"/>
  <c r="J35" i="2"/>
  <c r="J167" i="2" s="1"/>
  <c r="J120" i="2"/>
  <c r="J177" i="2" s="1"/>
  <c r="J178" i="2" s="1"/>
  <c r="J179" i="2" s="1"/>
  <c r="J693" i="2"/>
  <c r="J37" i="2"/>
  <c r="J687" i="2"/>
  <c r="J688" i="2" s="1"/>
  <c r="J665" i="2"/>
  <c r="J666" i="2"/>
  <c r="J75" i="2" s="1"/>
  <c r="J134" i="2" l="1"/>
  <c r="J494" i="2" s="1"/>
  <c r="J496" i="2" s="1"/>
  <c r="J499" i="2" s="1"/>
  <c r="J694" i="2"/>
  <c r="J697" i="2" s="1"/>
  <c r="J76" i="2"/>
  <c r="K656" i="2"/>
  <c r="K658" i="2" s="1"/>
  <c r="J502" i="2" l="1"/>
  <c r="J512" i="2"/>
  <c r="J92" i="2"/>
  <c r="I171" i="2" s="1"/>
  <c r="K692" i="2"/>
  <c r="K56" i="2"/>
  <c r="L657" i="2" s="1"/>
  <c r="K660" i="2"/>
  <c r="J513" i="2" l="1"/>
  <c r="J503" i="2"/>
  <c r="J504" i="2" s="1"/>
  <c r="J505" i="2" s="1"/>
  <c r="J546" i="2"/>
  <c r="J547" i="2" s="1"/>
  <c r="J551" i="2" s="1"/>
  <c r="J558" i="2" l="1"/>
  <c r="J132" i="2" s="1"/>
  <c r="J514" i="2"/>
  <c r="J553" i="2"/>
  <c r="J557" i="2"/>
  <c r="J506" i="2"/>
  <c r="K511" i="2" l="1"/>
  <c r="K585" i="2" s="1"/>
  <c r="J518" i="2"/>
  <c r="K583" i="2" s="1"/>
  <c r="J623" i="2"/>
  <c r="K590" i="2"/>
  <c r="K550" i="2"/>
  <c r="J131" i="2"/>
  <c r="J137" i="2" s="1"/>
  <c r="J142" i="2" s="1"/>
  <c r="J143" i="2" s="1"/>
  <c r="J560" i="2"/>
  <c r="K141" i="2" l="1"/>
  <c r="J55" i="2"/>
  <c r="J80" i="2"/>
  <c r="J85" i="2" s="1"/>
  <c r="J87" i="2" s="1"/>
  <c r="J93" i="2" s="1"/>
  <c r="J621" i="2"/>
  <c r="K556" i="2"/>
  <c r="K593" i="2"/>
  <c r="K594" i="2"/>
  <c r="K592" i="2"/>
  <c r="K596" i="2" l="1"/>
  <c r="K28" i="2" s="1"/>
  <c r="J57" i="2"/>
  <c r="J67" i="2" s="1"/>
  <c r="K493" i="2"/>
  <c r="J622" i="2"/>
  <c r="J633" i="2" s="1"/>
  <c r="J632" i="2"/>
  <c r="J173" i="2"/>
  <c r="J94" i="2"/>
  <c r="K627" i="2"/>
  <c r="K29" i="2"/>
  <c r="K628" i="2"/>
  <c r="K30" i="2" l="1"/>
  <c r="K31" i="2" s="1"/>
  <c r="K646" i="2" s="1"/>
  <c r="K649" i="2" s="1"/>
  <c r="K33" i="2" l="1"/>
  <c r="K661" i="2"/>
  <c r="K652" i="2"/>
  <c r="K34" i="2"/>
  <c r="K115" i="2"/>
  <c r="K662" i="2" l="1"/>
  <c r="K663" i="2" s="1"/>
  <c r="K116" i="2"/>
  <c r="K37" i="2"/>
  <c r="K35" i="2"/>
  <c r="K167" i="2" s="1"/>
  <c r="K693" i="2"/>
  <c r="K110" i="2"/>
  <c r="K687" i="2"/>
  <c r="K688" i="2" s="1"/>
  <c r="K120" i="2" l="1"/>
  <c r="K177" i="2" s="1"/>
  <c r="K178" i="2" s="1"/>
  <c r="K179" i="2" s="1"/>
  <c r="K666" i="2"/>
  <c r="K75" i="2" s="1"/>
  <c r="K665" i="2"/>
  <c r="K134" i="2"/>
  <c r="K694" i="2"/>
  <c r="K697" i="2" s="1"/>
  <c r="K494" i="2" l="1"/>
  <c r="K496" i="2" s="1"/>
  <c r="K499" i="2" s="1"/>
  <c r="K76" i="2"/>
  <c r="L656" i="2"/>
  <c r="L658" i="2" s="1"/>
  <c r="K92" i="2"/>
  <c r="L692" i="2"/>
  <c r="L56" i="2"/>
  <c r="L660" i="2"/>
  <c r="K502" i="2" l="1"/>
  <c r="K512" i="2"/>
  <c r="J171" i="2"/>
  <c r="K513" i="2" l="1"/>
  <c r="K503" i="2"/>
  <c r="K504" i="2" s="1"/>
  <c r="K505" i="2" s="1"/>
  <c r="K506" i="2" s="1"/>
  <c r="K546" i="2"/>
  <c r="K547" i="2" s="1"/>
  <c r="K551" i="2" s="1"/>
  <c r="K553" i="2" s="1"/>
  <c r="K557" i="2"/>
  <c r="K131" i="2"/>
  <c r="L550" i="2" l="1"/>
  <c r="L590" i="2"/>
  <c r="K514" i="2"/>
  <c r="K558" i="2"/>
  <c r="K560" i="2" s="1"/>
  <c r="K80" i="2" s="1"/>
  <c r="K85" i="2" s="1"/>
  <c r="K87" i="2" s="1"/>
  <c r="K93" i="2" s="1"/>
  <c r="K132" i="2"/>
  <c r="K137" i="2" s="1"/>
  <c r="K142" i="2" s="1"/>
  <c r="K143" i="2" s="1"/>
  <c r="K518" i="2" l="1"/>
  <c r="L583" i="2" s="1"/>
  <c r="L511" i="2"/>
  <c r="L585" i="2" s="1"/>
  <c r="K623" i="2"/>
  <c r="K55" i="2"/>
  <c r="L141" i="2"/>
  <c r="L556" i="2"/>
  <c r="K621" i="2"/>
  <c r="K632" i="2" s="1"/>
  <c r="L594" i="2"/>
  <c r="L593" i="2" l="1"/>
  <c r="L592" i="2"/>
  <c r="K622" i="2"/>
  <c r="K633" i="2" s="1"/>
  <c r="L493" i="2"/>
  <c r="K57" i="2"/>
  <c r="K67" i="2" s="1"/>
  <c r="L596" i="2"/>
  <c r="L28" i="2" s="1"/>
  <c r="L29" i="2"/>
  <c r="L628" i="2"/>
  <c r="L627" i="2"/>
  <c r="L30" i="2" l="1"/>
  <c r="L31" i="2" s="1"/>
  <c r="L646" i="2" s="1"/>
  <c r="L649" i="2" s="1"/>
  <c r="K173" i="2"/>
  <c r="K94" i="2"/>
  <c r="L33" i="2" l="1"/>
  <c r="L661" i="2"/>
  <c r="L652" i="2"/>
  <c r="L34" i="2" l="1"/>
  <c r="L115" i="2"/>
  <c r="L662" i="2"/>
  <c r="L663" i="2" s="1"/>
  <c r="L116" i="2"/>
  <c r="L687" i="2" l="1"/>
  <c r="L688" i="2" s="1"/>
  <c r="L37" i="2"/>
  <c r="L35" i="2"/>
  <c r="L167" i="2" s="1"/>
  <c r="L110" i="2"/>
  <c r="L120" i="2" s="1"/>
  <c r="L693" i="2"/>
  <c r="L666" i="2"/>
  <c r="L75" i="2" s="1"/>
  <c r="L76" i="2" s="1"/>
  <c r="L665" i="2"/>
  <c r="L134" i="2" l="1"/>
  <c r="L494" i="2" s="1"/>
  <c r="L496" i="2" s="1"/>
  <c r="L499" i="2" s="1"/>
  <c r="L694" i="2"/>
  <c r="L697" i="2" s="1"/>
  <c r="L92" i="2" s="1"/>
  <c r="L177" i="2"/>
  <c r="L178" i="2" s="1"/>
  <c r="L179" i="2" s="1"/>
  <c r="L512" i="2" l="1"/>
  <c r="L546" i="2" s="1"/>
  <c r="L547" i="2" s="1"/>
  <c r="L551" i="2" s="1"/>
  <c r="L553" i="2" s="1"/>
  <c r="L502" i="2"/>
  <c r="L171" i="2"/>
  <c r="K171" i="2"/>
  <c r="L557" i="2" l="1"/>
  <c r="L513" i="2"/>
  <c r="L503" i="2"/>
  <c r="L558" i="2" l="1"/>
  <c r="L514" i="2"/>
  <c r="L131" i="2"/>
  <c r="L504" i="2"/>
  <c r="L505" i="2" s="1"/>
  <c r="L506" i="2" s="1"/>
  <c r="L132" i="2" l="1"/>
  <c r="L137" i="2" s="1"/>
  <c r="L142" i="2" s="1"/>
  <c r="L143" i="2" s="1"/>
  <c r="L55" i="2" s="1"/>
  <c r="L57" i="2" s="1"/>
  <c r="L67" i="2" s="1"/>
  <c r="L173" i="2" s="1"/>
  <c r="L560" i="2"/>
  <c r="L623" i="2"/>
  <c r="L518" i="2"/>
  <c r="L621" i="2" l="1"/>
  <c r="L80" i="2"/>
  <c r="L85" i="2" s="1"/>
  <c r="L87" i="2" s="1"/>
  <c r="L93" i="2" s="1"/>
  <c r="L94" i="2" s="1"/>
  <c r="L632" i="2" l="1"/>
  <c r="L622" i="2"/>
  <c r="L633" i="2" l="1"/>
  <c r="J3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<sst xmlns="http://schemas.openxmlformats.org/spreadsheetml/2006/main" count="632" uniqueCount="441">
  <si>
    <t>Financial Statements - Income Statement</t>
  </si>
  <si>
    <t>Financial Statements - Balance Sheet</t>
  </si>
  <si>
    <t>Assets</t>
  </si>
  <si>
    <t>Lease liabilities</t>
  </si>
  <si>
    <t>Executive Summary / Key Metrics</t>
  </si>
  <si>
    <t>Revenue</t>
  </si>
  <si>
    <t>Revenue Schedule</t>
  </si>
  <si>
    <t>Inventories</t>
  </si>
  <si>
    <t>Trade and other payables</t>
  </si>
  <si>
    <t>Total Revenue</t>
  </si>
  <si>
    <t>Operating Cost Schedule</t>
  </si>
  <si>
    <t>Cash</t>
  </si>
  <si>
    <t>ROU depreciation</t>
  </si>
  <si>
    <t>Closing ROU Assets</t>
  </si>
  <si>
    <t>Depreciation</t>
  </si>
  <si>
    <t>Capital Expenditure</t>
  </si>
  <si>
    <t>Working Capital Schedule</t>
  </si>
  <si>
    <t>Inventory</t>
  </si>
  <si>
    <t>Change in NWC</t>
  </si>
  <si>
    <t>Debt Schedule</t>
  </si>
  <si>
    <t>Profit before tax</t>
  </si>
  <si>
    <t>Tax Schedule</t>
  </si>
  <si>
    <t>Amortization</t>
  </si>
  <si>
    <t>Additions</t>
  </si>
  <si>
    <t>Amortisation</t>
  </si>
  <si>
    <t>Cash tax paid</t>
  </si>
  <si>
    <t>Capital expenditure on PP&amp;E</t>
  </si>
  <si>
    <t>Additions to intangibles</t>
  </si>
  <si>
    <t>Cash flow from investing</t>
  </si>
  <si>
    <t>Lease principal payments</t>
  </si>
  <si>
    <t>Dividends</t>
  </si>
  <si>
    <t>Cash flow from financing</t>
  </si>
  <si>
    <t>Cash - Beginning of Period</t>
  </si>
  <si>
    <t>Cash Movement during the year</t>
  </si>
  <si>
    <t>Cash - End of Period</t>
  </si>
  <si>
    <t>PP&amp;E depreciation</t>
  </si>
  <si>
    <t>Share buybacks</t>
  </si>
  <si>
    <t>F = Forecast</t>
  </si>
  <si>
    <t>Financial Statements - Cash Flow Statement</t>
  </si>
  <si>
    <t>EBIT</t>
  </si>
  <si>
    <t>Net finance costs</t>
  </si>
  <si>
    <t>Net Profit</t>
  </si>
  <si>
    <t>Net Profit Margin</t>
  </si>
  <si>
    <t>Cash Tax Paid</t>
  </si>
  <si>
    <t>Cost of Sales</t>
  </si>
  <si>
    <t>Gross profit</t>
  </si>
  <si>
    <t>Gross profit margin</t>
  </si>
  <si>
    <t>Depreciation and Amortization</t>
  </si>
  <si>
    <t>Finance expense</t>
  </si>
  <si>
    <t>Fiscal Years Ending December 31</t>
  </si>
  <si>
    <t>H = Historical</t>
  </si>
  <si>
    <t>Trade and other receivables</t>
  </si>
  <si>
    <t>Cash and cash equivalents</t>
  </si>
  <si>
    <t>Current Assets</t>
  </si>
  <si>
    <t>PP&amp;E, net</t>
  </si>
  <si>
    <t>Total Assets</t>
  </si>
  <si>
    <t>Right-of-use assets</t>
  </si>
  <si>
    <t>pence per share</t>
  </si>
  <si>
    <t>Total Current Liabilities</t>
  </si>
  <si>
    <t>Total Debt</t>
  </si>
  <si>
    <t>Retained earnings</t>
  </si>
  <si>
    <t>Total Liabilities and Equity</t>
  </si>
  <si>
    <t>Net Income</t>
  </si>
  <si>
    <t>(Increase) / decrease in working capital</t>
  </si>
  <si>
    <t>Operating Activities</t>
  </si>
  <si>
    <t>Investing Activities</t>
  </si>
  <si>
    <t>Borrowing Issuance</t>
  </si>
  <si>
    <t>Borrowing Repayments</t>
  </si>
  <si>
    <t>Financing Activities</t>
  </si>
  <si>
    <t>Revenue Growth</t>
  </si>
  <si>
    <t>ROU Asset / Lease Liability Schedule</t>
  </si>
  <si>
    <t>PP&amp;E. Intangible Asset and Depreciation Schedule</t>
  </si>
  <si>
    <t>ROU Additions</t>
  </si>
  <si>
    <t>ROU Depreciation</t>
  </si>
  <si>
    <t>Opening ROU Assets</t>
  </si>
  <si>
    <t>Useful life (yrs)</t>
  </si>
  <si>
    <t>Midpoint convention</t>
  </si>
  <si>
    <t>Yes</t>
  </si>
  <si>
    <t>Average Lease Length (years)</t>
  </si>
  <si>
    <t>Depreciation of ROU additions</t>
  </si>
  <si>
    <t>Depreciation of Existing ROU Assets</t>
  </si>
  <si>
    <t>Total ROU depreciation expense</t>
  </si>
  <si>
    <t>ROU Assets</t>
  </si>
  <si>
    <t>Opening Lease Liability</t>
  </si>
  <si>
    <t>New Lease Liabilities</t>
  </si>
  <si>
    <t>Lease Liabiltiies</t>
  </si>
  <si>
    <t>Interest Rate on Leases</t>
  </si>
  <si>
    <t>Interest Accrued</t>
  </si>
  <si>
    <t>Lease Cash Payments</t>
  </si>
  <si>
    <t>Closing Lease Liability</t>
  </si>
  <si>
    <t>Capex / Revenue</t>
  </si>
  <si>
    <t>Depreciation of Capital Expenditure</t>
  </si>
  <si>
    <t>Depreciation of Existing Fixed Assets</t>
  </si>
  <si>
    <t>PP&amp;E - Opening Balance</t>
  </si>
  <si>
    <t>Finite life of intangile assets</t>
  </si>
  <si>
    <t>Capital Expenditure on PP&amp;E</t>
  </si>
  <si>
    <t>Additions / Revenue</t>
  </si>
  <si>
    <t>Amortization of Intangible Additions</t>
  </si>
  <si>
    <t>Amortization of Existing Intangible Assets</t>
  </si>
  <si>
    <t>Operating Days</t>
  </si>
  <si>
    <t>Net Working Capital</t>
  </si>
  <si>
    <t>Non-cash current liabilities</t>
  </si>
  <si>
    <t>Working Capital Drivers</t>
  </si>
  <si>
    <t>COGS</t>
  </si>
  <si>
    <t>Receivables / Revenue</t>
  </si>
  <si>
    <t>Inventory / COGS</t>
  </si>
  <si>
    <t>Payables / COGS</t>
  </si>
  <si>
    <t>Receivables Days</t>
  </si>
  <si>
    <t>Inventory Days</t>
  </si>
  <si>
    <t>Payables Days</t>
  </si>
  <si>
    <t>Amortization of Intangible Assets</t>
  </si>
  <si>
    <t>Wage Inflation</t>
  </si>
  <si>
    <t>Depreciation of PP&amp;E</t>
  </si>
  <si>
    <t>Depreciation of ROU assets</t>
  </si>
  <si>
    <t>Total Amortization</t>
  </si>
  <si>
    <t>Inflation</t>
  </si>
  <si>
    <t>Financing Schedule</t>
  </si>
  <si>
    <t>Optional debt repayment</t>
  </si>
  <si>
    <t>Revolver</t>
  </si>
  <si>
    <t>Beginning Balance</t>
  </si>
  <si>
    <t>(+) Revolver draw-down</t>
  </si>
  <si>
    <t>(-) Revolver pay-down</t>
  </si>
  <si>
    <t>Ending balance</t>
  </si>
  <si>
    <t>Bank Revolver Commitment</t>
  </si>
  <si>
    <t>Undrawn Revolver Balance</t>
  </si>
  <si>
    <t>Debt Triggers</t>
  </si>
  <si>
    <t>Fixed Rate</t>
  </si>
  <si>
    <t>Senior</t>
  </si>
  <si>
    <t>Preferred</t>
  </si>
  <si>
    <t>Security?</t>
  </si>
  <si>
    <t>/ Coupon</t>
  </si>
  <si>
    <t>Spread to</t>
  </si>
  <si>
    <t>SONIA</t>
  </si>
  <si>
    <t>Debt?</t>
  </si>
  <si>
    <t>Convertible</t>
  </si>
  <si>
    <t>Sweep</t>
  </si>
  <si>
    <t>Interest Rates</t>
  </si>
  <si>
    <t>Undrawn commitment fee</t>
  </si>
  <si>
    <t>EBITDA</t>
  </si>
  <si>
    <t>EBITDA Margin</t>
  </si>
  <si>
    <t>EBIT Margin</t>
  </si>
  <si>
    <t>Effective Tax Rate</t>
  </si>
  <si>
    <t>Current tax expense</t>
  </si>
  <si>
    <t>UK Corporate Tax Rate</t>
  </si>
  <si>
    <t>Equity Schedule</t>
  </si>
  <si>
    <t>Dividend payout ratio</t>
  </si>
  <si>
    <t>Dividends declared</t>
  </si>
  <si>
    <t>Retained Earnings</t>
  </si>
  <si>
    <t>(+) Net Income</t>
  </si>
  <si>
    <t>(-) Dividends</t>
  </si>
  <si>
    <t>(-) Share buybacks</t>
  </si>
  <si>
    <t>(-) Other movements</t>
  </si>
  <si>
    <t>Cash Flow from Operations</t>
  </si>
  <si>
    <t>Current Lease Liability</t>
  </si>
  <si>
    <t>Non-current lease liability</t>
  </si>
  <si>
    <t>Net Margin</t>
  </si>
  <si>
    <t>Net Debt / EBITDA</t>
  </si>
  <si>
    <t>Free Cash Flow</t>
  </si>
  <si>
    <t>Return Metrics</t>
  </si>
  <si>
    <t>Return on Equity</t>
  </si>
  <si>
    <t>Return on Assets</t>
  </si>
  <si>
    <t xml:space="preserve">Base </t>
  </si>
  <si>
    <t>Upside</t>
  </si>
  <si>
    <t>Downside</t>
  </si>
  <si>
    <t>Macro Assumptions</t>
  </si>
  <si>
    <t>Revenue Assumptions</t>
  </si>
  <si>
    <t>Assumptions</t>
  </si>
  <si>
    <t>Scenario Selector:</t>
  </si>
  <si>
    <t>Selected</t>
  </si>
  <si>
    <t xml:space="preserve">Upside </t>
  </si>
  <si>
    <t xml:space="preserve">Downside </t>
  </si>
  <si>
    <t>Deferred tax asset</t>
  </si>
  <si>
    <t>Provisions</t>
  </si>
  <si>
    <t>Borrowings - Non Current</t>
  </si>
  <si>
    <t>Borrowings - Current</t>
  </si>
  <si>
    <t>Share capital</t>
  </si>
  <si>
    <t>Goodwill</t>
  </si>
  <si>
    <t>Intangible Assets (excl. goodwill)  - Opening Balance</t>
  </si>
  <si>
    <t>Intangible Assets (inc. goodwill)</t>
  </si>
  <si>
    <t>Intangible Asset (excl. goodwill) - Closing Balance</t>
  </si>
  <si>
    <t>Lease Principal Repayments</t>
  </si>
  <si>
    <t>Income Statement Tax</t>
  </si>
  <si>
    <t>Deferred tax expense/(credit)</t>
  </si>
  <si>
    <t>Current Tax Roll-Forward</t>
  </si>
  <si>
    <t>Total tax expense</t>
  </si>
  <si>
    <t>Add back total tax expense</t>
  </si>
  <si>
    <t>Minus cash paid</t>
  </si>
  <si>
    <t>£ in millions, unless stated</t>
  </si>
  <si>
    <t>Distribution expenses</t>
  </si>
  <si>
    <t>Administration expenses</t>
  </si>
  <si>
    <t>Other income</t>
  </si>
  <si>
    <t>Finance income</t>
  </si>
  <si>
    <t>Profit / (loss) for the year</t>
  </si>
  <si>
    <t>Income tax (charge) / credit</t>
  </si>
  <si>
    <t>Assets held for sale</t>
  </si>
  <si>
    <t>Derivative financial assets</t>
  </si>
  <si>
    <t>Current tax assets</t>
  </si>
  <si>
    <t>Goodwill and intangible assets</t>
  </si>
  <si>
    <t>Investment properties</t>
  </si>
  <si>
    <t>Investments in associates</t>
  </si>
  <si>
    <t>ASOS PLC</t>
  </si>
  <si>
    <t>Current tax liabilities</t>
  </si>
  <si>
    <t>Derivative financial liabilities</t>
  </si>
  <si>
    <t>Share premium</t>
  </si>
  <si>
    <t>Other reserves</t>
  </si>
  <si>
    <t>Average basket value</t>
  </si>
  <si>
    <t>Total Number of Orders</t>
  </si>
  <si>
    <t>Retail Sales</t>
  </si>
  <si>
    <t>Average Order Volume by Customer</t>
  </si>
  <si>
    <t>Basket Growth Rate</t>
  </si>
  <si>
    <t>Gross Merchant Value</t>
  </si>
  <si>
    <t>Customer Acquisition</t>
  </si>
  <si>
    <t>Customer Churn</t>
  </si>
  <si>
    <t>Closing active customers</t>
  </si>
  <si>
    <t>Retail Revenue / GMV</t>
  </si>
  <si>
    <t>Retail Revenue</t>
  </si>
  <si>
    <t>Other Revenue</t>
  </si>
  <si>
    <t>Premier subscriptions</t>
  </si>
  <si>
    <t>Marketing and other services</t>
  </si>
  <si>
    <t>Delivery receipts</t>
  </si>
  <si>
    <t>Wholesale revenue</t>
  </si>
  <si>
    <t>Average units per order</t>
  </si>
  <si>
    <t>Gross units sold</t>
  </si>
  <si>
    <t>Net units sold</t>
  </si>
  <si>
    <t>Sourcing cost per unit</t>
  </si>
  <si>
    <t>Supplier cost inflation</t>
  </si>
  <si>
    <t>Merchandise cost of sales</t>
  </si>
  <si>
    <t>Inventory write-downs</t>
  </si>
  <si>
    <t>Total Inventory COGS</t>
  </si>
  <si>
    <t>Cost of Goods and Inventory Schedule</t>
  </si>
  <si>
    <t>Stock obselescence rates</t>
  </si>
  <si>
    <t>Cost of Goods</t>
  </si>
  <si>
    <t>Distribution Costs</t>
  </si>
  <si>
    <t>Administrative expenses</t>
  </si>
  <si>
    <t>Total Administrative Expenses</t>
  </si>
  <si>
    <t>Property costs</t>
  </si>
  <si>
    <t>Strategic initiatives</t>
  </si>
  <si>
    <t>Adjusted Administative Expenses</t>
  </si>
  <si>
    <t>Amortization of intangible assets</t>
  </si>
  <si>
    <t>Impairment of PP&amp;E</t>
  </si>
  <si>
    <t>Impairment of Goodwill</t>
  </si>
  <si>
    <t>Impairment of ROU assets</t>
  </si>
  <si>
    <t>Provision for expected inventory losses/write-downs</t>
  </si>
  <si>
    <t>Provision for expected credit losses</t>
  </si>
  <si>
    <t>ROU assets and depreciation</t>
  </si>
  <si>
    <t>Lease Interest Accrued</t>
  </si>
  <si>
    <t>Closing PP&amp;E balance</t>
  </si>
  <si>
    <t>PP&amp;E, Depreciation and Capital Expenditure</t>
  </si>
  <si>
    <t>Amortization and Intangible Assets</t>
  </si>
  <si>
    <t>Additions to Intangible Assets</t>
  </si>
  <si>
    <t>Intangible Assets</t>
  </si>
  <si>
    <t>Non cash current assets</t>
  </si>
  <si>
    <t>Working Capital Days</t>
  </si>
  <si>
    <t>Impairment</t>
  </si>
  <si>
    <t>ROU impairment</t>
  </si>
  <si>
    <t>Excess cash and cash available for debt repayment</t>
  </si>
  <si>
    <t>Revolver - Super Senior Revolving Facility</t>
  </si>
  <si>
    <t>Bank Revolver Commitments</t>
  </si>
  <si>
    <t>Senior Term Loan</t>
  </si>
  <si>
    <t>(-) Mandatory Repayment</t>
  </si>
  <si>
    <t>(-) Optional repayment</t>
  </si>
  <si>
    <t>Nordstrom Loan</t>
  </si>
  <si>
    <t>Convertible debt - 2026</t>
  </si>
  <si>
    <t>Convertible debt - 2028</t>
  </si>
  <si>
    <t xml:space="preserve">Term Loan </t>
  </si>
  <si>
    <t>Term Loan</t>
  </si>
  <si>
    <t>Convertible bond - 2026</t>
  </si>
  <si>
    <t>Convertible bond - 2028</t>
  </si>
  <si>
    <t>Conversion</t>
  </si>
  <si>
    <t>Price</t>
  </si>
  <si>
    <t>Senior Interest Expense</t>
  </si>
  <si>
    <t>Total Interest Expense</t>
  </si>
  <si>
    <t>Cash Interest Expense</t>
  </si>
  <si>
    <t>Scheduled Debt Repayment/Amortization</t>
  </si>
  <si>
    <t>Marketing</t>
  </si>
  <si>
    <t>Other operating costs</t>
  </si>
  <si>
    <t>Efficiency gains</t>
  </si>
  <si>
    <t>Adjusted Administrative expenses (excl D&amp;A)</t>
  </si>
  <si>
    <t>Non cash expense</t>
  </si>
  <si>
    <t>Normalized Administrative expense</t>
  </si>
  <si>
    <t>Opening Current Tax Liability</t>
  </si>
  <si>
    <t>Deferred Tax Roll-Forward</t>
  </si>
  <si>
    <t>Deferred Tax Assets - Opening</t>
  </si>
  <si>
    <t>Closing Currrent Tax Position, Net</t>
  </si>
  <si>
    <t>Current Tax Position, Net</t>
  </si>
  <si>
    <t>Opening Current Tax Asset</t>
  </si>
  <si>
    <t>Current Tax Liability - Closing</t>
  </si>
  <si>
    <t>Current Tax Asset - Closing</t>
  </si>
  <si>
    <t>Deferred Tax Assets - Closing</t>
  </si>
  <si>
    <t>Deferred Tax Asset Utilization</t>
  </si>
  <si>
    <t>Interest Expense and Income</t>
  </si>
  <si>
    <t>Cash Interest Income</t>
  </si>
  <si>
    <t>Purchases</t>
  </si>
  <si>
    <t>Inventory - end of period</t>
  </si>
  <si>
    <t>Inventory - start of period</t>
  </si>
  <si>
    <t>Provision</t>
  </si>
  <si>
    <t>Held flat</t>
  </si>
  <si>
    <t>Net Profit / (Loss)</t>
  </si>
  <si>
    <t>(Increase) / decrease in provisions</t>
  </si>
  <si>
    <t>Total Borrowing Position</t>
  </si>
  <si>
    <t>(+) Issuance</t>
  </si>
  <si>
    <t>Total Provisions</t>
  </si>
  <si>
    <t>Dilapidated Provisions</t>
  </si>
  <si>
    <t>Provisions - % of ROU Assets</t>
  </si>
  <si>
    <t>Provision for lease obligations</t>
  </si>
  <si>
    <t>Current</t>
  </si>
  <si>
    <t>Non-current</t>
  </si>
  <si>
    <t>Onerous provisions</t>
  </si>
  <si>
    <t>* Assumed to remain constant</t>
  </si>
  <si>
    <t>Current provision</t>
  </si>
  <si>
    <t>Non-current provision</t>
  </si>
  <si>
    <t>Change in provisions</t>
  </si>
  <si>
    <t>Liabilities and Shareholders Equity</t>
  </si>
  <si>
    <t>Change in DTA</t>
  </si>
  <si>
    <t>Total Non-current liabilties</t>
  </si>
  <si>
    <t>Total Liabilities</t>
  </si>
  <si>
    <t>Current forecasts suggests inflation trending upwards, but will recover throughout 2027. Downside assumes inflation from fuel prices remains high and no immediate end to iran conflict. Upside assumes inflation is transitory</t>
  </si>
  <si>
    <t>Wage inflation remains slightly below inflation - according to ONS.</t>
  </si>
  <si>
    <t>Used historical rates - downside assumes it continues to decline</t>
  </si>
  <si>
    <t>Opening - Retained Earnings / (Losses)</t>
  </si>
  <si>
    <t>Closing - Retained Earnings / (Losses)</t>
  </si>
  <si>
    <t>Revenue Metrics</t>
  </si>
  <si>
    <t>Active Customers</t>
  </si>
  <si>
    <t>Profitability Metrics</t>
  </si>
  <si>
    <t>Gross Margin</t>
  </si>
  <si>
    <t>Return on Invested Capital</t>
  </si>
  <si>
    <t>Cash Flow Metrixs</t>
  </si>
  <si>
    <t>Adjusted Free Cash Flow (inc. lease expenses)</t>
  </si>
  <si>
    <t>FCF / Net Income (inc. lease expenses)</t>
  </si>
  <si>
    <t>Returns Rate</t>
  </si>
  <si>
    <t>(+) New Issuance</t>
  </si>
  <si>
    <t>Minimum cash balance</t>
  </si>
  <si>
    <t>Summary Credit Metrics</t>
  </si>
  <si>
    <t>Net debt</t>
  </si>
  <si>
    <t>Total debt</t>
  </si>
  <si>
    <t>Senior debt</t>
  </si>
  <si>
    <t>Debt</t>
  </si>
  <si>
    <t>Interest Coverage</t>
  </si>
  <si>
    <t>EBITDA / Interest expense</t>
  </si>
  <si>
    <t>EBIT / Interest expense</t>
  </si>
  <si>
    <t>Leverage</t>
  </si>
  <si>
    <t>Total Debt / EBITDA</t>
  </si>
  <si>
    <t>Earnings per share (basic)</t>
  </si>
  <si>
    <t>Weighted average shares outstanding</t>
  </si>
  <si>
    <t>million</t>
  </si>
  <si>
    <t>Residual Financing Required</t>
  </si>
  <si>
    <t>Total Excess / (Shortfall)</t>
  </si>
  <si>
    <t>New Debt Issuance</t>
  </si>
  <si>
    <t>New Debt</t>
  </si>
  <si>
    <t>(-) Repayment</t>
  </si>
  <si>
    <t>No</t>
  </si>
  <si>
    <t>Mandatory debt repayments</t>
  </si>
  <si>
    <t>Opening cash balance</t>
  </si>
  <si>
    <t>Pre-financing cash flow</t>
  </si>
  <si>
    <t>Cash before drawdown</t>
  </si>
  <si>
    <t>Funding surplus/(shortfall)</t>
  </si>
  <si>
    <t>Total Revenue Growth</t>
  </si>
  <si>
    <t>Needs to be tested and concluded</t>
  </si>
  <si>
    <t>Warehouse cost - per order</t>
  </si>
  <si>
    <t>% of revenue</t>
  </si>
  <si>
    <t>Distribution Costs - per order</t>
  </si>
  <si>
    <t>Fiscal Year ending August 30</t>
  </si>
  <si>
    <t>Index</t>
  </si>
  <si>
    <t>GMV</t>
  </si>
  <si>
    <t>Orders</t>
  </si>
  <si>
    <t>Cash Conversion Cycle</t>
  </si>
  <si>
    <t>Assume it normalizes the 45%, modest improvement on prior years but still remains reasonable</t>
  </si>
  <si>
    <t>Basket Price Improvements</t>
  </si>
  <si>
    <t>Entry and Sources</t>
  </si>
  <si>
    <t>LBO Returns</t>
  </si>
  <si>
    <t>Entry multiple</t>
  </si>
  <si>
    <t>Purchase enterprise value</t>
  </si>
  <si>
    <t>Transaction fees</t>
  </si>
  <si>
    <t>Total Uses</t>
  </si>
  <si>
    <t>Entry EBITDA</t>
  </si>
  <si>
    <t>Uses of Funds</t>
  </si>
  <si>
    <t>Minimum Cash Required</t>
  </si>
  <si>
    <t>Entry Assumptions &amp; Valuation</t>
  </si>
  <si>
    <t>Implied Enterprise Value</t>
  </si>
  <si>
    <t>LBO Inputs</t>
  </si>
  <si>
    <t>Entry multiple (x 2026 EBITDA)</t>
  </si>
  <si>
    <t>Transaction Fees</t>
  </si>
  <si>
    <t>Entry Leverage</t>
  </si>
  <si>
    <t>LBO debt interest rate</t>
  </si>
  <si>
    <t>Mandatory Amortization</t>
  </si>
  <si>
    <t>Exit multiple (x 2030 EBITDA)</t>
  </si>
  <si>
    <t>Exit Assumptions &amp; Valuation</t>
  </si>
  <si>
    <t>Exit EBITDA</t>
  </si>
  <si>
    <t>Exit Multiple</t>
  </si>
  <si>
    <t xml:space="preserve">Exit enterprise value </t>
  </si>
  <si>
    <t>Less exit net debt (LBO capital structure)</t>
  </si>
  <si>
    <t>Exit equity value</t>
  </si>
  <si>
    <t>IRR</t>
  </si>
  <si>
    <t>MOIC</t>
  </si>
  <si>
    <t>Exit Valuation</t>
  </si>
  <si>
    <t>New debt</t>
  </si>
  <si>
    <t>Sponsor equity</t>
  </si>
  <si>
    <t>Net Debt</t>
  </si>
  <si>
    <t>LBO Debt Schedule</t>
  </si>
  <si>
    <t>Opening LBO Debt</t>
  </si>
  <si>
    <t>Interest expense (debt and revolver, on opening balances)</t>
  </si>
  <si>
    <t>After-tax interest</t>
  </si>
  <si>
    <t>Opening cash</t>
  </si>
  <si>
    <t>Unlevered free cash flow</t>
  </si>
  <si>
    <t>Mandatory amortization</t>
  </si>
  <si>
    <t>Cash before sweep</t>
  </si>
  <si>
    <t>Ending LBO Debt</t>
  </si>
  <si>
    <t>Ending cash</t>
  </si>
  <si>
    <t>Net debt (debt + revolver - cash)</t>
  </si>
  <si>
    <t>Discounted Cash Flow</t>
  </si>
  <si>
    <t>Tax Rate</t>
  </si>
  <si>
    <t>NOPAT</t>
  </si>
  <si>
    <t>CFI (Capex + Additions to Intangibles)</t>
  </si>
  <si>
    <t>Unlevered Free Cash Flow</t>
  </si>
  <si>
    <t>Discount Factor</t>
  </si>
  <si>
    <t>Discount period (years from valuation date)</t>
  </si>
  <si>
    <t>WACC</t>
  </si>
  <si>
    <t>Terminal growth</t>
  </si>
  <si>
    <t>PV explicit FCF</t>
  </si>
  <si>
    <t>Terminal value</t>
  </si>
  <si>
    <t>PV terminal value</t>
  </si>
  <si>
    <t>Enterprise Value</t>
  </si>
  <si>
    <t>Less Net Debt</t>
  </si>
  <si>
    <t>Weighted Average Cost of Capital and DCF</t>
  </si>
  <si>
    <t>Weighted Average Cost of Capital</t>
  </si>
  <si>
    <t>Equity Value</t>
  </si>
  <si>
    <t>Cost of Debt</t>
  </si>
  <si>
    <t>Cost of Equity</t>
  </si>
  <si>
    <t>Debt-to-Equity Ratio</t>
  </si>
  <si>
    <t>Weight of Debt</t>
  </si>
  <si>
    <t>Weight of Equity</t>
  </si>
  <si>
    <t>Risk-free rate</t>
  </si>
  <si>
    <t>Equity risk premium</t>
  </si>
  <si>
    <t>Market beta</t>
  </si>
  <si>
    <t>Weighted Average Cost of Capital (WACC)</t>
  </si>
  <si>
    <t>Optional repayment (cash sweep)</t>
  </si>
  <si>
    <t>D&amp;A, Impairment and Provisions</t>
  </si>
  <si>
    <t>Amortisation of acquisition intangibles</t>
  </si>
  <si>
    <t>Total Distribution Costs</t>
  </si>
  <si>
    <t>Total Warehouse Costs</t>
  </si>
  <si>
    <t>Minimum cash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</si>
</sst>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164" formatCode="[$-F800]dddd\,\ mmmm\ dd\,\ yyyy"/>
    <numFmt numFmtId="165" formatCode="0.0"/>
    <numFmt numFmtId="166" formatCode="0.0&quot;p&quot;"/>
    <numFmt numFmtId="167" formatCode="0.0%"/>
    <numFmt numFmtId="168" formatCode="#,##0.0;\(#,##0.0\);\-"/>
    <numFmt numFmtId="169" formatCode="&quot;£&quot;#,##0.0;\(&quot;£&quot;#,##0.0\);\-"/>
    <numFmt numFmtId="170" formatCode="&quot;£&quot;#,##0.0"/>
    <numFmt numFmtId="171" formatCode="&quot;£&quot;#,##0.00"/>
    <numFmt numFmtId="172" formatCode="&quot;FY&quot;0"/>
    <numFmt numFmtId="173" formatCode="0&quot;bps&quot;"/>
    <numFmt numFmtId="174" formatCode="0&quot;A&quot;"/>
    <numFmt numFmtId="175" formatCode="0&quot;F&quot;"/>
    <numFmt numFmtId="176" formatCode="0.000%"/>
    <numFmt numFmtId="177" formatCode="0\ &quot;years&quot;"/>
    <numFmt numFmtId="178" formatCode="#,##0;\(#,##0\);\-"/>
    <numFmt numFmtId="179" formatCode="#,##0.0;\(&quot;£&quot;#,##0.0\);\-"/>
    <numFmt numFmtId="180" formatCode="0&quot;PF&quot;"/>
    <numFmt numFmtId="181" formatCode="0.0,&quot;k&quot;"/>
    <numFmt numFmtId="182" formatCode="&quot;$&quot;0"/>
    <numFmt numFmtId="183" formatCode="0&quot; years&quot;"/>
    <numFmt numFmtId="184" formatCode="0&quot; days&quot;"/>
    <numFmt numFmtId="185" formatCode="0.0%;\(0.0%\);\–"/>
    <numFmt numFmtId="186" formatCode="#,##0.0,,&quot;m&quot;"/>
    <numFmt numFmtId="187" formatCode="0.00&quot; sen&quot;;\(0.00&quot; sen&quot;\);\-"/>
    <numFmt numFmtId="188" formatCode="&quot;£&quot;#,##0.0;\(&quot;£&quot;#,##0.0\);\–"/>
    <numFmt numFmtId="189" formatCode="0&quot;H&quot;"/>
    <numFmt numFmtId="190" formatCode="&quot;£&quot;#,##0.0,,&quot;m&quot;;\(&quot;£&quot;#,##0.0,,&quot;m&quot;\);\-"/>
    <numFmt numFmtId="191" formatCode="&quot;£&quot;#,##0;\(&quot;£&quot;#,##0\);\-"/>
    <numFmt numFmtId="192" formatCode="0.00&quot;x&quot;"/>
    <numFmt numFmtId="193" formatCode="&quot;£&quot;#,##0;\(&quot;£&quot;#,##0\);\–"/>
    <numFmt numFmtId="194" formatCode="&quot;£&quot;#,##0"/>
    <numFmt numFmtId="195" formatCode="0.0&quot; p&quot;;\(0.0&quot;p&quot;\);\-"/>
    <numFmt numFmtId="196" formatCode="&quot;£&quot;#,##0.0,,&quot;m&quot;;\(&quot;£&quot;#,##0.0,,&quot;m&quot;\);\–"/>
    <numFmt numFmtId="197" formatCode="&quot;£&quot;#,##0.00;\(&quot;£&quot;#,##0.00\);\-"/>
    <numFmt numFmtId="198" formatCode="0.0,,&quot;m&quot;;\(0.0,,&quot;m&quot;\);&quot;-&quot;"/>
    <numFmt numFmtId="199" formatCode="0,,&quot;m&quot;;\(0,,&quot;m&quot;\);&quot;-&quot;"/>
    <numFmt numFmtId="200" formatCode="&quot;£&quot;0.00"/>
    <numFmt numFmtId="201" formatCode="[=1]&quot;Yes&quot;;[=0]&quot;No&quot;;General"/>
    <numFmt numFmtId="202" formatCode="0.00,,&quot;m&quot;;\(0.00,,&quot;m&quot;\);&quot;-&quot;"/>
    <numFmt numFmtId="203" formatCode="&quot;£&quot;#,##0.00;\(&quot;£&quot;#,##0.00\);\–"/>
    <numFmt numFmtId="204" formatCode="0.0&quot;x&quot;"/>
    <numFmt numFmtId="205" formatCode="&quot;£&quot;#,##0.00,,&quot;m&quot;;\(&quot;£&quot;#,##0.00,,&quot;m&quot;\);\–"/>
  </numFmts>
  <fonts count="55" x14ac:knownFonts="1">
    <font>
      <sz val="11"/>
      <color theme="1"/>
      <name val="Aptos Narrow"/>
      <family val="2"/>
      <scheme val="minor"/>
    </font>
    <font>
      <sz val="11"/>
      <color theme="1"/>
      <name val="Aptos Narrow"/>
      <family val="2"/>
      <scheme val="minor"/>
    </font>
    <font>
      <b/>
      <sz val="11"/>
      <color theme="1"/>
      <name val="Aptos Narrow"/>
      <family val="2"/>
      <scheme val="minor"/>
    </font>
    <font>
      <sz val="20"/>
      <color theme="1"/>
      <name val="Aptos Narrow"/>
      <family val="2"/>
      <scheme val="minor"/>
    </font>
    <font>
      <sz val="11"/>
      <color theme="3" tint="0.499984740745262"/>
      <name val="Aptos Narrow"/>
      <family val="2"/>
      <scheme val="minor"/>
    </font>
    <font>
      <sz val="11"/>
      <name val="Aptos Narrow"/>
      <family val="2"/>
      <scheme val="minor"/>
    </font>
    <font>
      <sz val="11"/>
      <color theme="1" tint="0.249977111117893"/>
      <name val="Aptos Narrow"/>
      <family val="2"/>
      <scheme val="minor"/>
    </font>
    <font>
      <sz val="11"/>
      <name val="Arial"/>
      <family val="2"/>
    </font>
    <font>
      <b/>
      <sz val="11"/>
      <color theme="1" tint="0.34998626667073579"/>
      <name val="Arial"/>
      <family val="2"/>
    </font>
    <font>
      <b/>
      <sz val="11"/>
      <color theme="4"/>
      <name val="Arial"/>
      <family val="2"/>
    </font>
    <font>
      <sz val="10"/>
      <color theme="1"/>
      <name val="Arial"/>
      <family val="2"/>
    </font>
    <font>
      <sz val="10"/>
      <color theme="3" tint="0.499984740745262"/>
      <name val="Arial"/>
      <family val="2"/>
    </font>
    <font>
      <b/>
      <sz val="9"/>
      <color theme="1" tint="0.34998626667073579"/>
      <name val="Arial"/>
      <family val="2"/>
    </font>
    <font>
      <sz val="11"/>
      <color theme="1"/>
      <name val="Open Sans"/>
      <family val="2"/>
    </font>
    <font>
      <b/>
      <sz val="20"/>
      <color theme="0"/>
      <name val="Open Sans"/>
      <family val="2"/>
    </font>
    <font>
      <sz val="20"/>
      <color theme="0"/>
      <name val="Open Sans"/>
      <family val="2"/>
    </font>
    <font>
      <sz val="11"/>
      <color theme="0"/>
      <name val="Open Sans"/>
      <family val="2"/>
    </font>
    <font>
      <b/>
      <sz val="14"/>
      <color theme="0"/>
      <name val="Open Sans"/>
      <family val="2"/>
    </font>
    <font>
      <sz val="14"/>
      <color theme="0"/>
      <name val="Open Sans"/>
      <family val="2"/>
    </font>
    <font>
      <sz val="11"/>
      <name val="Open Sans"/>
      <family val="2"/>
    </font>
    <font>
      <b/>
      <sz val="11"/>
      <name val="Open Sans"/>
      <family val="2"/>
    </font>
    <font>
      <b/>
      <sz val="11"/>
      <color theme="1" tint="0.34998626667073579"/>
      <name val="Open Sans"/>
      <family val="2"/>
    </font>
    <font>
      <b/>
      <sz val="11"/>
      <color theme="4"/>
      <name val="Open Sans"/>
      <family val="2"/>
    </font>
    <font>
      <b/>
      <sz val="9"/>
      <color theme="1" tint="0.34998626667073579"/>
      <name val="Open Sans"/>
      <family val="2"/>
    </font>
    <font>
      <sz val="10"/>
      <color theme="1"/>
      <name val="Open Sans"/>
      <family val="2"/>
    </font>
    <font>
      <sz val="10"/>
      <color theme="3" tint="0.499984740745262"/>
      <name val="Open Sans"/>
      <family val="2"/>
    </font>
    <font>
      <sz val="10"/>
      <name val="Open Sans"/>
      <family val="2"/>
    </font>
    <font>
      <b/>
      <sz val="10"/>
      <color theme="1"/>
      <name val="Open Sans"/>
      <family val="2"/>
    </font>
    <font>
      <b/>
      <sz val="10"/>
      <color theme="3" tint="0.499984740745262"/>
      <name val="Open Sans"/>
      <family val="2"/>
    </font>
    <font>
      <b/>
      <sz val="10"/>
      <name val="Open Sans"/>
      <family val="2"/>
    </font>
    <font>
      <sz val="10"/>
      <color theme="4" tint="0.39997558519241921"/>
      <name val="Open Sans"/>
      <family val="2"/>
    </font>
    <font>
      <b/>
      <sz val="11"/>
      <color theme="1"/>
      <name val="Open Sans"/>
      <family val="2"/>
    </font>
    <font>
      <sz val="10"/>
      <color theme="9"/>
      <name val="Open Sans"/>
      <family val="2"/>
    </font>
    <font>
      <sz val="10"/>
      <color theme="1" tint="0.249977111117893"/>
      <name val="Open Sans"/>
      <family val="2"/>
    </font>
    <font>
      <sz val="11"/>
      <color theme="3" tint="0.499984740745262"/>
      <name val="Open Sans"/>
      <family val="2"/>
    </font>
    <font>
      <b/>
      <sz val="10"/>
      <color theme="9"/>
      <name val="Open Sans"/>
      <family val="2"/>
    </font>
    <font>
      <b/>
      <sz val="10"/>
      <color theme="1" tint="0.34998626667073579"/>
      <name val="Open Sans"/>
      <family val="2"/>
    </font>
    <font>
      <sz val="10"/>
      <color rgb="FF7896AF"/>
      <name val="Open Sans"/>
      <family val="2"/>
    </font>
    <font>
      <i/>
      <sz val="10"/>
      <color theme="1"/>
      <name val="Open Sans"/>
      <family val="2"/>
    </font>
    <font>
      <i/>
      <u/>
      <sz val="10"/>
      <color theme="1"/>
      <name val="Open Sans"/>
      <family val="2"/>
    </font>
    <font>
      <b/>
      <sz val="10"/>
      <color rgb="FFC00000"/>
      <name val="Open Sans"/>
      <family val="2"/>
    </font>
    <font>
      <i/>
      <sz val="10"/>
      <color theme="3" tint="0.499984740745262"/>
      <name val="Open Sans"/>
      <family val="2"/>
    </font>
    <font>
      <b/>
      <sz val="11"/>
      <color theme="0"/>
      <name val="Open Sans"/>
      <family val="2"/>
    </font>
    <font>
      <b/>
      <sz val="10"/>
      <color theme="0"/>
      <name val="Open Sans"/>
      <family val="2"/>
    </font>
    <font>
      <sz val="10"/>
      <color theme="0"/>
      <name val="Open Sans"/>
      <family val="2"/>
    </font>
    <font>
      <b/>
      <sz val="10"/>
      <color theme="1"/>
      <name val="Open Sans"/>
      <family val="2"/>
    </font>
    <font>
      <sz val="10"/>
      <color theme="1"/>
      <name val="Open Sans"/>
      <family val="2"/>
    </font>
    <font>
      <sz val="10"/>
      <color theme="6" tint="0.39997558519241921"/>
      <name val="Open Sans"/>
      <family val="2"/>
    </font>
    <font>
      <i/>
      <sz val="10"/>
      <name val="Open Sans"/>
      <family val="2"/>
    </font>
    <font>
      <sz val="10"/>
      <color rgb="FF00B050"/>
      <name val="Open Sans"/>
      <family val="2"/>
    </font>
    <font>
      <b/>
      <i/>
      <sz val="10"/>
      <color theme="1"/>
      <name val="Open Sans"/>
      <family val="2"/>
    </font>
    <font>
      <i/>
      <sz val="8"/>
      <color theme="1"/>
      <name val="Open Sans"/>
      <family val="2"/>
    </font>
    <font>
      <sz val="10"/>
      <color theme="1" tint="0.34998626667073579"/>
      <name val="Open Sans"/>
      <family val="2"/>
    </font>
    <font>
      <sz val="9"/>
      <color theme="1" tint="0.34998626667073579"/>
      <name val="Open Sans"/>
      <family val="2"/>
    </font>
    <font>
      <b/>
      <sz val="11"/>
      <color theme="0"/>
      <name val="Aptos Narrow"/>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rgb="FF7896AF"/>
        <bgColor indexed="64"/>
      </patternFill>
    </fill>
    <fill>
      <patternFill patternType="solid">
        <fgColor rgb="FFFFF5D2"/>
        <bgColor indexed="64"/>
      </patternFill>
    </fill>
    <fill>
      <patternFill patternType="solid">
        <fgColor theme="3" tint="0.749992370372631"/>
        <bgColor indexed="64"/>
      </patternFill>
    </fill>
    <fill>
      <patternFill patternType="solid">
        <fgColor theme="0"/>
        <bgColor indexed="64"/>
      </patternFill>
    </fill>
    <fill>
      <patternFill patternType="solid">
        <fgColor theme="3" tint="0.249977111117893"/>
        <bgColor indexed="64"/>
      </patternFill>
    </fill>
    <fill>
      <patternFill patternType="solid">
        <fgColor theme="0" tint="-0.249977111117893"/>
        <bgColor indexed="64"/>
      </patternFill>
    </fill>
  </fills>
  <borders count="31">
    <border>
      <left/>
      <right/>
      <top/>
      <bottom/>
      <diagonal/>
    </border>
    <border>
      <left style="thin">
        <color theme="0"/>
      </left>
      <right style="thin">
        <color theme="0"/>
      </right>
      <top style="thin">
        <color theme="0"/>
      </top>
      <bottom/>
      <diagonal/>
    </border>
    <border>
      <left style="thin">
        <color theme="3" tint="0.249977111117893"/>
      </left>
      <right/>
      <top style="thin">
        <color theme="3" tint="0.249977111117893"/>
      </top>
      <bottom style="thin">
        <color theme="3" tint="0.249977111117893"/>
      </bottom>
      <diagonal/>
    </border>
    <border>
      <left/>
      <right/>
      <top style="thin">
        <color theme="3" tint="0.249977111117893"/>
      </top>
      <bottom style="thin">
        <color theme="3" tint="0.249977111117893"/>
      </bottom>
      <diagonal/>
    </border>
    <border>
      <left/>
      <right style="thin">
        <color theme="3" tint="0.249977111117893"/>
      </right>
      <top style="thin">
        <color theme="3" tint="0.249977111117893"/>
      </top>
      <bottom style="thin">
        <color theme="3" tint="0.249977111117893"/>
      </bottom>
      <diagonal/>
    </border>
    <border>
      <left/>
      <right/>
      <top/>
      <bottom style="medium">
        <color theme="3" tint="0.249977111117893"/>
      </bottom>
      <diagonal/>
    </border>
    <border>
      <left/>
      <right/>
      <top/>
      <bottom style="thin">
        <color theme="3" tint="0.249977111117893"/>
      </bottom>
      <diagonal/>
    </border>
    <border>
      <left/>
      <right/>
      <top style="thin">
        <color theme="3" tint="0.249977111117893"/>
      </top>
      <bottom/>
      <diagonal/>
    </border>
    <border>
      <left style="thin">
        <color theme="0"/>
      </left>
      <right style="thin">
        <color theme="0"/>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right style="thin">
        <color theme="0" tint="-0.14999847407452621"/>
      </right>
      <top/>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diagonal/>
    </border>
    <border>
      <left/>
      <right/>
      <top style="thin">
        <color theme="0" tint="-0.14999847407452621"/>
      </top>
      <bottom/>
      <diagonal/>
    </border>
    <border>
      <left style="thin">
        <color theme="0" tint="-0.14999847407452621"/>
      </left>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3" tint="0.249977111117893"/>
      </bottom>
      <diagonal/>
    </border>
    <border>
      <left/>
      <right/>
      <top style="thin">
        <color theme="0" tint="-0.14999847407452621"/>
      </top>
      <bottom style="thin">
        <color theme="3" tint="0.249977111117893"/>
      </bottom>
      <diagonal/>
    </border>
    <border>
      <left/>
      <right style="thin">
        <color theme="0" tint="-0.14999847407452621"/>
      </right>
      <top style="thin">
        <color theme="0" tint="-0.14999847407452621"/>
      </top>
      <bottom style="thin">
        <color theme="3" tint="0.249977111117893"/>
      </bottom>
      <diagonal/>
    </border>
    <border>
      <left style="thin">
        <color theme="0" tint="-0.14999847407452621"/>
      </left>
      <right/>
      <top style="thin">
        <color theme="0" tint="-0.14999847407452621"/>
      </top>
      <bottom style="medium">
        <color theme="3" tint="0.249977111117893"/>
      </bottom>
      <diagonal/>
    </border>
    <border>
      <left/>
      <right style="thin">
        <color theme="0" tint="-0.14999847407452621"/>
      </right>
      <top style="thin">
        <color theme="0" tint="-0.14999847407452621"/>
      </top>
      <bottom style="medium">
        <color theme="3" tint="0.249977111117893"/>
      </bottom>
      <diagonal/>
    </border>
    <border>
      <left/>
      <right style="thin">
        <color theme="0" tint="-0.14999847407452621"/>
      </right>
      <top/>
      <bottom style="medium">
        <color theme="3" tint="0.249977111117893"/>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top/>
      <bottom style="medium">
        <color theme="0" tint="-0.14999847407452621"/>
      </bottom>
      <diagonal/>
    </border>
  </borders>
  <cellStyleXfs count="2">
    <xf numFmtId="0" fontId="0" fillId="0" borderId="0"/>
    <xf numFmtId="9" fontId="1" fillId="0" borderId="0" applyFont="0" applyFill="0" applyBorder="0" applyAlignment="0" applyProtection="0"/>
  </cellStyleXfs>
  <cellXfs count="403">
    <xf numFmtId="0" fontId="0" fillId="0" borderId="0" xfId="0"/>
    <xf numFmtId="0" fontId="3" fillId="0" borderId="0" xfId="0" applyFont="1"/>
    <xf numFmtId="164" fontId="0" fillId="0" borderId="0" xfId="0" applyNumberFormat="1" applyAlignment="1">
      <alignment horizontal="left"/>
    </xf>
    <xf numFmtId="0" fontId="3" fillId="0" borderId="0" xfId="0" applyFont="1" applyAlignment="1">
      <alignment horizontal="centerContinuous"/>
    </xf>
    <xf numFmtId="0" fontId="0" fillId="0" borderId="0" xfId="0" applyAlignment="1">
      <alignment horizontal="centerContinuous"/>
    </xf>
    <xf numFmtId="0" fontId="2" fillId="0" borderId="0" xfId="0" applyFont="1"/>
    <xf numFmtId="0" fontId="4" fillId="0" borderId="0" xfId="0" applyFont="1"/>
    <xf numFmtId="167" fontId="0" fillId="0" borderId="0" xfId="1" applyNumberFormat="1" applyFont="1" applyBorder="1"/>
    <xf numFmtId="168" fontId="0" fillId="0" borderId="0" xfId="0" applyNumberFormat="1"/>
    <xf numFmtId="169" fontId="4" fillId="0" borderId="0" xfId="0" applyNumberFormat="1" applyFont="1"/>
    <xf numFmtId="169" fontId="2" fillId="0" borderId="0" xfId="0" applyNumberFormat="1" applyFont="1"/>
    <xf numFmtId="9" fontId="0" fillId="0" borderId="0" xfId="1" applyFont="1" applyFill="1" applyBorder="1"/>
    <xf numFmtId="170" fontId="4" fillId="0" borderId="0" xfId="0" applyNumberFormat="1" applyFont="1"/>
    <xf numFmtId="10" fontId="4" fillId="0" borderId="0" xfId="1" applyNumberFormat="1" applyFont="1"/>
    <xf numFmtId="9" fontId="4" fillId="0" borderId="0" xfId="1" applyFont="1"/>
    <xf numFmtId="167" fontId="4" fillId="0" borderId="0" xfId="1" applyNumberFormat="1" applyFont="1"/>
    <xf numFmtId="173" fontId="4" fillId="0" borderId="0" xfId="0" applyNumberFormat="1" applyFont="1"/>
    <xf numFmtId="9" fontId="4" fillId="0" borderId="0" xfId="1" applyFont="1" applyFill="1"/>
    <xf numFmtId="10" fontId="4" fillId="0" borderId="0" xfId="1" applyNumberFormat="1" applyFont="1" applyFill="1"/>
    <xf numFmtId="167" fontId="4" fillId="0" borderId="0" xfId="1" applyNumberFormat="1" applyFont="1" applyFill="1"/>
    <xf numFmtId="176" fontId="4" fillId="0" borderId="0" xfId="1" applyNumberFormat="1" applyFont="1" applyFill="1"/>
    <xf numFmtId="176" fontId="5" fillId="0" borderId="0" xfId="1" applyNumberFormat="1" applyFont="1" applyFill="1"/>
    <xf numFmtId="10" fontId="6" fillId="0" borderId="0" xfId="1" applyNumberFormat="1" applyFont="1" applyFill="1"/>
    <xf numFmtId="10" fontId="5" fillId="0" borderId="0" xfId="1" applyNumberFormat="1" applyFont="1" applyFill="1"/>
    <xf numFmtId="10" fontId="1" fillId="0" borderId="0" xfId="1" applyNumberFormat="1" applyFont="1" applyFill="1"/>
    <xf numFmtId="177" fontId="4" fillId="0" borderId="0" xfId="0" applyNumberFormat="1" applyFont="1"/>
    <xf numFmtId="9" fontId="0" fillId="0" borderId="0" xfId="1" applyFont="1" applyBorder="1"/>
    <xf numFmtId="167" fontId="4" fillId="0" borderId="0" xfId="1" applyNumberFormat="1" applyFont="1" applyBorder="1"/>
    <xf numFmtId="174" fontId="2" fillId="0" borderId="0" xfId="0" applyNumberFormat="1" applyFont="1"/>
    <xf numFmtId="175" fontId="2" fillId="0" borderId="0" xfId="0" applyNumberFormat="1" applyFont="1"/>
    <xf numFmtId="170" fontId="0" fillId="0" borderId="0" xfId="0" applyNumberFormat="1"/>
    <xf numFmtId="170" fontId="2" fillId="0" borderId="0" xfId="0" applyNumberFormat="1" applyFont="1"/>
    <xf numFmtId="169" fontId="0" fillId="0" borderId="0" xfId="0" applyNumberFormat="1"/>
    <xf numFmtId="167" fontId="2" fillId="0" borderId="0" xfId="1" applyNumberFormat="1" applyFont="1" applyBorder="1"/>
    <xf numFmtId="173" fontId="0" fillId="0" borderId="0" xfId="0" applyNumberFormat="1"/>
    <xf numFmtId="171" fontId="0" fillId="0" borderId="0" xfId="0" applyNumberFormat="1"/>
    <xf numFmtId="173" fontId="2" fillId="0" borderId="0" xfId="0" applyNumberFormat="1" applyFont="1"/>
    <xf numFmtId="168" fontId="2" fillId="0" borderId="0" xfId="0" applyNumberFormat="1" applyFont="1"/>
    <xf numFmtId="169" fontId="5" fillId="0" borderId="0" xfId="0" applyNumberFormat="1" applyFont="1"/>
    <xf numFmtId="165" fontId="4" fillId="0" borderId="0" xfId="0" applyNumberFormat="1" applyFont="1"/>
    <xf numFmtId="0" fontId="7" fillId="0" borderId="0" xfId="0" applyFont="1"/>
    <xf numFmtId="0" fontId="10" fillId="0" borderId="0" xfId="0" applyFont="1"/>
    <xf numFmtId="175" fontId="12" fillId="0" borderId="0" xfId="0" applyNumberFormat="1" applyFont="1"/>
    <xf numFmtId="175" fontId="9" fillId="0" borderId="1" xfId="0" applyNumberFormat="1" applyFont="1" applyBorder="1" applyAlignment="1">
      <alignment horizontal="center"/>
    </xf>
    <xf numFmtId="0" fontId="13" fillId="0" borderId="0" xfId="0" applyFont="1"/>
    <xf numFmtId="0" fontId="14" fillId="4" borderId="0" xfId="0" applyFont="1" applyFill="1" applyAlignment="1">
      <alignment horizontal="left"/>
    </xf>
    <xf numFmtId="0" fontId="15" fillId="4" borderId="0" xfId="0" applyFont="1" applyFill="1" applyAlignment="1">
      <alignment horizontal="left"/>
    </xf>
    <xf numFmtId="0" fontId="16" fillId="4" borderId="0" xfId="0" applyFont="1" applyFill="1" applyAlignment="1">
      <alignment horizontal="left"/>
    </xf>
    <xf numFmtId="0" fontId="17" fillId="4" borderId="0" xfId="0" applyFont="1" applyFill="1" applyAlignment="1">
      <alignment horizontal="left"/>
    </xf>
    <xf numFmtId="0" fontId="18" fillId="4" borderId="0" xfId="0" applyFont="1" applyFill="1" applyAlignment="1">
      <alignment horizontal="left"/>
    </xf>
    <xf numFmtId="0" fontId="19" fillId="0" borderId="0" xfId="0" applyFont="1" applyAlignment="1">
      <alignment horizontal="centerContinuous"/>
    </xf>
    <xf numFmtId="0" fontId="19" fillId="0" borderId="0" xfId="0" applyFont="1"/>
    <xf numFmtId="0" fontId="20" fillId="0" borderId="6" xfId="0" applyFont="1" applyBorder="1" applyAlignment="1">
      <alignment horizontal="centerContinuous"/>
    </xf>
    <xf numFmtId="189" fontId="21" fillId="2" borderId="8" xfId="0" applyNumberFormat="1" applyFont="1" applyFill="1" applyBorder="1" applyAlignment="1">
      <alignment horizontal="center"/>
    </xf>
    <xf numFmtId="175" fontId="22" fillId="3" borderId="8" xfId="0" applyNumberFormat="1" applyFont="1" applyFill="1" applyBorder="1" applyAlignment="1">
      <alignment horizontal="center"/>
    </xf>
    <xf numFmtId="0" fontId="19" fillId="0" borderId="5" xfId="0" applyFont="1" applyBorder="1"/>
    <xf numFmtId="180" fontId="23" fillId="0" borderId="5" xfId="0" applyNumberFormat="1" applyFont="1" applyBorder="1"/>
    <xf numFmtId="175" fontId="23" fillId="0" borderId="5" xfId="0" applyNumberFormat="1" applyFont="1" applyBorder="1"/>
    <xf numFmtId="180" fontId="20" fillId="0" borderId="0" xfId="0" applyNumberFormat="1" applyFont="1"/>
    <xf numFmtId="175" fontId="20" fillId="0" borderId="0" xfId="0" applyNumberFormat="1" applyFont="1"/>
    <xf numFmtId="9" fontId="24" fillId="0" borderId="0" xfId="1" applyFont="1"/>
    <xf numFmtId="0" fontId="24" fillId="0" borderId="0" xfId="0" applyFont="1"/>
    <xf numFmtId="188" fontId="24" fillId="0" borderId="0" xfId="0" applyNumberFormat="1" applyFont="1"/>
    <xf numFmtId="0" fontId="27" fillId="0" borderId="0" xfId="0" applyFont="1"/>
    <xf numFmtId="188" fontId="27" fillId="0" borderId="0" xfId="0" applyNumberFormat="1" applyFont="1"/>
    <xf numFmtId="0" fontId="24" fillId="0" borderId="6" xfId="0" applyFont="1" applyBorder="1"/>
    <xf numFmtId="188" fontId="28" fillId="0" borderId="0" xfId="0" applyNumberFormat="1" applyFont="1"/>
    <xf numFmtId="188" fontId="29" fillId="0" borderId="0" xfId="0" applyNumberFormat="1" applyFont="1"/>
    <xf numFmtId="0" fontId="27" fillId="0" borderId="6" xfId="0" applyFont="1" applyBorder="1"/>
    <xf numFmtId="166" fontId="30" fillId="0" borderId="0" xfId="0" applyNumberFormat="1" applyFont="1"/>
    <xf numFmtId="187" fontId="24" fillId="0" borderId="0" xfId="0" applyNumberFormat="1" applyFont="1"/>
    <xf numFmtId="180" fontId="23" fillId="0" borderId="0" xfId="0" applyNumberFormat="1" applyFont="1"/>
    <xf numFmtId="175" fontId="23" fillId="0" borderId="0" xfId="0" applyNumberFormat="1" applyFont="1"/>
    <xf numFmtId="169" fontId="25" fillId="0" borderId="0" xfId="0" applyNumberFormat="1" applyFont="1"/>
    <xf numFmtId="169" fontId="24" fillId="0" borderId="0" xfId="0" applyNumberFormat="1" applyFont="1"/>
    <xf numFmtId="168" fontId="24" fillId="0" borderId="0" xfId="0" applyNumberFormat="1" applyFont="1"/>
    <xf numFmtId="0" fontId="31" fillId="0" borderId="0" xfId="0" applyFont="1"/>
    <xf numFmtId="178" fontId="13" fillId="0" borderId="0" xfId="0" applyNumberFormat="1" applyFont="1"/>
    <xf numFmtId="1" fontId="13" fillId="0" borderId="0" xfId="0" applyNumberFormat="1" applyFont="1"/>
    <xf numFmtId="180" fontId="27" fillId="0" borderId="0" xfId="0" applyNumberFormat="1" applyFont="1"/>
    <xf numFmtId="175" fontId="27" fillId="0" borderId="0" xfId="0" applyNumberFormat="1" applyFont="1"/>
    <xf numFmtId="178" fontId="26" fillId="0" borderId="0" xfId="0" applyNumberFormat="1" applyFont="1"/>
    <xf numFmtId="178" fontId="29" fillId="0" borderId="0" xfId="0" applyNumberFormat="1" applyFont="1"/>
    <xf numFmtId="180" fontId="31" fillId="0" borderId="0" xfId="0" applyNumberFormat="1" applyFont="1"/>
    <xf numFmtId="175" fontId="31" fillId="0" borderId="0" xfId="0" applyNumberFormat="1" applyFont="1"/>
    <xf numFmtId="174" fontId="31" fillId="0" borderId="0" xfId="0" applyNumberFormat="1" applyFont="1"/>
    <xf numFmtId="167" fontId="24" fillId="0" borderId="0" xfId="1" applyNumberFormat="1" applyFont="1" applyBorder="1"/>
    <xf numFmtId="9" fontId="26" fillId="0" borderId="0" xfId="1" applyFont="1" applyBorder="1"/>
    <xf numFmtId="169" fontId="34" fillId="0" borderId="0" xfId="0" applyNumberFormat="1" applyFont="1"/>
    <xf numFmtId="169" fontId="13" fillId="0" borderId="0" xfId="0" applyNumberFormat="1" applyFont="1"/>
    <xf numFmtId="169" fontId="33" fillId="0" borderId="0" xfId="0" applyNumberFormat="1" applyFont="1"/>
    <xf numFmtId="167" fontId="33" fillId="0" borderId="0" xfId="1" applyNumberFormat="1" applyFont="1" applyBorder="1"/>
    <xf numFmtId="181" fontId="34" fillId="0" borderId="0" xfId="0" applyNumberFormat="1" applyFont="1"/>
    <xf numFmtId="169" fontId="26" fillId="0" borderId="0" xfId="0" applyNumberFormat="1" applyFont="1"/>
    <xf numFmtId="178" fontId="24" fillId="0" borderId="0" xfId="0" applyNumberFormat="1" applyFont="1"/>
    <xf numFmtId="167" fontId="13" fillId="0" borderId="0" xfId="1" applyNumberFormat="1" applyFont="1" applyBorder="1"/>
    <xf numFmtId="170" fontId="27" fillId="0" borderId="0" xfId="0" applyNumberFormat="1" applyFont="1"/>
    <xf numFmtId="178" fontId="32" fillId="0" borderId="0" xfId="0" applyNumberFormat="1" applyFont="1"/>
    <xf numFmtId="178" fontId="31" fillId="0" borderId="0" xfId="0" applyNumberFormat="1" applyFont="1"/>
    <xf numFmtId="170" fontId="24" fillId="0" borderId="0" xfId="0" applyNumberFormat="1" applyFont="1"/>
    <xf numFmtId="10" fontId="31" fillId="0" borderId="0" xfId="1" applyNumberFormat="1" applyFont="1"/>
    <xf numFmtId="0" fontId="29" fillId="0" borderId="0" xfId="0" applyFont="1"/>
    <xf numFmtId="186" fontId="13" fillId="0" borderId="0" xfId="0" applyNumberFormat="1" applyFont="1"/>
    <xf numFmtId="0" fontId="24" fillId="0" borderId="0" xfId="0" applyFont="1" applyAlignment="1">
      <alignment horizontal="left" indent="2"/>
    </xf>
    <xf numFmtId="0" fontId="24" fillId="0" borderId="0" xfId="0" applyFont="1" applyAlignment="1">
      <alignment horizontal="left"/>
    </xf>
    <xf numFmtId="167" fontId="32" fillId="0" borderId="0" xfId="1" applyNumberFormat="1" applyFont="1" applyFill="1" applyBorder="1"/>
    <xf numFmtId="167" fontId="24" fillId="0" borderId="0" xfId="1" applyNumberFormat="1" applyFont="1" applyFill="1" applyBorder="1"/>
    <xf numFmtId="167" fontId="25" fillId="0" borderId="0" xfId="1" applyNumberFormat="1" applyFont="1" applyFill="1" applyBorder="1"/>
    <xf numFmtId="167" fontId="26" fillId="0" borderId="0" xfId="1" applyNumberFormat="1" applyFont="1" applyFill="1" applyBorder="1"/>
    <xf numFmtId="167" fontId="27" fillId="0" borderId="0" xfId="1" applyNumberFormat="1" applyFont="1" applyFill="1" applyBorder="1"/>
    <xf numFmtId="9" fontId="26" fillId="0" borderId="0" xfId="1" applyFont="1" applyFill="1" applyBorder="1"/>
    <xf numFmtId="1" fontId="32" fillId="0" borderId="0" xfId="0" applyNumberFormat="1" applyFont="1"/>
    <xf numFmtId="1" fontId="29" fillId="0" borderId="0" xfId="0" applyNumberFormat="1" applyFont="1"/>
    <xf numFmtId="165" fontId="27" fillId="0" borderId="0" xfId="1" applyNumberFormat="1" applyFont="1" applyFill="1" applyBorder="1"/>
    <xf numFmtId="0" fontId="24" fillId="0" borderId="7" xfId="0" applyFont="1" applyBorder="1"/>
    <xf numFmtId="169" fontId="28" fillId="0" borderId="0" xfId="0" applyNumberFormat="1" applyFont="1"/>
    <xf numFmtId="169" fontId="27" fillId="0" borderId="0" xfId="0" applyNumberFormat="1" applyFont="1"/>
    <xf numFmtId="184" fontId="32" fillId="0" borderId="0" xfId="1" applyNumberFormat="1" applyFont="1" applyFill="1" applyBorder="1"/>
    <xf numFmtId="182" fontId="32" fillId="0" borderId="0" xfId="0" applyNumberFormat="1" applyFont="1"/>
    <xf numFmtId="180" fontId="21" fillId="0" borderId="1" xfId="0" applyNumberFormat="1" applyFont="1" applyBorder="1" applyAlignment="1">
      <alignment horizontal="center"/>
    </xf>
    <xf numFmtId="175" fontId="22" fillId="0" borderId="1" xfId="0" applyNumberFormat="1" applyFont="1" applyBorder="1" applyAlignment="1">
      <alignment horizontal="center"/>
    </xf>
    <xf numFmtId="168" fontId="26" fillId="0" borderId="0" xfId="0" applyNumberFormat="1" applyFont="1"/>
    <xf numFmtId="190" fontId="29" fillId="0" borderId="0" xfId="0" applyNumberFormat="1" applyFont="1"/>
    <xf numFmtId="0" fontId="26" fillId="0" borderId="0" xfId="0" applyFont="1"/>
    <xf numFmtId="9" fontId="25" fillId="0" borderId="0" xfId="1" applyFont="1" applyBorder="1"/>
    <xf numFmtId="167" fontId="25" fillId="0" borderId="0" xfId="1" applyNumberFormat="1" applyFont="1"/>
    <xf numFmtId="0" fontId="39" fillId="0" borderId="0" xfId="0" applyFont="1"/>
    <xf numFmtId="178" fontId="27" fillId="0" borderId="0" xfId="0" applyNumberFormat="1" applyFont="1"/>
    <xf numFmtId="0" fontId="40" fillId="0" borderId="0" xfId="0" applyFont="1"/>
    <xf numFmtId="0" fontId="31" fillId="0" borderId="0" xfId="0" applyFont="1" applyAlignment="1">
      <alignment horizontal="center"/>
    </xf>
    <xf numFmtId="178" fontId="31" fillId="0" borderId="0" xfId="0" applyNumberFormat="1" applyFont="1" applyAlignment="1">
      <alignment horizontal="center"/>
    </xf>
    <xf numFmtId="0" fontId="31" fillId="0" borderId="5" xfId="0" applyFont="1" applyBorder="1"/>
    <xf numFmtId="0" fontId="31" fillId="0" borderId="5" xfId="0" applyFont="1" applyBorder="1" applyAlignment="1">
      <alignment horizontal="center"/>
    </xf>
    <xf numFmtId="178" fontId="31" fillId="0" borderId="5" xfId="0" applyNumberFormat="1" applyFont="1" applyBorder="1" applyAlignment="1">
      <alignment horizontal="center"/>
    </xf>
    <xf numFmtId="0" fontId="13" fillId="0" borderId="5" xfId="0" applyFont="1" applyBorder="1"/>
    <xf numFmtId="169" fontId="13" fillId="0" borderId="5" xfId="0" applyNumberFormat="1" applyFont="1" applyBorder="1"/>
    <xf numFmtId="0" fontId="28" fillId="5" borderId="0" xfId="0" applyFont="1" applyFill="1"/>
    <xf numFmtId="10" fontId="28" fillId="5" borderId="0" xfId="1" applyNumberFormat="1" applyFont="1" applyFill="1" applyAlignment="1">
      <alignment horizontal="center" vertical="center"/>
    </xf>
    <xf numFmtId="9" fontId="28" fillId="5" borderId="0" xfId="1" applyFont="1" applyFill="1" applyAlignment="1">
      <alignment horizontal="center" vertical="center"/>
    </xf>
    <xf numFmtId="10" fontId="38" fillId="0" borderId="0" xfId="1" applyNumberFormat="1" applyFont="1" applyFill="1" applyBorder="1"/>
    <xf numFmtId="9" fontId="32" fillId="0" borderId="0" xfId="1" applyFont="1" applyBorder="1"/>
    <xf numFmtId="180" fontId="36" fillId="0" borderId="0" xfId="0" applyNumberFormat="1" applyFont="1"/>
    <xf numFmtId="173" fontId="13" fillId="0" borderId="0" xfId="0" applyNumberFormat="1" applyFont="1"/>
    <xf numFmtId="167" fontId="25" fillId="5" borderId="0" xfId="1" applyNumberFormat="1" applyFont="1" applyFill="1"/>
    <xf numFmtId="167" fontId="25" fillId="0" borderId="0" xfId="1" applyNumberFormat="1" applyFont="1" applyBorder="1"/>
    <xf numFmtId="167" fontId="24" fillId="0" borderId="0" xfId="1" applyNumberFormat="1" applyFont="1" applyFill="1"/>
    <xf numFmtId="180" fontId="8" fillId="0" borderId="1" xfId="0" applyNumberFormat="1" applyFont="1" applyBorder="1" applyAlignment="1">
      <alignment horizontal="center"/>
    </xf>
    <xf numFmtId="180" fontId="12" fillId="0" borderId="0" xfId="0" applyNumberFormat="1" applyFont="1"/>
    <xf numFmtId="172" fontId="27" fillId="0" borderId="0" xfId="1" applyNumberFormat="1" applyFont="1" applyBorder="1"/>
    <xf numFmtId="172" fontId="27" fillId="0" borderId="0" xfId="1" applyNumberFormat="1" applyFont="1"/>
    <xf numFmtId="182" fontId="25" fillId="0" borderId="0" xfId="1" applyNumberFormat="1" applyFont="1" applyBorder="1"/>
    <xf numFmtId="182" fontId="25" fillId="0" borderId="0" xfId="1" applyNumberFormat="1" applyFont="1"/>
    <xf numFmtId="10" fontId="25" fillId="0" borderId="0" xfId="1" applyNumberFormat="1" applyFont="1"/>
    <xf numFmtId="1" fontId="25" fillId="0" borderId="0" xfId="1" applyNumberFormat="1" applyFont="1" applyBorder="1"/>
    <xf numFmtId="1" fontId="25" fillId="0" borderId="0" xfId="1" applyNumberFormat="1" applyFont="1"/>
    <xf numFmtId="9" fontId="25" fillId="0" borderId="0" xfId="1" applyFont="1" applyFill="1"/>
    <xf numFmtId="10" fontId="25" fillId="0" borderId="0" xfId="1" applyNumberFormat="1" applyFont="1" applyFill="1" applyBorder="1"/>
    <xf numFmtId="10" fontId="25" fillId="0" borderId="0" xfId="1" applyNumberFormat="1" applyFont="1" applyFill="1"/>
    <xf numFmtId="167" fontId="25" fillId="0" borderId="0" xfId="1" applyNumberFormat="1" applyFont="1" applyFill="1"/>
    <xf numFmtId="0" fontId="42" fillId="4" borderId="0" xfId="0" applyFont="1" applyFill="1" applyAlignment="1">
      <alignment horizontal="right"/>
    </xf>
    <xf numFmtId="0" fontId="42" fillId="4" borderId="0" xfId="0" applyFont="1" applyFill="1"/>
    <xf numFmtId="0" fontId="16" fillId="4" borderId="0" xfId="0" applyFont="1" applyFill="1"/>
    <xf numFmtId="0" fontId="24" fillId="0" borderId="6" xfId="0" applyFont="1" applyBorder="1" applyAlignment="1">
      <alignment horizontal="left" indent="2"/>
    </xf>
    <xf numFmtId="182" fontId="25" fillId="0" borderId="6" xfId="1" applyNumberFormat="1" applyFont="1" applyBorder="1"/>
    <xf numFmtId="10" fontId="25" fillId="0" borderId="6" xfId="1" applyNumberFormat="1" applyFont="1" applyFill="1" applyBorder="1"/>
    <xf numFmtId="0" fontId="43" fillId="4" borderId="0" xfId="0" applyFont="1" applyFill="1" applyAlignment="1">
      <alignment horizontal="left"/>
    </xf>
    <xf numFmtId="0" fontId="44" fillId="4" borderId="0" xfId="0" applyFont="1" applyFill="1"/>
    <xf numFmtId="172" fontId="43" fillId="4" borderId="0" xfId="1" applyNumberFormat="1" applyFont="1" applyFill="1" applyBorder="1"/>
    <xf numFmtId="172" fontId="43" fillId="4" borderId="0" xfId="1" applyNumberFormat="1" applyFont="1" applyFill="1"/>
    <xf numFmtId="182" fontId="29" fillId="6" borderId="0" xfId="1" applyNumberFormat="1" applyFont="1" applyFill="1" applyBorder="1"/>
    <xf numFmtId="167" fontId="29" fillId="6" borderId="0" xfId="1" applyNumberFormat="1" applyFont="1" applyFill="1"/>
    <xf numFmtId="0" fontId="27" fillId="0" borderId="0" xfId="0" applyFont="1" applyAlignment="1">
      <alignment horizontal="left" indent="2"/>
    </xf>
    <xf numFmtId="175" fontId="23" fillId="0" borderId="5" xfId="0" applyNumberFormat="1" applyFont="1" applyBorder="1" applyAlignment="1">
      <alignment horizontal="right"/>
    </xf>
    <xf numFmtId="193" fontId="26" fillId="0" borderId="0" xfId="1" applyNumberFormat="1" applyFont="1" applyFill="1" applyBorder="1"/>
    <xf numFmtId="193" fontId="0" fillId="0" borderId="0" xfId="0" applyNumberFormat="1"/>
    <xf numFmtId="191" fontId="29" fillId="0" borderId="0" xfId="0" applyNumberFormat="1" applyFont="1"/>
    <xf numFmtId="9" fontId="25" fillId="0" borderId="0" xfId="1" applyFont="1" applyFill="1" applyBorder="1"/>
    <xf numFmtId="0" fontId="45" fillId="0" borderId="0" xfId="0" applyFont="1"/>
    <xf numFmtId="195" fontId="26" fillId="0" borderId="0" xfId="0" applyNumberFormat="1" applyFont="1"/>
    <xf numFmtId="194" fontId="27" fillId="0" borderId="0" xfId="0" applyNumberFormat="1" applyFont="1"/>
    <xf numFmtId="196" fontId="25" fillId="0" borderId="0" xfId="0" applyNumberFormat="1" applyFont="1"/>
    <xf numFmtId="196" fontId="26" fillId="0" borderId="0" xfId="0" applyNumberFormat="1" applyFont="1"/>
    <xf numFmtId="196" fontId="29" fillId="0" borderId="0" xfId="0" applyNumberFormat="1" applyFont="1"/>
    <xf numFmtId="196" fontId="25" fillId="0" borderId="6" xfId="0" applyNumberFormat="1" applyFont="1" applyBorder="1"/>
    <xf numFmtId="193" fontId="24" fillId="0" borderId="0" xfId="0" applyNumberFormat="1" applyFont="1"/>
    <xf numFmtId="0" fontId="27" fillId="3" borderId="0" xfId="0" applyFont="1" applyFill="1"/>
    <xf numFmtId="191" fontId="24" fillId="0" borderId="0" xfId="0" applyNumberFormat="1" applyFont="1"/>
    <xf numFmtId="193" fontId="25" fillId="0" borderId="0" xfId="0" applyNumberFormat="1" applyFont="1"/>
    <xf numFmtId="191" fontId="25" fillId="0" borderId="0" xfId="0" applyNumberFormat="1" applyFont="1"/>
    <xf numFmtId="193" fontId="26" fillId="0" borderId="0" xfId="0" applyNumberFormat="1" applyFont="1"/>
    <xf numFmtId="3" fontId="25" fillId="0" borderId="0" xfId="0" applyNumberFormat="1" applyFont="1"/>
    <xf numFmtId="3" fontId="24" fillId="0" borderId="0" xfId="0" applyNumberFormat="1" applyFont="1"/>
    <xf numFmtId="179" fontId="26" fillId="0" borderId="0" xfId="0" applyNumberFormat="1" applyFont="1"/>
    <xf numFmtId="191" fontId="26" fillId="0" borderId="0" xfId="0" applyNumberFormat="1" applyFont="1"/>
    <xf numFmtId="167" fontId="47" fillId="0" borderId="0" xfId="1" applyNumberFormat="1" applyFont="1" applyFill="1" applyBorder="1"/>
    <xf numFmtId="198" fontId="25" fillId="0" borderId="0" xfId="0" applyNumberFormat="1" applyFont="1"/>
    <xf numFmtId="0" fontId="42" fillId="8" borderId="2" xfId="0" applyFont="1" applyFill="1" applyBorder="1"/>
    <xf numFmtId="0" fontId="43" fillId="8" borderId="3" xfId="0" applyFont="1" applyFill="1" applyBorder="1"/>
    <xf numFmtId="0" fontId="44" fillId="8" borderId="3" xfId="0" applyFont="1" applyFill="1" applyBorder="1"/>
    <xf numFmtId="169" fontId="44" fillId="8" borderId="3" xfId="0" applyNumberFormat="1" applyFont="1" applyFill="1" applyBorder="1"/>
    <xf numFmtId="169" fontId="44" fillId="8" borderId="4" xfId="0" applyNumberFormat="1" applyFont="1" applyFill="1" applyBorder="1"/>
    <xf numFmtId="199" fontId="28" fillId="3" borderId="9" xfId="0" applyNumberFormat="1" applyFont="1" applyFill="1" applyBorder="1"/>
    <xf numFmtId="199" fontId="29" fillId="3" borderId="9" xfId="0" applyNumberFormat="1" applyFont="1" applyFill="1" applyBorder="1"/>
    <xf numFmtId="0" fontId="27" fillId="3" borderId="10" xfId="0" applyFont="1" applyFill="1" applyBorder="1"/>
    <xf numFmtId="0" fontId="27" fillId="3" borderId="13" xfId="0" applyFont="1" applyFill="1" applyBorder="1"/>
    <xf numFmtId="0" fontId="24" fillId="0" borderId="16" xfId="0" applyFont="1" applyBorder="1"/>
    <xf numFmtId="0" fontId="27" fillId="3" borderId="17" xfId="0" applyFont="1" applyFill="1" applyBorder="1"/>
    <xf numFmtId="0" fontId="27" fillId="0" borderId="19" xfId="0" applyFont="1" applyBorder="1"/>
    <xf numFmtId="196" fontId="27" fillId="3" borderId="0" xfId="0" applyNumberFormat="1" applyFont="1" applyFill="1"/>
    <xf numFmtId="0" fontId="27" fillId="3" borderId="20" xfId="0" applyFont="1" applyFill="1" applyBorder="1"/>
    <xf numFmtId="0" fontId="27" fillId="3" borderId="11" xfId="0" applyFont="1" applyFill="1" applyBorder="1"/>
    <xf numFmtId="193" fontId="27" fillId="3" borderId="9" xfId="0" applyNumberFormat="1" applyFont="1" applyFill="1" applyBorder="1"/>
    <xf numFmtId="196" fontId="27" fillId="3" borderId="9" xfId="0" applyNumberFormat="1" applyFont="1" applyFill="1" applyBorder="1"/>
    <xf numFmtId="0" fontId="27" fillId="0" borderId="16" xfId="0" applyFont="1" applyBorder="1"/>
    <xf numFmtId="0" fontId="24" fillId="0" borderId="19" xfId="0" applyFont="1" applyBorder="1"/>
    <xf numFmtId="0" fontId="24" fillId="0" borderId="20" xfId="0" applyFont="1" applyBorder="1"/>
    <xf numFmtId="0" fontId="20" fillId="0" borderId="21" xfId="0" applyFont="1" applyBorder="1" applyAlignment="1">
      <alignment horizontal="centerContinuous"/>
    </xf>
    <xf numFmtId="0" fontId="20" fillId="0" borderId="22" xfId="0" applyFont="1" applyBorder="1" applyAlignment="1">
      <alignment horizontal="centerContinuous"/>
    </xf>
    <xf numFmtId="0" fontId="20" fillId="0" borderId="23" xfId="0" applyFont="1" applyBorder="1" applyAlignment="1">
      <alignment horizontal="centerContinuous"/>
    </xf>
    <xf numFmtId="180" fontId="23" fillId="0" borderId="24" xfId="0" applyNumberFormat="1" applyFont="1" applyBorder="1"/>
    <xf numFmtId="180" fontId="23" fillId="0" borderId="25" xfId="0" applyNumberFormat="1" applyFont="1" applyBorder="1"/>
    <xf numFmtId="175" fontId="23" fillId="0" borderId="26" xfId="0" applyNumberFormat="1" applyFont="1" applyBorder="1" applyAlignment="1">
      <alignment horizontal="right"/>
    </xf>
    <xf numFmtId="199" fontId="29" fillId="0" borderId="0" xfId="0" applyNumberFormat="1" applyFont="1"/>
    <xf numFmtId="196" fontId="27" fillId="0" borderId="0" xfId="0" applyNumberFormat="1" applyFont="1"/>
    <xf numFmtId="175" fontId="23" fillId="0" borderId="0" xfId="0" applyNumberFormat="1" applyFont="1" applyAlignment="1">
      <alignment horizontal="right"/>
    </xf>
    <xf numFmtId="196" fontId="27" fillId="3" borderId="27" xfId="0" applyNumberFormat="1" applyFont="1" applyFill="1" applyBorder="1"/>
    <xf numFmtId="196" fontId="27" fillId="0" borderId="16" xfId="0" applyNumberFormat="1" applyFont="1" applyBorder="1"/>
    <xf numFmtId="196" fontId="27" fillId="3" borderId="11" xfId="0" applyNumberFormat="1" applyFont="1" applyFill="1" applyBorder="1"/>
    <xf numFmtId="196" fontId="27" fillId="3" borderId="14" xfId="0" applyNumberFormat="1" applyFont="1" applyFill="1" applyBorder="1"/>
    <xf numFmtId="196" fontId="27" fillId="3" borderId="28" xfId="0" applyNumberFormat="1" applyFont="1" applyFill="1" applyBorder="1"/>
    <xf numFmtId="0" fontId="27" fillId="3" borderId="18" xfId="0" applyFont="1" applyFill="1" applyBorder="1"/>
    <xf numFmtId="0" fontId="27" fillId="3" borderId="19" xfId="0" applyFont="1" applyFill="1" applyBorder="1"/>
    <xf numFmtId="0" fontId="27" fillId="3" borderId="14" xfId="0" applyFont="1" applyFill="1" applyBorder="1"/>
    <xf numFmtId="180" fontId="21" fillId="0" borderId="0" xfId="0" applyNumberFormat="1" applyFont="1" applyAlignment="1">
      <alignment horizontal="center"/>
    </xf>
    <xf numFmtId="175" fontId="22" fillId="0" borderId="0" xfId="0" applyNumberFormat="1" applyFont="1" applyAlignment="1">
      <alignment horizontal="center"/>
    </xf>
    <xf numFmtId="194" fontId="26" fillId="0" borderId="0" xfId="0" applyNumberFormat="1" applyFont="1"/>
    <xf numFmtId="196" fontId="24" fillId="0" borderId="0" xfId="0" applyNumberFormat="1" applyFont="1"/>
    <xf numFmtId="196" fontId="27" fillId="3" borderId="12" xfId="0" applyNumberFormat="1" applyFont="1" applyFill="1" applyBorder="1"/>
    <xf numFmtId="0" fontId="27" fillId="3" borderId="15" xfId="0" applyFont="1" applyFill="1" applyBorder="1"/>
    <xf numFmtId="0" fontId="27" fillId="3" borderId="16" xfId="0" applyFont="1" applyFill="1" applyBorder="1"/>
    <xf numFmtId="0" fontId="27" fillId="3" borderId="12" xfId="0" applyFont="1" applyFill="1" applyBorder="1"/>
    <xf numFmtId="196" fontId="27" fillId="3" borderId="13" xfId="0" applyNumberFormat="1" applyFont="1" applyFill="1" applyBorder="1"/>
    <xf numFmtId="1" fontId="28" fillId="0" borderId="0" xfId="1" applyNumberFormat="1" applyFont="1" applyFill="1" applyBorder="1"/>
    <xf numFmtId="167" fontId="26" fillId="0" borderId="0" xfId="1" applyNumberFormat="1" applyFont="1" applyFill="1"/>
    <xf numFmtId="167" fontId="27" fillId="3" borderId="9" xfId="1" applyNumberFormat="1" applyFont="1" applyFill="1" applyBorder="1"/>
    <xf numFmtId="196" fontId="24" fillId="0" borderId="0" xfId="1" applyNumberFormat="1" applyFont="1"/>
    <xf numFmtId="196" fontId="27" fillId="3" borderId="29" xfId="0" applyNumberFormat="1" applyFont="1" applyFill="1" applyBorder="1"/>
    <xf numFmtId="196" fontId="27" fillId="0" borderId="20" xfId="0" applyNumberFormat="1" applyFont="1" applyBorder="1"/>
    <xf numFmtId="191" fontId="40" fillId="0" borderId="0" xfId="0" applyNumberFormat="1" applyFont="1"/>
    <xf numFmtId="191" fontId="27" fillId="0" borderId="0" xfId="0" applyNumberFormat="1" applyFont="1"/>
    <xf numFmtId="196" fontId="28" fillId="3" borderId="15" xfId="0" applyNumberFormat="1" applyFont="1" applyFill="1" applyBorder="1"/>
    <xf numFmtId="197" fontId="28" fillId="5" borderId="0" xfId="0" applyNumberFormat="1" applyFont="1" applyFill="1" applyAlignment="1">
      <alignment horizontal="center" vertical="center"/>
    </xf>
    <xf numFmtId="201" fontId="28" fillId="5" borderId="0" xfId="0" applyNumberFormat="1" applyFont="1" applyFill="1" applyAlignment="1">
      <alignment horizontal="center" vertical="center"/>
    </xf>
    <xf numFmtId="196" fontId="24" fillId="0" borderId="6" xfId="1" applyNumberFormat="1" applyFont="1" applyBorder="1"/>
    <xf numFmtId="196" fontId="28" fillId="0" borderId="0" xfId="0" applyNumberFormat="1" applyFont="1"/>
    <xf numFmtId="196" fontId="28" fillId="0" borderId="16" xfId="0" applyNumberFormat="1" applyFont="1" applyBorder="1"/>
    <xf numFmtId="196" fontId="28" fillId="3" borderId="17" xfId="0" applyNumberFormat="1" applyFont="1" applyFill="1" applyBorder="1"/>
    <xf numFmtId="196" fontId="29" fillId="3" borderId="17" xfId="0" applyNumberFormat="1" applyFont="1" applyFill="1" applyBorder="1"/>
    <xf numFmtId="196" fontId="26" fillId="0" borderId="6" xfId="0" applyNumberFormat="1" applyFont="1" applyBorder="1"/>
    <xf numFmtId="0" fontId="27" fillId="0" borderId="0" xfId="0" applyFont="1" applyAlignment="1">
      <alignment horizontal="left"/>
    </xf>
    <xf numFmtId="199" fontId="28" fillId="3" borderId="28" xfId="0" applyNumberFormat="1" applyFont="1" applyFill="1" applyBorder="1"/>
    <xf numFmtId="180" fontId="27" fillId="0" borderId="20" xfId="0" applyNumberFormat="1" applyFont="1" applyBorder="1"/>
    <xf numFmtId="196" fontId="27" fillId="3" borderId="16" xfId="0" applyNumberFormat="1" applyFont="1" applyFill="1" applyBorder="1"/>
    <xf numFmtId="196" fontId="29" fillId="3" borderId="9" xfId="0" applyNumberFormat="1" applyFont="1" applyFill="1" applyBorder="1"/>
    <xf numFmtId="196" fontId="29" fillId="3" borderId="0" xfId="0" applyNumberFormat="1" applyFont="1" applyFill="1"/>
    <xf numFmtId="192" fontId="29" fillId="6" borderId="0" xfId="1" applyNumberFormat="1" applyFont="1" applyFill="1"/>
    <xf numFmtId="192" fontId="25" fillId="5" borderId="0" xfId="1" applyNumberFormat="1" applyFont="1" applyFill="1" applyBorder="1"/>
    <xf numFmtId="182" fontId="29" fillId="0" borderId="0" xfId="1" applyNumberFormat="1" applyFont="1" applyFill="1" applyBorder="1"/>
    <xf numFmtId="1" fontId="25" fillId="0" borderId="0" xfId="1" applyNumberFormat="1" applyFont="1" applyFill="1"/>
    <xf numFmtId="167" fontId="29" fillId="0" borderId="0" xfId="1" applyNumberFormat="1" applyFont="1" applyFill="1"/>
    <xf numFmtId="185" fontId="25" fillId="0" borderId="0" xfId="1" applyNumberFormat="1" applyFont="1" applyFill="1" applyBorder="1"/>
    <xf numFmtId="165" fontId="11" fillId="0" borderId="0" xfId="1" applyNumberFormat="1" applyFont="1" applyFill="1" applyBorder="1"/>
    <xf numFmtId="182" fontId="25" fillId="0" borderId="0" xfId="1" applyNumberFormat="1" applyFont="1" applyFill="1" applyBorder="1"/>
    <xf numFmtId="182" fontId="25" fillId="0" borderId="0" xfId="1" applyNumberFormat="1" applyFont="1" applyFill="1"/>
    <xf numFmtId="196" fontId="24" fillId="0" borderId="0" xfId="1" applyNumberFormat="1" applyFont="1" applyBorder="1"/>
    <xf numFmtId="9" fontId="24" fillId="0" borderId="0" xfId="1" applyFont="1" applyBorder="1"/>
    <xf numFmtId="0" fontId="38" fillId="0" borderId="0" xfId="0" applyFont="1"/>
    <xf numFmtId="0" fontId="50" fillId="0" borderId="0" xfId="0" applyFont="1"/>
    <xf numFmtId="0" fontId="24" fillId="0" borderId="7" xfId="0" applyFont="1" applyBorder="1" applyAlignment="1">
      <alignment horizontal="left" indent="2"/>
    </xf>
    <xf numFmtId="195" fontId="25" fillId="0" borderId="0" xfId="0" applyNumberFormat="1" applyFont="1"/>
    <xf numFmtId="0" fontId="24" fillId="0" borderId="30" xfId="0" applyFont="1" applyBorder="1"/>
    <xf numFmtId="188" fontId="24" fillId="0" borderId="30" xfId="0" applyNumberFormat="1" applyFont="1" applyBorder="1"/>
    <xf numFmtId="0" fontId="51" fillId="0" borderId="0" xfId="0" applyFont="1"/>
    <xf numFmtId="198" fontId="27" fillId="5" borderId="0" xfId="0" applyNumberFormat="1" applyFont="1" applyFill="1"/>
    <xf numFmtId="198" fontId="28" fillId="0" borderId="0" xfId="0" applyNumberFormat="1" applyFont="1"/>
    <xf numFmtId="185" fontId="38" fillId="0" borderId="0" xfId="1" applyNumberFormat="1" applyFont="1" applyBorder="1"/>
    <xf numFmtId="185" fontId="48" fillId="0" borderId="0" xfId="1" applyNumberFormat="1" applyFont="1"/>
    <xf numFmtId="185" fontId="38" fillId="0" borderId="0" xfId="1" applyNumberFormat="1" applyFont="1"/>
    <xf numFmtId="196" fontId="25" fillId="0" borderId="0" xfId="1" applyNumberFormat="1" applyFont="1"/>
    <xf numFmtId="196" fontId="25" fillId="0" borderId="6" xfId="1" applyNumberFormat="1" applyFont="1" applyBorder="1"/>
    <xf numFmtId="172" fontId="0" fillId="0" borderId="0" xfId="0" applyNumberFormat="1"/>
    <xf numFmtId="1" fontId="0" fillId="0" borderId="0" xfId="0" applyNumberFormat="1"/>
    <xf numFmtId="0" fontId="20" fillId="0" borderId="10" xfId="0" applyFont="1" applyBorder="1" applyAlignment="1">
      <alignment horizontal="centerContinuous"/>
    </xf>
    <xf numFmtId="0" fontId="20" fillId="0" borderId="20" xfId="0" applyFont="1" applyBorder="1" applyAlignment="1">
      <alignment horizontal="centerContinuous"/>
    </xf>
    <xf numFmtId="0" fontId="20" fillId="0" borderId="11" xfId="0" applyFont="1" applyBorder="1" applyAlignment="1">
      <alignment horizontal="centerContinuous"/>
    </xf>
    <xf numFmtId="9" fontId="24" fillId="5" borderId="0" xfId="1" applyFont="1" applyFill="1" applyBorder="1"/>
    <xf numFmtId="10" fontId="29" fillId="6" borderId="0" xfId="1" applyNumberFormat="1" applyFont="1" applyFill="1"/>
    <xf numFmtId="10" fontId="25" fillId="5" borderId="0" xfId="1" applyNumberFormat="1" applyFont="1" applyFill="1" applyBorder="1"/>
    <xf numFmtId="169" fontId="44" fillId="0" borderId="0" xfId="0" applyNumberFormat="1" applyFont="1"/>
    <xf numFmtId="0" fontId="14" fillId="0" borderId="0" xfId="0" applyFont="1" applyAlignment="1">
      <alignment horizontal="left"/>
    </xf>
    <xf numFmtId="0" fontId="16" fillId="0" borderId="0" xfId="0" applyFont="1" applyAlignment="1">
      <alignment horizontal="left"/>
    </xf>
    <xf numFmtId="0" fontId="42" fillId="0" borderId="0" xfId="0" applyFont="1" applyAlignment="1">
      <alignment horizontal="right"/>
    </xf>
    <xf numFmtId="0" fontId="0" fillId="0" borderId="19" xfId="0" applyBorder="1"/>
    <xf numFmtId="196" fontId="29" fillId="3" borderId="18" xfId="0" applyNumberFormat="1" applyFont="1" applyFill="1" applyBorder="1"/>
    <xf numFmtId="0" fontId="0" fillId="8" borderId="0" xfId="0" applyFill="1"/>
    <xf numFmtId="0" fontId="54" fillId="8" borderId="0" xfId="0" applyFont="1" applyFill="1"/>
    <xf numFmtId="0" fontId="43" fillId="8" borderId="0" xfId="0" applyFont="1" applyFill="1"/>
    <xf numFmtId="0" fontId="43" fillId="8" borderId="2" xfId="0" applyFont="1" applyFill="1" applyBorder="1"/>
    <xf numFmtId="204" fontId="29" fillId="3" borderId="18" xfId="0" applyNumberFormat="1" applyFont="1" applyFill="1" applyBorder="1"/>
    <xf numFmtId="167" fontId="29" fillId="3" borderId="18" xfId="1" applyNumberFormat="1" applyFont="1" applyFill="1" applyBorder="1"/>
    <xf numFmtId="196" fontId="24" fillId="0" borderId="19" xfId="0" applyNumberFormat="1" applyFont="1" applyBorder="1"/>
    <xf numFmtId="167" fontId="27" fillId="3" borderId="14" xfId="1" applyNumberFormat="1" applyFont="1" applyFill="1" applyBorder="1"/>
    <xf numFmtId="196" fontId="25" fillId="5" borderId="0" xfId="0" applyNumberFormat="1" applyFont="1" applyFill="1"/>
    <xf numFmtId="191" fontId="25" fillId="5" borderId="0" xfId="0" applyNumberFormat="1" applyFont="1" applyFill="1"/>
    <xf numFmtId="167" fontId="49" fillId="5" borderId="0" xfId="1" applyNumberFormat="1" applyFont="1" applyFill="1" applyBorder="1"/>
    <xf numFmtId="167" fontId="25" fillId="5" borderId="0" xfId="1" applyNumberFormat="1" applyFont="1" applyFill="1" applyBorder="1"/>
    <xf numFmtId="0" fontId="24" fillId="0" borderId="19" xfId="0" applyFont="1" applyBorder="1" applyAlignment="1">
      <alignment horizontal="left" indent="2"/>
    </xf>
    <xf numFmtId="196" fontId="28" fillId="3" borderId="9" xfId="0" applyNumberFormat="1" applyFont="1" applyFill="1" applyBorder="1"/>
    <xf numFmtId="196" fontId="25" fillId="0" borderId="19" xfId="0" applyNumberFormat="1" applyFont="1" applyBorder="1"/>
    <xf numFmtId="167" fontId="49" fillId="0" borderId="0" xfId="1" applyNumberFormat="1" applyFont="1" applyFill="1" applyBorder="1"/>
    <xf numFmtId="203" fontId="24" fillId="0" borderId="0" xfId="0" applyNumberFormat="1" applyFont="1"/>
    <xf numFmtId="0" fontId="24" fillId="0" borderId="0" xfId="0" applyFont="1" applyAlignment="1">
      <alignment horizontal="left" indent="3"/>
    </xf>
    <xf numFmtId="198" fontId="26" fillId="0" borderId="0" xfId="0" applyNumberFormat="1" applyFont="1"/>
    <xf numFmtId="199" fontId="29" fillId="3" borderId="28" xfId="0" applyNumberFormat="1" applyFont="1" applyFill="1" applyBorder="1"/>
    <xf numFmtId="167" fontId="47" fillId="5" borderId="0" xfId="1" applyNumberFormat="1" applyFont="1" applyFill="1" applyBorder="1"/>
    <xf numFmtId="200" fontId="26" fillId="0" borderId="0" xfId="0" applyNumberFormat="1" applyFont="1"/>
    <xf numFmtId="199" fontId="29" fillId="3" borderId="20" xfId="0" applyNumberFormat="1" applyFont="1" applyFill="1" applyBorder="1"/>
    <xf numFmtId="196" fontId="27" fillId="3" borderId="20" xfId="0" applyNumberFormat="1" applyFont="1" applyFill="1" applyBorder="1"/>
    <xf numFmtId="9" fontId="25" fillId="5" borderId="0" xfId="1" applyFont="1" applyFill="1" applyBorder="1"/>
    <xf numFmtId="199" fontId="29" fillId="3" borderId="27" xfId="0" applyNumberFormat="1" applyFont="1" applyFill="1" applyBorder="1"/>
    <xf numFmtId="192" fontId="25" fillId="5" borderId="0" xfId="0" applyNumberFormat="1" applyFont="1" applyFill="1"/>
    <xf numFmtId="9" fontId="24" fillId="0" borderId="0" xfId="1" applyFont="1" applyFill="1" applyBorder="1"/>
    <xf numFmtId="193" fontId="27" fillId="3" borderId="28" xfId="0" applyNumberFormat="1" applyFont="1" applyFill="1" applyBorder="1"/>
    <xf numFmtId="198" fontId="28" fillId="3" borderId="27" xfId="0" applyNumberFormat="1" applyFont="1" applyFill="1" applyBorder="1"/>
    <xf numFmtId="198" fontId="29" fillId="3" borderId="27" xfId="0" applyNumberFormat="1" applyFont="1" applyFill="1" applyBorder="1"/>
    <xf numFmtId="167" fontId="25" fillId="2" borderId="0" xfId="1" applyNumberFormat="1" applyFont="1" applyFill="1" applyBorder="1"/>
    <xf numFmtId="198" fontId="49" fillId="5" borderId="0" xfId="0" applyNumberFormat="1" applyFont="1" applyFill="1"/>
    <xf numFmtId="198" fontId="28" fillId="3" borderId="29" xfId="0" applyNumberFormat="1" applyFont="1" applyFill="1" applyBorder="1"/>
    <xf numFmtId="198" fontId="29" fillId="3" borderId="29" xfId="0" applyNumberFormat="1" applyFont="1" applyFill="1" applyBorder="1"/>
    <xf numFmtId="192" fontId="26" fillId="0" borderId="0" xfId="0" applyNumberFormat="1" applyFont="1"/>
    <xf numFmtId="192" fontId="49" fillId="5" borderId="0" xfId="0" applyNumberFormat="1" applyFont="1" applyFill="1"/>
    <xf numFmtId="197" fontId="25" fillId="0" borderId="0" xfId="0" applyNumberFormat="1" applyFont="1"/>
    <xf numFmtId="197" fontId="26" fillId="0" borderId="0" xfId="0" applyNumberFormat="1" applyFont="1"/>
    <xf numFmtId="198" fontId="29" fillId="0" borderId="0" xfId="0" applyNumberFormat="1" applyFont="1"/>
    <xf numFmtId="174" fontId="13" fillId="0" borderId="0" xfId="0" applyNumberFormat="1" applyFont="1"/>
    <xf numFmtId="9" fontId="13" fillId="0" borderId="0" xfId="1" applyFont="1" applyBorder="1" applyAlignment="1">
      <alignment horizontal="right"/>
    </xf>
    <xf numFmtId="185" fontId="26" fillId="0" borderId="0" xfId="1" applyNumberFormat="1" applyFont="1" applyBorder="1"/>
    <xf numFmtId="185" fontId="26" fillId="0" borderId="0" xfId="1" applyNumberFormat="1" applyFont="1" applyBorder="1" applyAlignment="1">
      <alignment horizontal="right"/>
    </xf>
    <xf numFmtId="185" fontId="53" fillId="0" borderId="0" xfId="0" applyNumberFormat="1" applyFont="1"/>
    <xf numFmtId="167" fontId="52" fillId="0" borderId="0" xfId="1" applyNumberFormat="1" applyFont="1" applyBorder="1"/>
    <xf numFmtId="167" fontId="26" fillId="0" borderId="0" xfId="1" applyNumberFormat="1" applyFont="1" applyBorder="1"/>
    <xf numFmtId="180" fontId="24" fillId="0" borderId="0" xfId="0" applyNumberFormat="1" applyFont="1"/>
    <xf numFmtId="180" fontId="27" fillId="0" borderId="19" xfId="0" applyNumberFormat="1" applyFont="1" applyBorder="1"/>
    <xf numFmtId="191" fontId="24" fillId="0" borderId="19" xfId="0" applyNumberFormat="1" applyFont="1" applyBorder="1"/>
    <xf numFmtId="0" fontId="46" fillId="0" borderId="0" xfId="0" applyFont="1" applyAlignment="1">
      <alignment horizontal="left"/>
    </xf>
    <xf numFmtId="196" fontId="29" fillId="3" borderId="28" xfId="0" applyNumberFormat="1" applyFont="1" applyFill="1" applyBorder="1"/>
    <xf numFmtId="196" fontId="29" fillId="3" borderId="29" xfId="0" applyNumberFormat="1" applyFont="1" applyFill="1" applyBorder="1"/>
    <xf numFmtId="188" fontId="24" fillId="9" borderId="0" xfId="0" applyNumberFormat="1" applyFont="1" applyFill="1"/>
    <xf numFmtId="188" fontId="24" fillId="9" borderId="0" xfId="0" applyNumberFormat="1" applyFont="1" applyFill="1" applyAlignment="1">
      <alignment horizontal="right"/>
    </xf>
    <xf numFmtId="196" fontId="29" fillId="0" borderId="16" xfId="0" applyNumberFormat="1" applyFont="1" applyBorder="1"/>
    <xf numFmtId="9" fontId="24" fillId="0" borderId="0" xfId="1" applyFont="1" applyBorder="1" applyAlignment="1">
      <alignment horizontal="left" indent="2"/>
    </xf>
    <xf numFmtId="0" fontId="26" fillId="0" borderId="0" xfId="0" applyFont="1" applyAlignment="1">
      <alignment horizontal="left" indent="2"/>
    </xf>
    <xf numFmtId="0" fontId="24" fillId="0" borderId="16" xfId="0" applyFont="1" applyBorder="1" applyAlignment="1">
      <alignment horizontal="left" indent="2"/>
    </xf>
    <xf numFmtId="167" fontId="26" fillId="0" borderId="16" xfId="1" applyNumberFormat="1" applyFont="1" applyFill="1" applyBorder="1"/>
    <xf numFmtId="196" fontId="24" fillId="0" borderId="16" xfId="0" applyNumberFormat="1" applyFont="1" applyBorder="1"/>
    <xf numFmtId="1" fontId="28" fillId="5" borderId="0" xfId="1" applyNumberFormat="1" applyFont="1" applyFill="1" applyBorder="1"/>
    <xf numFmtId="10" fontId="33" fillId="0" borderId="0" xfId="1" applyNumberFormat="1" applyFont="1" applyBorder="1"/>
    <xf numFmtId="10" fontId="24" fillId="0" borderId="0" xfId="1" applyNumberFormat="1" applyFont="1" applyFill="1" applyBorder="1"/>
    <xf numFmtId="184" fontId="26" fillId="0" borderId="0" xfId="0" applyNumberFormat="1" applyFont="1"/>
    <xf numFmtId="184" fontId="25" fillId="5" borderId="0" xfId="0" applyNumberFormat="1" applyFont="1" applyFill="1"/>
    <xf numFmtId="183" fontId="37" fillId="5" borderId="0" xfId="0" applyNumberFormat="1" applyFont="1" applyFill="1" applyAlignment="1">
      <alignment horizontal="right"/>
    </xf>
    <xf numFmtId="182" fontId="37" fillId="5" borderId="0" xfId="0" applyNumberFormat="1" applyFont="1" applyFill="1" applyAlignment="1">
      <alignment horizontal="right"/>
    </xf>
    <xf numFmtId="191" fontId="24" fillId="2" borderId="0" xfId="0" applyNumberFormat="1" applyFont="1" applyFill="1"/>
    <xf numFmtId="165" fontId="24" fillId="0" borderId="0" xfId="0" applyNumberFormat="1" applyFont="1"/>
    <xf numFmtId="183" fontId="25" fillId="0" borderId="0" xfId="0" applyNumberFormat="1" applyFont="1"/>
    <xf numFmtId="183" fontId="25" fillId="5" borderId="0" xfId="0" applyNumberFormat="1" applyFont="1" applyFill="1"/>
    <xf numFmtId="0" fontId="25" fillId="0" borderId="0" xfId="0" applyFont="1" applyAlignment="1">
      <alignment horizontal="right"/>
    </xf>
    <xf numFmtId="0" fontId="25" fillId="5" borderId="0" xfId="0" applyFont="1" applyFill="1" applyAlignment="1">
      <alignment horizontal="right"/>
    </xf>
    <xf numFmtId="178" fontId="35" fillId="0" borderId="0" xfId="0" applyNumberFormat="1" applyFont="1"/>
    <xf numFmtId="194" fontId="26" fillId="2" borderId="0" xfId="0" applyNumberFormat="1" applyFont="1" applyFill="1"/>
    <xf numFmtId="196" fontId="27" fillId="3" borderId="17" xfId="0" applyNumberFormat="1" applyFont="1" applyFill="1" applyBorder="1"/>
    <xf numFmtId="0" fontId="24" fillId="0" borderId="6" xfId="0" applyFont="1" applyBorder="1" applyAlignment="1">
      <alignment horizontal="left" indent="3"/>
    </xf>
    <xf numFmtId="196" fontId="26" fillId="7" borderId="0" xfId="0" applyNumberFormat="1" applyFont="1" applyFill="1"/>
    <xf numFmtId="10" fontId="41" fillId="5" borderId="0" xfId="1" applyNumberFormat="1" applyFont="1" applyFill="1" applyBorder="1"/>
    <xf numFmtId="9" fontId="41" fillId="5" borderId="0" xfId="1" applyFont="1" applyFill="1" applyBorder="1"/>
    <xf numFmtId="9" fontId="38" fillId="0" borderId="0" xfId="1" applyFont="1" applyFill="1" applyBorder="1"/>
    <xf numFmtId="167" fontId="41" fillId="5" borderId="0" xfId="1" applyNumberFormat="1" applyFont="1" applyFill="1" applyBorder="1"/>
    <xf numFmtId="167" fontId="38" fillId="0" borderId="0" xfId="1" applyNumberFormat="1" applyFont="1" applyFill="1" applyBorder="1"/>
    <xf numFmtId="169" fontId="38" fillId="0" borderId="0" xfId="0" applyNumberFormat="1" applyFont="1"/>
    <xf numFmtId="10" fontId="48" fillId="0" borderId="0" xfId="1" applyNumberFormat="1" applyFont="1" applyFill="1" applyBorder="1"/>
    <xf numFmtId="196" fontId="13" fillId="0" borderId="0" xfId="1" applyNumberFormat="1" applyFont="1" applyBorder="1"/>
    <xf numFmtId="192" fontId="13" fillId="0" borderId="0" xfId="1" applyNumberFormat="1" applyFont="1" applyBorder="1" applyAlignment="1">
      <alignment horizontal="right"/>
    </xf>
    <xf numFmtId="196" fontId="28" fillId="3" borderId="0" xfId="0" applyNumberFormat="1" applyFont="1" applyFill="1"/>
    <xf numFmtId="196" fontId="24" fillId="5" borderId="0" xfId="0" applyNumberFormat="1" applyFont="1" applyFill="1"/>
    <xf numFmtId="204" fontId="25" fillId="0" borderId="0" xfId="0" applyNumberFormat="1" applyFont="1"/>
    <xf numFmtId="196" fontId="0" fillId="0" borderId="0" xfId="0" applyNumberFormat="1"/>
    <xf numFmtId="205" fontId="24" fillId="0" borderId="0" xfId="0" applyNumberFormat="1" applyFont="1"/>
    <xf numFmtId="0" fontId="0" fillId="0" borderId="0" xfId="0" applyAlignment="1">
      <alignment horizontal="left" indent="2"/>
    </xf>
    <xf numFmtId="196" fontId="29" fillId="3" borderId="12" xfId="0" applyNumberFormat="1" applyFont="1" applyFill="1" applyBorder="1"/>
    <xf numFmtId="204" fontId="24" fillId="0" borderId="0" xfId="0" applyNumberFormat="1" applyFont="1"/>
    <xf numFmtId="204" fontId="25" fillId="5" borderId="0" xfId="0" applyNumberFormat="1" applyFont="1" applyFill="1"/>
    <xf numFmtId="202" fontId="29" fillId="6" borderId="0" xfId="0" applyNumberFormat="1" applyFont="1" applyFill="1"/>
    <xf numFmtId="202" fontId="25" fillId="5" borderId="0" xfId="0" applyNumberFormat="1" applyFont="1" applyFill="1"/>
  </cellXfs>
  <cellStyles count="2">
    <cellStyle name="Normal" xfId="0" builtinId="0"/>
    <cellStyle name="Percent" xfId="1" builtinId="5"/>
  </cellStyles>
  <dxfs count="0"/>
  <tableStyles count="0" defaultTableStyle="TableStyleMedium2" defaultPivotStyle="PivotStyleLight16"/>
  <colors>
    <mruColors>
      <color rgb="FFFFF5D2"/>
      <color rgb="FFA6A6A6"/>
      <color rgb="FF008C95"/>
      <color rgb="FF7896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a:t>ASOS -</a:t>
            </a:r>
            <a:r>
              <a:rPr lang="en-GB" baseline="0"/>
              <a:t> Revenue and Gross Profit</a:t>
            </a:r>
          </a:p>
          <a:p>
            <a:pPr algn="l">
              <a:defRPr/>
            </a:pPr>
            <a:r>
              <a:rPr lang="en-GB" sz="1000" baseline="0"/>
              <a:t>Forecasted from FY2026 onwards</a:t>
            </a:r>
            <a:endParaRPr lang="en-GB" sz="1000"/>
          </a:p>
        </c:rich>
      </c:tx>
      <c:layout>
        <c:manualLayout>
          <c:xMode val="edge"/>
          <c:yMode val="edge"/>
          <c:x val="2.3206574731856798E-2"/>
          <c:y val="2.779708130646282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Model!$B$10:$E$10</c:f>
              <c:strCache>
                <c:ptCount val="4"/>
                <c:pt idx="0">
                  <c:v>Revenue</c:v>
                </c:pt>
              </c:strCache>
            </c:strRef>
          </c:tx>
          <c:spPr>
            <a:solidFill>
              <a:schemeClr val="tx2">
                <a:lumMod val="75000"/>
                <a:lumOff val="25000"/>
              </a:schemeClr>
            </a:solidFill>
            <a:ln>
              <a:noFill/>
            </a:ln>
            <a:effectLst/>
          </c:spPr>
          <c:invertIfNegative val="0"/>
          <c:dLbls>
            <c:dLbl>
              <c:idx val="0"/>
              <c:layout>
                <c:manualLayout>
                  <c:x val="3.90352711557228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CB1-4832-8C31-E14546F2B270}"/>
                </c:ext>
              </c:extLst>
            </c:dLbl>
            <c:dLbl>
              <c:idx val="1"/>
              <c:layout>
                <c:manualLayout>
                  <c:x val="3.624703750174259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CB1-4832-8C31-E14546F2B270}"/>
                </c:ext>
              </c:extLst>
            </c:dLbl>
            <c:dLbl>
              <c:idx val="2"/>
              <c:layout>
                <c:manualLayout>
                  <c:x val="4.182350480970300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CB1-4832-8C31-E14546F2B270}"/>
                </c:ext>
              </c:extLst>
            </c:dLbl>
            <c:dLbl>
              <c:idx val="3"/>
              <c:layout>
                <c:manualLayout>
                  <c:x val="3.0670570193782137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CB1-4832-8C31-E14546F2B270}"/>
                </c:ext>
              </c:extLst>
            </c:dLbl>
            <c:dLbl>
              <c:idx val="4"/>
              <c:layout>
                <c:manualLayout>
                  <c:x val="3.6247037501742643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CB1-4832-8C31-E14546F2B270}"/>
                </c:ext>
              </c:extLst>
            </c:dLbl>
            <c:dLbl>
              <c:idx val="5"/>
              <c:layout>
                <c:manualLayout>
                  <c:x val="4.182350480970305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CB1-4832-8C31-E14546F2B270}"/>
                </c:ext>
              </c:extLst>
            </c:dLbl>
            <c:dLbl>
              <c:idx val="6"/>
              <c:layout>
                <c:manualLayout>
                  <c:x val="3.34588038477624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CB1-4832-8C31-E14546F2B270}"/>
                </c:ext>
              </c:extLst>
            </c:dLbl>
            <c:numFmt formatCode="&quot;£&quot;#,##0,,&quot;m&quot;;\(&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Model!$F$7:$L$7</c:f>
              <c:numCache>
                <c:formatCode>0"H"</c:formatCode>
                <c:ptCount val="7"/>
                <c:pt idx="0">
                  <c:v>2024</c:v>
                </c:pt>
                <c:pt idx="1">
                  <c:v>2025</c:v>
                </c:pt>
                <c:pt idx="2" formatCode="0&quot;F&quot;">
                  <c:v>2026</c:v>
                </c:pt>
                <c:pt idx="3" formatCode="0&quot;F&quot;">
                  <c:v>2027</c:v>
                </c:pt>
                <c:pt idx="4" formatCode="0&quot;F&quot;">
                  <c:v>2028</c:v>
                </c:pt>
                <c:pt idx="5" formatCode="0&quot;F&quot;">
                  <c:v>2029</c:v>
                </c:pt>
                <c:pt idx="6" formatCode="0&quot;F&quot;">
                  <c:v>2030</c:v>
                </c:pt>
              </c:numCache>
            </c:numRef>
          </c:cat>
          <c:val>
            <c:numRef>
              <c:f>Model!$F$10:$L$10</c:f>
              <c:numCache>
                <c:formatCode>"£"#,##0.0,,"m";\("£"#,##0.0,,"m"\);\–</c:formatCode>
                <c:ptCount val="7"/>
                <c:pt idx="0">
                  <c:v>2905800000</c:v>
                </c:pt>
                <c:pt idx="1">
                  <c:v>2477800000</c:v>
                </c:pt>
                <c:pt idx="2">
                  <c:v>2469127153.1470585</c:v>
                </c:pt>
                <c:pt idx="3">
                  <c:v>2475342692.2221179</c:v>
                </c:pt>
                <c:pt idx="4">
                  <c:v>2554802143.7576699</c:v>
                </c:pt>
                <c:pt idx="5">
                  <c:v>2676004829.4055157</c:v>
                </c:pt>
                <c:pt idx="6">
                  <c:v>2843024848.793159</c:v>
                </c:pt>
              </c:numCache>
            </c:numRef>
          </c:val>
          <c:extLst>
            <c:ext xmlns:c16="http://schemas.microsoft.com/office/drawing/2014/chart" uri="{C3380CC4-5D6E-409C-BE32-E72D297353CC}">
              <c16:uniqueId val="{00000000-8CB1-4832-8C31-E14546F2B270}"/>
            </c:ext>
          </c:extLst>
        </c:ser>
        <c:ser>
          <c:idx val="1"/>
          <c:order val="1"/>
          <c:tx>
            <c:strRef>
              <c:f>Model!$B$12:$E$12</c:f>
              <c:strCache>
                <c:ptCount val="4"/>
                <c:pt idx="0">
                  <c:v>Gross profit</c:v>
                </c:pt>
              </c:strCache>
            </c:strRef>
          </c:tx>
          <c:spPr>
            <a:solidFill>
              <a:srgbClr val="A6A6A6"/>
            </a:solidFill>
            <a:ln>
              <a:noFill/>
            </a:ln>
            <a:effectLst/>
          </c:spPr>
          <c:invertIfNegative val="0"/>
          <c:dLbls>
            <c:dLbl>
              <c:idx val="0"/>
              <c:layout>
                <c:manualLayout>
                  <c:x val="2.2296544035674444E-2"/>
                  <c:y val="0"/>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99D47C75-AB14-4C10-B18E-B1CA9CC825DE}" type="CELLRANGE">
                      <a:rPr lang="en-US"/>
                      <a:pPr>
                        <a:defRPr/>
                      </a:pPr>
                      <a:t>[CELLRANGE]</a:t>
                    </a:fld>
                    <a:endParaRPr lang="en-GB"/>
                  </a:p>
                </c:rich>
              </c:tx>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CB1-4832-8C31-E14546F2B270}"/>
                </c:ext>
              </c:extLst>
            </c:dLbl>
            <c:dLbl>
              <c:idx val="1"/>
              <c:layout>
                <c:manualLayout>
                  <c:x val="2.508361204013378E-2"/>
                  <c:y val="0"/>
                </c:manualLayout>
              </c:layout>
              <c:tx>
                <c:rich>
                  <a:bodyPr/>
                  <a:lstStyle/>
                  <a:p>
                    <a:fld id="{8DEFC380-A728-488B-AE53-47278479F23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CB1-4832-8C31-E14546F2B270}"/>
                </c:ext>
              </c:extLst>
            </c:dLbl>
            <c:dLbl>
              <c:idx val="2"/>
              <c:layout>
                <c:manualLayout>
                  <c:x val="2.7870680044593036E-2"/>
                  <c:y val="0"/>
                </c:manualLayout>
              </c:layout>
              <c:tx>
                <c:rich>
                  <a:bodyPr/>
                  <a:lstStyle/>
                  <a:p>
                    <a:fld id="{E9C5B209-731E-4F25-84CD-DDC2FAE195C9}"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CB1-4832-8C31-E14546F2B270}"/>
                </c:ext>
              </c:extLst>
            </c:dLbl>
            <c:dLbl>
              <c:idx val="3"/>
              <c:layout>
                <c:manualLayout>
                  <c:x val="2.7870680044593088E-2"/>
                  <c:y val="0"/>
                </c:manualLayout>
              </c:layout>
              <c:tx>
                <c:rich>
                  <a:bodyPr/>
                  <a:lstStyle/>
                  <a:p>
                    <a:fld id="{81051F03-3B49-46D7-B6F3-40AB509E213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CB1-4832-8C31-E14546F2B270}"/>
                </c:ext>
              </c:extLst>
            </c:dLbl>
            <c:dLbl>
              <c:idx val="4"/>
              <c:layout>
                <c:manualLayout>
                  <c:x val="2.508361204013378E-2"/>
                  <c:y val="-8.4757843493059586E-17"/>
                </c:manualLayout>
              </c:layout>
              <c:tx>
                <c:rich>
                  <a:bodyPr/>
                  <a:lstStyle/>
                  <a:p>
                    <a:fld id="{A659EA5B-5C92-4019-8F9D-055AFE6B012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CB1-4832-8C31-E14546F2B270}"/>
                </c:ext>
              </c:extLst>
            </c:dLbl>
            <c:dLbl>
              <c:idx val="5"/>
              <c:layout>
                <c:manualLayout>
                  <c:x val="2.5083612040133676E-2"/>
                  <c:y val="0"/>
                </c:manualLayout>
              </c:layout>
              <c:tx>
                <c:rich>
                  <a:bodyPr/>
                  <a:lstStyle/>
                  <a:p>
                    <a:fld id="{620C5630-BD00-4491-A11F-89D6C300A2F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CB1-4832-8C31-E14546F2B270}"/>
                </c:ext>
              </c:extLst>
            </c:dLbl>
            <c:dLbl>
              <c:idx val="6"/>
              <c:layout>
                <c:manualLayout>
                  <c:x val="2.508361204013378E-2"/>
                  <c:y val="0"/>
                </c:manualLayout>
              </c:layout>
              <c:tx>
                <c:rich>
                  <a:bodyPr/>
                  <a:lstStyle/>
                  <a:p>
                    <a:fld id="{79C11769-184C-4266-851B-3FEAA622726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CB1-4832-8C31-E14546F2B2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Model!$F$7:$L$7</c:f>
              <c:numCache>
                <c:formatCode>0"H"</c:formatCode>
                <c:ptCount val="7"/>
                <c:pt idx="0">
                  <c:v>2024</c:v>
                </c:pt>
                <c:pt idx="1">
                  <c:v>2025</c:v>
                </c:pt>
                <c:pt idx="2" formatCode="0&quot;F&quot;">
                  <c:v>2026</c:v>
                </c:pt>
                <c:pt idx="3" formatCode="0&quot;F&quot;">
                  <c:v>2027</c:v>
                </c:pt>
                <c:pt idx="4" formatCode="0&quot;F&quot;">
                  <c:v>2028</c:v>
                </c:pt>
                <c:pt idx="5" formatCode="0&quot;F&quot;">
                  <c:v>2029</c:v>
                </c:pt>
                <c:pt idx="6" formatCode="0&quot;F&quot;">
                  <c:v>2030</c:v>
                </c:pt>
              </c:numCache>
            </c:numRef>
          </c:cat>
          <c:val>
            <c:numRef>
              <c:f>Model!$F$12:$L$12</c:f>
              <c:numCache>
                <c:formatCode>"£"#,##0.0,,"m";\("£"#,##0.0,,"m"\);\–</c:formatCode>
                <c:ptCount val="7"/>
                <c:pt idx="0">
                  <c:v>1162500000</c:v>
                </c:pt>
                <c:pt idx="1">
                  <c:v>1166700000</c:v>
                </c:pt>
                <c:pt idx="2">
                  <c:v>1148571794.6911762</c:v>
                </c:pt>
                <c:pt idx="3">
                  <c:v>1156388006.9280002</c:v>
                </c:pt>
                <c:pt idx="4">
                  <c:v>1196278817.9047284</c:v>
                </c:pt>
                <c:pt idx="5">
                  <c:v>1254862069.0015402</c:v>
                </c:pt>
                <c:pt idx="6">
                  <c:v>1334208511.9396462</c:v>
                </c:pt>
              </c:numCache>
            </c:numRef>
          </c:val>
          <c:extLst>
            <c:ext xmlns:c15="http://schemas.microsoft.com/office/drawing/2012/chart" uri="{02D57815-91ED-43cb-92C2-25804820EDAC}">
              <c15:datalabelsRange>
                <c15:f>Model!$F$13:$L$13</c15:f>
                <c15:dlblRangeCache>
                  <c:ptCount val="7"/>
                  <c:pt idx="0">
                    <c:v>40.0%</c:v>
                  </c:pt>
                  <c:pt idx="1">
                    <c:v>47.1%</c:v>
                  </c:pt>
                  <c:pt idx="2">
                    <c:v>46.5%</c:v>
                  </c:pt>
                  <c:pt idx="3">
                    <c:v>46.7%</c:v>
                  </c:pt>
                  <c:pt idx="4">
                    <c:v>46.8%</c:v>
                  </c:pt>
                  <c:pt idx="5">
                    <c:v>46.9%</c:v>
                  </c:pt>
                  <c:pt idx="6">
                    <c:v>46.9%</c:v>
                  </c:pt>
                </c15:dlblRangeCache>
              </c15:datalabelsRange>
            </c:ext>
            <c:ext xmlns:c16="http://schemas.microsoft.com/office/drawing/2014/chart" uri="{C3380CC4-5D6E-409C-BE32-E72D297353CC}">
              <c16:uniqueId val="{00000001-8CB1-4832-8C31-E14546F2B270}"/>
            </c:ext>
          </c:extLst>
        </c:ser>
        <c:dLbls>
          <c:showLegendKey val="0"/>
          <c:showVal val="0"/>
          <c:showCatName val="0"/>
          <c:showSerName val="0"/>
          <c:showPercent val="0"/>
          <c:showBubbleSize val="0"/>
        </c:dLbls>
        <c:gapWidth val="219"/>
        <c:overlap val="-27"/>
        <c:axId val="1011291759"/>
        <c:axId val="643950352"/>
      </c:barChart>
      <c:catAx>
        <c:axId val="1011291759"/>
        <c:scaling>
          <c:orientation val="minMax"/>
        </c:scaling>
        <c:delete val="0"/>
        <c:axPos val="b"/>
        <c:numFmt formatCode="0&quot;H&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950352"/>
        <c:crosses val="autoZero"/>
        <c:auto val="1"/>
        <c:lblAlgn val="ctr"/>
        <c:lblOffset val="100"/>
        <c:noMultiLvlLbl val="0"/>
      </c:catAx>
      <c:valAx>
        <c:axId val="643950352"/>
        <c:scaling>
          <c:orientation val="minMax"/>
        </c:scaling>
        <c:delete val="0"/>
        <c:axPos val="l"/>
        <c:majorGridlines>
          <c:spPr>
            <a:ln w="9525" cap="flat" cmpd="sng" algn="ctr">
              <a:solidFill>
                <a:schemeClr val="bg1">
                  <a:lumMod val="85000"/>
                </a:schemeClr>
              </a:solidFill>
              <a:round/>
            </a:ln>
            <a:effectLst/>
          </c:spPr>
        </c:majorGridlines>
        <c:numFmt formatCode="&quot;£&quot;#,##0,,&quot;m&quot;;\(&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291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a:t>ASOS -</a:t>
            </a:r>
            <a:r>
              <a:rPr lang="en-GB" baseline="0"/>
              <a:t> Operating Performance</a:t>
            </a:r>
          </a:p>
          <a:p>
            <a:pPr algn="l">
              <a:defRPr/>
            </a:pPr>
            <a:r>
              <a:rPr lang="en-GB" sz="1000" baseline="0"/>
              <a:t>Indexed to FY2024 = 100</a:t>
            </a:r>
          </a:p>
        </c:rich>
      </c:tx>
      <c:layout>
        <c:manualLayout>
          <c:xMode val="edge"/>
          <c:yMode val="edge"/>
          <c:x val="0.10028455818022748"/>
          <c:y val="2.781641168289290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Charts!$B$3</c:f>
              <c:strCache>
                <c:ptCount val="1"/>
                <c:pt idx="0">
                  <c:v>Active Customers</c:v>
                </c:pt>
              </c:strCache>
            </c:strRef>
          </c:tx>
          <c:spPr>
            <a:ln w="28575" cap="rnd">
              <a:solidFill>
                <a:srgbClr val="008C95"/>
              </a:solidFill>
              <a:round/>
            </a:ln>
            <a:effectLst/>
          </c:spPr>
          <c:marker>
            <c:symbol val="none"/>
          </c:marker>
          <c:cat>
            <c:numRef>
              <c:f>Charts!$C$2:$I$2</c:f>
              <c:numCache>
                <c:formatCode>"FY"0</c:formatCode>
                <c:ptCount val="7"/>
                <c:pt idx="0">
                  <c:v>2024</c:v>
                </c:pt>
                <c:pt idx="1">
                  <c:v>2025</c:v>
                </c:pt>
                <c:pt idx="2">
                  <c:v>2026</c:v>
                </c:pt>
                <c:pt idx="3">
                  <c:v>2027</c:v>
                </c:pt>
                <c:pt idx="4">
                  <c:v>2028</c:v>
                </c:pt>
                <c:pt idx="5">
                  <c:v>2029</c:v>
                </c:pt>
                <c:pt idx="6">
                  <c:v>2030</c:v>
                </c:pt>
              </c:numCache>
            </c:numRef>
          </c:cat>
          <c:val>
            <c:numRef>
              <c:f>Charts!$C$3:$I$3</c:f>
              <c:numCache>
                <c:formatCode>0</c:formatCode>
                <c:ptCount val="7"/>
                <c:pt idx="0">
                  <c:v>100</c:v>
                </c:pt>
                <c:pt idx="1">
                  <c:v>86.294416243654823</c:v>
                </c:pt>
                <c:pt idx="2">
                  <c:v>83.756345177664969</c:v>
                </c:pt>
                <c:pt idx="3">
                  <c:v>81.218274111675129</c:v>
                </c:pt>
                <c:pt idx="4">
                  <c:v>81.218274111675129</c:v>
                </c:pt>
                <c:pt idx="5">
                  <c:v>82.487309644670049</c:v>
                </c:pt>
                <c:pt idx="6">
                  <c:v>85.025380710659903</c:v>
                </c:pt>
              </c:numCache>
            </c:numRef>
          </c:val>
          <c:smooth val="0"/>
          <c:extLst>
            <c:ext xmlns:c16="http://schemas.microsoft.com/office/drawing/2014/chart" uri="{C3380CC4-5D6E-409C-BE32-E72D297353CC}">
              <c16:uniqueId val="{00000000-6054-40BB-8AE2-4F1F2DE64A71}"/>
            </c:ext>
          </c:extLst>
        </c:ser>
        <c:ser>
          <c:idx val="1"/>
          <c:order val="1"/>
          <c:tx>
            <c:strRef>
              <c:f>Charts!$B$4</c:f>
              <c:strCache>
                <c:ptCount val="1"/>
                <c:pt idx="0">
                  <c:v>Orders</c:v>
                </c:pt>
              </c:strCache>
            </c:strRef>
          </c:tx>
          <c:spPr>
            <a:ln w="28575" cap="rnd">
              <a:solidFill>
                <a:srgbClr val="A6A6A6"/>
              </a:solidFill>
              <a:round/>
            </a:ln>
            <a:effectLst/>
          </c:spPr>
          <c:marker>
            <c:symbol val="none"/>
          </c:marker>
          <c:cat>
            <c:numRef>
              <c:f>Charts!$C$2:$I$2</c:f>
              <c:numCache>
                <c:formatCode>"FY"0</c:formatCode>
                <c:ptCount val="7"/>
                <c:pt idx="0">
                  <c:v>2024</c:v>
                </c:pt>
                <c:pt idx="1">
                  <c:v>2025</c:v>
                </c:pt>
                <c:pt idx="2">
                  <c:v>2026</c:v>
                </c:pt>
                <c:pt idx="3">
                  <c:v>2027</c:v>
                </c:pt>
                <c:pt idx="4">
                  <c:v>2028</c:v>
                </c:pt>
                <c:pt idx="5">
                  <c:v>2029</c:v>
                </c:pt>
                <c:pt idx="6">
                  <c:v>2030</c:v>
                </c:pt>
              </c:numCache>
            </c:numRef>
          </c:cat>
          <c:val>
            <c:numRef>
              <c:f>Charts!$C$4:$I$4</c:f>
              <c:numCache>
                <c:formatCode>0</c:formatCode>
                <c:ptCount val="7"/>
                <c:pt idx="0">
                  <c:v>100</c:v>
                </c:pt>
                <c:pt idx="1">
                  <c:v>83.82352941176471</c:v>
                </c:pt>
                <c:pt idx="2">
                  <c:v>81.358131487889267</c:v>
                </c:pt>
                <c:pt idx="3">
                  <c:v>78.892733564013852</c:v>
                </c:pt>
                <c:pt idx="4">
                  <c:v>78.892733564013852</c:v>
                </c:pt>
                <c:pt idx="5">
                  <c:v>80.125432525951553</c:v>
                </c:pt>
                <c:pt idx="6">
                  <c:v>82.590830449826996</c:v>
                </c:pt>
              </c:numCache>
            </c:numRef>
          </c:val>
          <c:smooth val="0"/>
          <c:extLst>
            <c:ext xmlns:c16="http://schemas.microsoft.com/office/drawing/2014/chart" uri="{C3380CC4-5D6E-409C-BE32-E72D297353CC}">
              <c16:uniqueId val="{00000001-6054-40BB-8AE2-4F1F2DE64A71}"/>
            </c:ext>
          </c:extLst>
        </c:ser>
        <c:ser>
          <c:idx val="2"/>
          <c:order val="2"/>
          <c:tx>
            <c:strRef>
              <c:f>Charts!$B$5</c:f>
              <c:strCache>
                <c:ptCount val="1"/>
                <c:pt idx="0">
                  <c:v>GMV</c:v>
                </c:pt>
              </c:strCache>
            </c:strRef>
          </c:tx>
          <c:spPr>
            <a:ln w="28575" cap="rnd">
              <a:solidFill>
                <a:schemeClr val="accent1">
                  <a:lumMod val="75000"/>
                </a:schemeClr>
              </a:solidFill>
              <a:round/>
            </a:ln>
            <a:effectLst/>
          </c:spPr>
          <c:marker>
            <c:symbol val="none"/>
          </c:marker>
          <c:cat>
            <c:numRef>
              <c:f>Charts!$C$2:$I$2</c:f>
              <c:numCache>
                <c:formatCode>"FY"0</c:formatCode>
                <c:ptCount val="7"/>
                <c:pt idx="0">
                  <c:v>2024</c:v>
                </c:pt>
                <c:pt idx="1">
                  <c:v>2025</c:v>
                </c:pt>
                <c:pt idx="2">
                  <c:v>2026</c:v>
                </c:pt>
                <c:pt idx="3">
                  <c:v>2027</c:v>
                </c:pt>
                <c:pt idx="4">
                  <c:v>2028</c:v>
                </c:pt>
                <c:pt idx="5">
                  <c:v>2029</c:v>
                </c:pt>
                <c:pt idx="6">
                  <c:v>2030</c:v>
                </c:pt>
              </c:numCache>
            </c:numRef>
          </c:cat>
          <c:val>
            <c:numRef>
              <c:f>Charts!$C$5:$I$5</c:f>
              <c:numCache>
                <c:formatCode>0</c:formatCode>
                <c:ptCount val="7"/>
                <c:pt idx="0">
                  <c:v>100</c:v>
                </c:pt>
                <c:pt idx="1">
                  <c:v>84.183288779217207</c:v>
                </c:pt>
                <c:pt idx="2">
                  <c:v>84.087403744964988</c:v>
                </c:pt>
                <c:pt idx="3">
                  <c:v>84.311636821618237</c:v>
                </c:pt>
                <c:pt idx="4">
                  <c:v>87.178232473553265</c:v>
                </c:pt>
                <c:pt idx="5">
                  <c:v>91.55076569605491</c:v>
                </c:pt>
                <c:pt idx="6">
                  <c:v>97.576214552173738</c:v>
                </c:pt>
              </c:numCache>
            </c:numRef>
          </c:val>
          <c:smooth val="0"/>
          <c:extLst>
            <c:ext xmlns:c16="http://schemas.microsoft.com/office/drawing/2014/chart" uri="{C3380CC4-5D6E-409C-BE32-E72D297353CC}">
              <c16:uniqueId val="{00000002-6054-40BB-8AE2-4F1F2DE64A71}"/>
            </c:ext>
          </c:extLst>
        </c:ser>
        <c:dLbls>
          <c:showLegendKey val="0"/>
          <c:showVal val="0"/>
          <c:showCatName val="0"/>
          <c:showSerName val="0"/>
          <c:showPercent val="0"/>
          <c:showBubbleSize val="0"/>
        </c:dLbls>
        <c:smooth val="0"/>
        <c:axId val="1789127887"/>
        <c:axId val="643938832"/>
      </c:lineChart>
      <c:catAx>
        <c:axId val="1789127887"/>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938832"/>
        <c:crosses val="autoZero"/>
        <c:auto val="1"/>
        <c:lblAlgn val="ctr"/>
        <c:lblOffset val="100"/>
        <c:noMultiLvlLbl val="0"/>
      </c:catAx>
      <c:valAx>
        <c:axId val="643938832"/>
        <c:scaling>
          <c:orientation val="minMax"/>
          <c:max val="110"/>
          <c:min val="7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127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a:t>ASOS -</a:t>
            </a:r>
            <a:r>
              <a:rPr lang="en-GB" baseline="0"/>
              <a:t> Revenue and Gross Profit Margin</a:t>
            </a:r>
          </a:p>
          <a:p>
            <a:pPr algn="l">
              <a:defRPr/>
            </a:pPr>
            <a:r>
              <a:rPr lang="en-GB" sz="1000" baseline="0"/>
              <a:t>Forecasted from FY2026 onwards</a:t>
            </a:r>
            <a:endParaRPr lang="en-GB" sz="1000"/>
          </a:p>
        </c:rich>
      </c:tx>
      <c:layout>
        <c:manualLayout>
          <c:xMode val="edge"/>
          <c:yMode val="edge"/>
          <c:x val="2.3206574731856798E-2"/>
          <c:y val="2.779708130646282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Model!$B$10:$E$10</c:f>
              <c:strCache>
                <c:ptCount val="4"/>
                <c:pt idx="0">
                  <c:v>Revenue</c:v>
                </c:pt>
              </c:strCache>
            </c:strRef>
          </c:tx>
          <c:spPr>
            <a:solidFill>
              <a:schemeClr val="tx2">
                <a:lumMod val="75000"/>
                <a:lumOff val="25000"/>
              </a:schemeClr>
            </a:solidFill>
            <a:ln>
              <a:noFill/>
            </a:ln>
            <a:effectLst/>
          </c:spPr>
          <c:invertIfNegative val="0"/>
          <c:dLbls>
            <c:dLbl>
              <c:idx val="0"/>
              <c:layout>
                <c:manualLayout>
                  <c:x val="3.903527115572284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76-4BC8-89CD-7068C4364905}"/>
                </c:ext>
              </c:extLst>
            </c:dLbl>
            <c:dLbl>
              <c:idx val="1"/>
              <c:layout>
                <c:manualLayout>
                  <c:x val="3.624703750174259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76-4BC8-89CD-7068C4364905}"/>
                </c:ext>
              </c:extLst>
            </c:dLbl>
            <c:dLbl>
              <c:idx val="2"/>
              <c:layout>
                <c:manualLayout>
                  <c:x val="4.182350480970300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76-4BC8-89CD-7068C4364905}"/>
                </c:ext>
              </c:extLst>
            </c:dLbl>
            <c:dLbl>
              <c:idx val="3"/>
              <c:layout>
                <c:manualLayout>
                  <c:x val="3.0670570193782137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76-4BC8-89CD-7068C4364905}"/>
                </c:ext>
              </c:extLst>
            </c:dLbl>
            <c:dLbl>
              <c:idx val="4"/>
              <c:layout>
                <c:manualLayout>
                  <c:x val="3.6247037501742643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76-4BC8-89CD-7068C4364905}"/>
                </c:ext>
              </c:extLst>
            </c:dLbl>
            <c:dLbl>
              <c:idx val="5"/>
              <c:layout>
                <c:manualLayout>
                  <c:x val="4.182350480970305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76-4BC8-89CD-7068C4364905}"/>
                </c:ext>
              </c:extLst>
            </c:dLbl>
            <c:dLbl>
              <c:idx val="6"/>
              <c:layout>
                <c:manualLayout>
                  <c:x val="3.34588038477624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76-4BC8-89CD-7068C4364905}"/>
                </c:ext>
              </c:extLst>
            </c:dLbl>
            <c:numFmt formatCode="&quot;£&quot;#,##0,,&quot;m&quot;;\(&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Model!$F$7:$L$7</c:f>
              <c:numCache>
                <c:formatCode>0"H"</c:formatCode>
                <c:ptCount val="7"/>
                <c:pt idx="0">
                  <c:v>2024</c:v>
                </c:pt>
                <c:pt idx="1">
                  <c:v>2025</c:v>
                </c:pt>
                <c:pt idx="2" formatCode="0&quot;F&quot;">
                  <c:v>2026</c:v>
                </c:pt>
                <c:pt idx="3" formatCode="0&quot;F&quot;">
                  <c:v>2027</c:v>
                </c:pt>
                <c:pt idx="4" formatCode="0&quot;F&quot;">
                  <c:v>2028</c:v>
                </c:pt>
                <c:pt idx="5" formatCode="0&quot;F&quot;">
                  <c:v>2029</c:v>
                </c:pt>
                <c:pt idx="6" formatCode="0&quot;F&quot;">
                  <c:v>2030</c:v>
                </c:pt>
              </c:numCache>
            </c:numRef>
          </c:cat>
          <c:val>
            <c:numRef>
              <c:f>Model!$F$10:$L$10</c:f>
              <c:numCache>
                <c:formatCode>"£"#,##0.0,,"m";\("£"#,##0.0,,"m"\);\–</c:formatCode>
                <c:ptCount val="7"/>
                <c:pt idx="0">
                  <c:v>2905800000</c:v>
                </c:pt>
                <c:pt idx="1">
                  <c:v>2477800000</c:v>
                </c:pt>
                <c:pt idx="2">
                  <c:v>2469127153.1470585</c:v>
                </c:pt>
                <c:pt idx="3">
                  <c:v>2475342692.2221179</c:v>
                </c:pt>
                <c:pt idx="4">
                  <c:v>2554802143.7576699</c:v>
                </c:pt>
                <c:pt idx="5">
                  <c:v>2676004829.4055157</c:v>
                </c:pt>
                <c:pt idx="6">
                  <c:v>2843024848.793159</c:v>
                </c:pt>
              </c:numCache>
            </c:numRef>
          </c:val>
          <c:extLst>
            <c:ext xmlns:c16="http://schemas.microsoft.com/office/drawing/2014/chart" uri="{C3380CC4-5D6E-409C-BE32-E72D297353CC}">
              <c16:uniqueId val="{00000007-E376-4BC8-89CD-7068C4364905}"/>
            </c:ext>
          </c:extLst>
        </c:ser>
        <c:ser>
          <c:idx val="1"/>
          <c:order val="1"/>
          <c:tx>
            <c:strRef>
              <c:f>Model!$B$12:$E$12</c:f>
              <c:strCache>
                <c:ptCount val="4"/>
                <c:pt idx="0">
                  <c:v>Gross profit</c:v>
                </c:pt>
              </c:strCache>
            </c:strRef>
          </c:tx>
          <c:spPr>
            <a:solidFill>
              <a:srgbClr val="A6A6A6"/>
            </a:solidFill>
            <a:ln>
              <a:noFill/>
            </a:ln>
            <a:effectLst/>
          </c:spPr>
          <c:invertIfNegative val="0"/>
          <c:dLbls>
            <c:dLbl>
              <c:idx val="0"/>
              <c:layout>
                <c:manualLayout>
                  <c:x val="2.2296544035674444E-2"/>
                  <c:y val="0"/>
                </c:manualLayout>
              </c:layout>
              <c:tx>
                <c:rich>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fld id="{7FA31480-B064-4265-A530-F15E022BB33D}" type="CELLRANGE">
                      <a:rPr lang="en-US"/>
                      <a:pPr>
                        <a:defRPr/>
                      </a:pPr>
                      <a:t>[CELLRANGE]</a:t>
                    </a:fld>
                    <a:endParaRPr lang="en-GB"/>
                  </a:p>
                </c:rich>
              </c:tx>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376-4BC8-89CD-7068C4364905}"/>
                </c:ext>
              </c:extLst>
            </c:dLbl>
            <c:dLbl>
              <c:idx val="1"/>
              <c:layout>
                <c:manualLayout>
                  <c:x val="2.508361204013378E-2"/>
                  <c:y val="0"/>
                </c:manualLayout>
              </c:layout>
              <c:tx>
                <c:rich>
                  <a:bodyPr/>
                  <a:lstStyle/>
                  <a:p>
                    <a:fld id="{5B5620BC-1D9C-43F1-B401-7958BA875C5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376-4BC8-89CD-7068C4364905}"/>
                </c:ext>
              </c:extLst>
            </c:dLbl>
            <c:dLbl>
              <c:idx val="2"/>
              <c:layout>
                <c:manualLayout>
                  <c:x val="2.7870680044593036E-2"/>
                  <c:y val="0"/>
                </c:manualLayout>
              </c:layout>
              <c:tx>
                <c:rich>
                  <a:bodyPr/>
                  <a:lstStyle/>
                  <a:p>
                    <a:fld id="{21FB6123-D4C9-4B27-89ED-363047CF492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376-4BC8-89CD-7068C4364905}"/>
                </c:ext>
              </c:extLst>
            </c:dLbl>
            <c:dLbl>
              <c:idx val="3"/>
              <c:layout>
                <c:manualLayout>
                  <c:x val="2.7870680044593088E-2"/>
                  <c:y val="0"/>
                </c:manualLayout>
              </c:layout>
              <c:tx>
                <c:rich>
                  <a:bodyPr/>
                  <a:lstStyle/>
                  <a:p>
                    <a:fld id="{513486A8-6F52-4A77-BF10-065F47E5B253}"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E376-4BC8-89CD-7068C4364905}"/>
                </c:ext>
              </c:extLst>
            </c:dLbl>
            <c:dLbl>
              <c:idx val="4"/>
              <c:layout>
                <c:manualLayout>
                  <c:x val="2.508361204013378E-2"/>
                  <c:y val="-8.4757843493059586E-17"/>
                </c:manualLayout>
              </c:layout>
              <c:tx>
                <c:rich>
                  <a:bodyPr/>
                  <a:lstStyle/>
                  <a:p>
                    <a:fld id="{1E48EF27-2C6B-4BBF-9CB4-07A9D27213C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E376-4BC8-89CD-7068C4364905}"/>
                </c:ext>
              </c:extLst>
            </c:dLbl>
            <c:dLbl>
              <c:idx val="5"/>
              <c:layout>
                <c:manualLayout>
                  <c:x val="2.5083612040133676E-2"/>
                  <c:y val="0"/>
                </c:manualLayout>
              </c:layout>
              <c:tx>
                <c:rich>
                  <a:bodyPr/>
                  <a:lstStyle/>
                  <a:p>
                    <a:fld id="{32E48270-6170-4069-A6D7-0B881B272909}"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E376-4BC8-89CD-7068C4364905}"/>
                </c:ext>
              </c:extLst>
            </c:dLbl>
            <c:dLbl>
              <c:idx val="6"/>
              <c:layout>
                <c:manualLayout>
                  <c:x val="2.508361204013378E-2"/>
                  <c:y val="0"/>
                </c:manualLayout>
              </c:layout>
              <c:tx>
                <c:rich>
                  <a:bodyPr/>
                  <a:lstStyle/>
                  <a:p>
                    <a:fld id="{EA56F0DD-94FB-43C9-BB77-61E88D54D8B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E376-4BC8-89CD-7068C43649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Model!$F$7:$L$7</c:f>
              <c:numCache>
                <c:formatCode>0"H"</c:formatCode>
                <c:ptCount val="7"/>
                <c:pt idx="0">
                  <c:v>2024</c:v>
                </c:pt>
                <c:pt idx="1">
                  <c:v>2025</c:v>
                </c:pt>
                <c:pt idx="2" formatCode="0&quot;F&quot;">
                  <c:v>2026</c:v>
                </c:pt>
                <c:pt idx="3" formatCode="0&quot;F&quot;">
                  <c:v>2027</c:v>
                </c:pt>
                <c:pt idx="4" formatCode="0&quot;F&quot;">
                  <c:v>2028</c:v>
                </c:pt>
                <c:pt idx="5" formatCode="0&quot;F&quot;">
                  <c:v>2029</c:v>
                </c:pt>
                <c:pt idx="6" formatCode="0&quot;F&quot;">
                  <c:v>2030</c:v>
                </c:pt>
              </c:numCache>
            </c:numRef>
          </c:cat>
          <c:val>
            <c:numRef>
              <c:f>Model!$F$12:$L$12</c:f>
              <c:numCache>
                <c:formatCode>"£"#,##0.0,,"m";\("£"#,##0.0,,"m"\);\–</c:formatCode>
                <c:ptCount val="7"/>
                <c:pt idx="0">
                  <c:v>1162500000</c:v>
                </c:pt>
                <c:pt idx="1">
                  <c:v>1166700000</c:v>
                </c:pt>
                <c:pt idx="2">
                  <c:v>1148571794.6911762</c:v>
                </c:pt>
                <c:pt idx="3">
                  <c:v>1156388006.9280002</c:v>
                </c:pt>
                <c:pt idx="4">
                  <c:v>1196278817.9047284</c:v>
                </c:pt>
                <c:pt idx="5">
                  <c:v>1254862069.0015402</c:v>
                </c:pt>
                <c:pt idx="6">
                  <c:v>1334208511.9396462</c:v>
                </c:pt>
              </c:numCache>
            </c:numRef>
          </c:val>
          <c:extLst>
            <c:ext xmlns:c15="http://schemas.microsoft.com/office/drawing/2012/chart" uri="{02D57815-91ED-43cb-92C2-25804820EDAC}">
              <c15:datalabelsRange>
                <c15:f>Model!$F$13:$L$13</c15:f>
                <c15:dlblRangeCache>
                  <c:ptCount val="7"/>
                  <c:pt idx="0">
                    <c:v>40.0%</c:v>
                  </c:pt>
                  <c:pt idx="1">
                    <c:v>47.1%</c:v>
                  </c:pt>
                  <c:pt idx="2">
                    <c:v>46.5%</c:v>
                  </c:pt>
                  <c:pt idx="3">
                    <c:v>46.7%</c:v>
                  </c:pt>
                  <c:pt idx="4">
                    <c:v>46.8%</c:v>
                  </c:pt>
                  <c:pt idx="5">
                    <c:v>46.9%</c:v>
                  </c:pt>
                  <c:pt idx="6">
                    <c:v>46.9%</c:v>
                  </c:pt>
                </c15:dlblRangeCache>
              </c15:datalabelsRange>
            </c:ext>
            <c:ext xmlns:c16="http://schemas.microsoft.com/office/drawing/2014/chart" uri="{C3380CC4-5D6E-409C-BE32-E72D297353CC}">
              <c16:uniqueId val="{0000000F-E376-4BC8-89CD-7068C4364905}"/>
            </c:ext>
          </c:extLst>
        </c:ser>
        <c:dLbls>
          <c:showLegendKey val="0"/>
          <c:showVal val="0"/>
          <c:showCatName val="0"/>
          <c:showSerName val="0"/>
          <c:showPercent val="0"/>
          <c:showBubbleSize val="0"/>
        </c:dLbls>
        <c:gapWidth val="219"/>
        <c:overlap val="-27"/>
        <c:axId val="1011291759"/>
        <c:axId val="643950352"/>
      </c:barChart>
      <c:catAx>
        <c:axId val="1011291759"/>
        <c:scaling>
          <c:orientation val="minMax"/>
        </c:scaling>
        <c:delete val="0"/>
        <c:axPos val="b"/>
        <c:numFmt formatCode="0&quot;H&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950352"/>
        <c:crosses val="autoZero"/>
        <c:auto val="1"/>
        <c:lblAlgn val="ctr"/>
        <c:lblOffset val="100"/>
        <c:noMultiLvlLbl val="0"/>
      </c:catAx>
      <c:valAx>
        <c:axId val="643950352"/>
        <c:scaling>
          <c:orientation val="minMax"/>
        </c:scaling>
        <c:delete val="0"/>
        <c:axPos val="l"/>
        <c:majorGridlines>
          <c:spPr>
            <a:ln w="9525" cap="flat" cmpd="sng" algn="ctr">
              <a:solidFill>
                <a:schemeClr val="bg1">
                  <a:lumMod val="85000"/>
                </a:schemeClr>
              </a:solidFill>
              <a:round/>
            </a:ln>
            <a:effectLst/>
          </c:spPr>
        </c:majorGridlines>
        <c:numFmt formatCode="&quot;£&quot;#,##0,,&quot;m&quot;;\(&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291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6" fmlaLink="$B10" fmlaRange="$F$15:$F$17" noThreeD="1" sel="1" val="0"/>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3</xdr:col>
          <xdr:colOff>861060</xdr:colOff>
          <xdr:row>10</xdr:row>
          <xdr:rowOff>15240</xdr:rowOff>
        </xdr:to>
        <xdr:sp macro="" textlink="">
          <xdr:nvSpPr>
            <xdr:cNvPr id="3074" name="Drop Down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17</xdr:col>
      <xdr:colOff>214107</xdr:colOff>
      <xdr:row>7</xdr:row>
      <xdr:rowOff>52331</xdr:rowOff>
    </xdr:from>
    <xdr:to>
      <xdr:col>24</xdr:col>
      <xdr:colOff>167117</xdr:colOff>
      <xdr:row>21</xdr:row>
      <xdr:rowOff>42656</xdr:rowOff>
    </xdr:to>
    <xdr:graphicFrame macro="">
      <xdr:nvGraphicFramePr>
        <xdr:cNvPr id="4" name="Chart 3">
          <a:extLst>
            <a:ext uri="{FF2B5EF4-FFF2-40B4-BE49-F238E27FC236}">
              <a16:creationId xmlns:a16="http://schemas.microsoft.com/office/drawing/2014/main" id="{660F44F8-E149-B4A7-A71C-7DED36FE7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510539</xdr:colOff>
      <xdr:row>29</xdr:row>
      <xdr:rowOff>16192</xdr:rowOff>
    </xdr:from>
    <xdr:to>
      <xdr:col>8</xdr:col>
      <xdr:colOff>438149</xdr:colOff>
      <xdr:row>44</xdr:row>
      <xdr:rowOff>66675</xdr:rowOff>
    </xdr:to>
    <xdr:graphicFrame macro="">
      <xdr:nvGraphicFramePr>
        <xdr:cNvPr id="2" name="Chart 1">
          <a:extLst>
            <a:ext uri="{FF2B5EF4-FFF2-40B4-BE49-F238E27FC236}">
              <a16:creationId xmlns:a16="http://schemas.microsoft.com/office/drawing/2014/main" id="{F725C95F-8E24-3F12-CF25-72ABFC86D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502920</xdr:colOff>
      <xdr:row>12</xdr:row>
      <xdr:rowOff>171450</xdr:rowOff>
    </xdr:from>
    <xdr:to>
      <xdr:col>8</xdr:col>
      <xdr:colOff>428625</xdr:colOff>
      <xdr:row>28</xdr:row>
      <xdr:rowOff>19050</xdr:rowOff>
    </xdr:to>
    <xdr:graphicFrame macro="">
      <xdr:nvGraphicFramePr>
        <xdr:cNvPr id="6" name="Chart 5">
          <a:extLst>
            <a:ext uri="{FF2B5EF4-FFF2-40B4-BE49-F238E27FC236}">
              <a16:creationId xmlns:a16="http://schemas.microsoft.com/office/drawing/2014/main" id="{A20A3EB2-91AB-4A9F-94DD-DC1384619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DEE092C-B555-4B4A-B7D3-470FFC0FB9A5}">
  <we:reference id="wa200009404" version="1.0.0.8" store="en-US" storeType="OMEX"/>
  <we:alternateReferences>
    <we:reference id="WA200009404" version="1.0.0.8" store="" storeType="OMEX"/>
  </we:alternateReferences>
  <we:properties>
    <we:property name="claude.fileId" value="&quot;4c5385fa-52c6-4ac1-8924-0dcd8eb2862f&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F8FFD-10C2-4AE9-904F-88D2A28BAA10}">
  <dimension ref="B2:B5"/>
  <sheetViews>
    <sheetView showGridLines="0" workbookViewId="0">
      <selection activeCell="B3" sqref="B3"/>
    </sheetView>
  </sheetViews>
  <sheetFormatPr defaultRowHeight="14.4" x14ac:dyDescent="0.3"/>
  <cols>
    <col min="2" max="2" width="50.77734375" customWidth="1"/>
  </cols>
  <sheetData>
    <row r="2" spans="2:2" ht="25.8" x14ac:dyDescent="0.5">
      <c r="B2" s="1" t="s">
        <v>200</v>
      </c>
    </row>
    <row r="5" spans="2:2" x14ac:dyDescent="0.3">
      <c r="B5" s="2">
        <f>DATE(2026, 10, 19)</f>
        <v>46314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BE84-BC98-4EF8-8B10-DF23F73FD3D0}">
  <dimension ref="A2:N138"/>
  <sheetViews>
    <sheetView showGridLines="0" workbookViewId="0">
      <selection activeCell="G20" sqref="G20"/>
    </sheetView>
  </sheetViews>
  <sheetFormatPr defaultRowHeight="14.4" x14ac:dyDescent="0.3"/>
  <cols>
    <col min="1" max="1" width="4.77734375" customWidth="1"/>
    <col min="2" max="12" width="15.77734375" customWidth="1"/>
  </cols>
  <sheetData>
    <row r="2" spans="1:14" ht="28.8" x14ac:dyDescent="0.65">
      <c r="A2" s="44"/>
      <c r="B2" s="45" t="str">
        <f>Cover!$B$2</f>
        <v>ASOS PLC</v>
      </c>
      <c r="C2" s="45"/>
      <c r="D2" s="46"/>
      <c r="E2" s="47"/>
      <c r="F2" s="47"/>
      <c r="G2" s="47"/>
      <c r="H2" s="47"/>
      <c r="I2" s="47"/>
      <c r="J2" s="47"/>
      <c r="K2" s="47"/>
      <c r="L2" s="47"/>
    </row>
    <row r="3" spans="1:14" ht="21" x14ac:dyDescent="0.5">
      <c r="A3" s="44"/>
      <c r="B3" s="48" t="s">
        <v>166</v>
      </c>
      <c r="C3" s="49"/>
      <c r="D3" s="47"/>
      <c r="E3" s="47"/>
      <c r="F3" s="47"/>
      <c r="G3" s="47"/>
      <c r="H3" s="160"/>
      <c r="I3" s="161"/>
      <c r="J3" s="161"/>
      <c r="K3" s="161"/>
      <c r="L3" s="159" t="str">
        <f>"Currently Running: "&amp;CHOOSE(Assumptions!$B$10,Assumptions!$F$15,Assumptions!$F$16,Assumptions!$F$17)&amp;"Scenario"</f>
        <v>Currently Running: Base Scenario</v>
      </c>
    </row>
    <row r="4" spans="1:14" ht="15.6" x14ac:dyDescent="0.35">
      <c r="A4" s="44"/>
      <c r="B4" s="50"/>
      <c r="C4" s="50"/>
      <c r="D4" s="50"/>
      <c r="E4" s="50"/>
      <c r="F4" s="50"/>
      <c r="G4" s="50"/>
      <c r="H4" s="50"/>
      <c r="I4" s="50"/>
      <c r="J4" s="50"/>
      <c r="K4" s="51"/>
      <c r="L4" s="51"/>
    </row>
    <row r="5" spans="1:14" ht="15.6" x14ac:dyDescent="0.35">
      <c r="A5" s="44"/>
      <c r="B5" s="51"/>
      <c r="C5" s="51"/>
      <c r="D5" s="51"/>
      <c r="E5" s="51"/>
      <c r="F5" s="52" t="s">
        <v>49</v>
      </c>
      <c r="G5" s="52"/>
      <c r="H5" s="52"/>
      <c r="I5" s="52"/>
      <c r="J5" s="52"/>
      <c r="K5" s="52"/>
      <c r="L5" s="52"/>
    </row>
    <row r="6" spans="1:14" ht="15.6" x14ac:dyDescent="0.35">
      <c r="A6" s="44"/>
      <c r="B6" s="51"/>
      <c r="C6" s="51"/>
      <c r="D6" s="51"/>
      <c r="E6" s="51"/>
      <c r="F6" s="53">
        <v>2024</v>
      </c>
      <c r="G6" s="53">
        <f>F6+1</f>
        <v>2025</v>
      </c>
      <c r="H6" s="54">
        <f>G6+1</f>
        <v>2026</v>
      </c>
      <c r="I6" s="54">
        <f t="shared" ref="I6:L6" si="0">H6+1</f>
        <v>2027</v>
      </c>
      <c r="J6" s="54">
        <f t="shared" si="0"/>
        <v>2028</v>
      </c>
      <c r="K6" s="54">
        <f t="shared" si="0"/>
        <v>2029</v>
      </c>
      <c r="L6" s="54">
        <f t="shared" si="0"/>
        <v>2030</v>
      </c>
    </row>
    <row r="7" spans="1:14" ht="16.2" thickBot="1" x14ac:dyDescent="0.4">
      <c r="A7" s="44"/>
      <c r="B7" s="55" t="s">
        <v>187</v>
      </c>
      <c r="C7" s="55"/>
      <c r="D7" s="55"/>
      <c r="E7" s="55"/>
      <c r="F7" s="56" t="s">
        <v>50</v>
      </c>
      <c r="G7" s="56"/>
      <c r="H7" s="57"/>
      <c r="I7" s="57"/>
      <c r="J7" s="57"/>
      <c r="K7" s="57"/>
      <c r="L7" s="172" t="s">
        <v>37</v>
      </c>
    </row>
    <row r="8" spans="1:14" x14ac:dyDescent="0.3">
      <c r="B8" s="40"/>
      <c r="C8" s="40"/>
      <c r="D8" s="40"/>
      <c r="E8" s="40"/>
      <c r="F8" s="40"/>
      <c r="G8" s="40"/>
      <c r="H8" s="40"/>
      <c r="I8" s="40"/>
      <c r="J8" s="40"/>
      <c r="K8" s="40"/>
    </row>
    <row r="9" spans="1:14" ht="15" x14ac:dyDescent="0.35">
      <c r="B9" s="101" t="s">
        <v>167</v>
      </c>
      <c r="C9" s="40"/>
      <c r="D9" s="146"/>
      <c r="E9" s="146"/>
      <c r="F9" s="43"/>
      <c r="G9" s="43"/>
      <c r="H9" s="43"/>
      <c r="I9" s="43"/>
      <c r="J9" s="43"/>
      <c r="K9" s="43"/>
    </row>
    <row r="10" spans="1:14" x14ac:dyDescent="0.3">
      <c r="B10" s="40">
        <v>1</v>
      </c>
      <c r="C10" s="40"/>
      <c r="D10" s="147"/>
      <c r="E10" s="147"/>
      <c r="F10" s="42"/>
      <c r="G10" s="42"/>
      <c r="H10" s="42"/>
      <c r="I10" s="42"/>
      <c r="J10" s="42"/>
      <c r="K10" s="42"/>
    </row>
    <row r="12" spans="1:14" ht="15" x14ac:dyDescent="0.35">
      <c r="B12" s="165" t="s">
        <v>164</v>
      </c>
      <c r="C12" s="166"/>
      <c r="D12" s="166"/>
      <c r="E12" s="166"/>
      <c r="F12" s="167"/>
      <c r="G12" s="168"/>
      <c r="H12" s="168"/>
      <c r="I12" s="166"/>
      <c r="J12" s="166"/>
      <c r="K12" s="166"/>
      <c r="L12" s="166"/>
    </row>
    <row r="13" spans="1:14" ht="15" x14ac:dyDescent="0.35">
      <c r="B13" s="63"/>
      <c r="C13" s="61"/>
      <c r="D13" s="61"/>
      <c r="E13" s="61"/>
      <c r="F13" s="148"/>
      <c r="G13" s="149"/>
      <c r="H13" s="149"/>
      <c r="I13" s="61"/>
      <c r="J13" s="61"/>
      <c r="K13" s="61"/>
      <c r="L13" s="61"/>
    </row>
    <row r="14" spans="1:14" ht="15" x14ac:dyDescent="0.35">
      <c r="B14" s="177" t="s">
        <v>115</v>
      </c>
      <c r="C14" s="61"/>
      <c r="D14" s="61"/>
      <c r="E14" s="61"/>
      <c r="F14" s="169" t="s">
        <v>168</v>
      </c>
      <c r="G14" s="144"/>
      <c r="H14" s="170">
        <f>CHOOSE($B$10,H15,H16,H17)</f>
        <v>0.04</v>
      </c>
      <c r="I14" s="170">
        <f t="shared" ref="I14:L14" si="1">CHOOSE($B$10,I15,I16,I17)</f>
        <v>3.5000000000000003E-2</v>
      </c>
      <c r="J14" s="170">
        <f t="shared" si="1"/>
        <v>0.03</v>
      </c>
      <c r="K14" s="170">
        <f t="shared" si="1"/>
        <v>0.02</v>
      </c>
      <c r="L14" s="170">
        <f t="shared" si="1"/>
        <v>0.02</v>
      </c>
      <c r="N14" t="s">
        <v>316</v>
      </c>
    </row>
    <row r="15" spans="1:14" ht="15" x14ac:dyDescent="0.35">
      <c r="B15" s="171"/>
      <c r="C15" s="61"/>
      <c r="D15" s="125"/>
      <c r="E15" s="144"/>
      <c r="F15" s="104" t="s">
        <v>161</v>
      </c>
      <c r="G15" s="125"/>
      <c r="H15" s="143">
        <v>0.04</v>
      </c>
      <c r="I15" s="143">
        <v>3.5000000000000003E-2</v>
      </c>
      <c r="J15" s="143">
        <v>0.03</v>
      </c>
      <c r="K15" s="143">
        <v>0.02</v>
      </c>
      <c r="L15" s="143">
        <v>0.02</v>
      </c>
    </row>
    <row r="16" spans="1:14" ht="15" x14ac:dyDescent="0.35">
      <c r="B16" s="171"/>
      <c r="C16" s="61"/>
      <c r="D16" s="61"/>
      <c r="E16" s="150"/>
      <c r="F16" s="104" t="s">
        <v>169</v>
      </c>
      <c r="G16" s="151"/>
      <c r="H16" s="143">
        <v>3.5000000000000003E-2</v>
      </c>
      <c r="I16" s="143">
        <v>0.03</v>
      </c>
      <c r="J16" s="143">
        <v>2.5000000000000001E-2</v>
      </c>
      <c r="K16" s="143">
        <v>0.02</v>
      </c>
      <c r="L16" s="143">
        <v>0.02</v>
      </c>
    </row>
    <row r="17" spans="2:14" ht="15" x14ac:dyDescent="0.35">
      <c r="B17" s="171"/>
      <c r="C17" s="61"/>
      <c r="D17" s="61"/>
      <c r="E17" s="150"/>
      <c r="F17" s="104" t="s">
        <v>170</v>
      </c>
      <c r="G17" s="151"/>
      <c r="H17" s="143">
        <v>0.04</v>
      </c>
      <c r="I17" s="143">
        <v>0.05</v>
      </c>
      <c r="J17" s="143">
        <v>4.4999999999999998E-2</v>
      </c>
      <c r="K17" s="143">
        <v>3.5000000000000003E-2</v>
      </c>
      <c r="L17" s="143">
        <v>0.03</v>
      </c>
    </row>
    <row r="18" spans="2:14" ht="15" x14ac:dyDescent="0.35">
      <c r="B18" s="171"/>
      <c r="C18" s="61"/>
      <c r="D18" s="61"/>
      <c r="E18" s="150"/>
      <c r="F18" s="150"/>
      <c r="G18" s="151"/>
      <c r="H18" s="158"/>
      <c r="I18" s="158"/>
      <c r="J18" s="158"/>
      <c r="K18" s="158"/>
      <c r="L18" s="158"/>
    </row>
    <row r="19" spans="2:14" ht="15" x14ac:dyDescent="0.35">
      <c r="B19" s="177" t="s">
        <v>111</v>
      </c>
      <c r="C19" s="61"/>
      <c r="D19" s="61"/>
      <c r="E19" s="61"/>
      <c r="F19" s="169" t="s">
        <v>168</v>
      </c>
      <c r="G19" s="144"/>
      <c r="H19" s="170">
        <f>CHOOSE($B$10,H20,H21,H22)</f>
        <v>3.5000000000000003E-2</v>
      </c>
      <c r="I19" s="170">
        <f t="shared" ref="I19" si="2">CHOOSE($B$10,I20,I21,I22)</f>
        <v>0.03</v>
      </c>
      <c r="J19" s="170">
        <f t="shared" ref="J19" si="3">CHOOSE($B$10,J20,J21,J22)</f>
        <v>0.03</v>
      </c>
      <c r="K19" s="170">
        <f t="shared" ref="K19" si="4">CHOOSE($B$10,K20,K21,K22)</f>
        <v>0.03</v>
      </c>
      <c r="L19" s="170">
        <f t="shared" ref="L19" si="5">CHOOSE($B$10,L20,L21,L22)</f>
        <v>0.03</v>
      </c>
      <c r="N19" t="s">
        <v>317</v>
      </c>
    </row>
    <row r="20" spans="2:14" ht="15" x14ac:dyDescent="0.35">
      <c r="B20" s="171"/>
      <c r="C20" s="61"/>
      <c r="D20" s="125"/>
      <c r="E20" s="144"/>
      <c r="F20" s="104" t="s">
        <v>161</v>
      </c>
      <c r="G20" s="125"/>
      <c r="H20" s="143">
        <v>3.5000000000000003E-2</v>
      </c>
      <c r="I20" s="143">
        <v>0.03</v>
      </c>
      <c r="J20" s="143">
        <v>0.03</v>
      </c>
      <c r="K20" s="143">
        <v>0.03</v>
      </c>
      <c r="L20" s="143">
        <v>0.03</v>
      </c>
    </row>
    <row r="21" spans="2:14" ht="15" x14ac:dyDescent="0.35">
      <c r="B21" s="171"/>
      <c r="C21" s="61"/>
      <c r="D21" s="61"/>
      <c r="E21" s="150"/>
      <c r="F21" s="104" t="s">
        <v>162</v>
      </c>
      <c r="G21" s="151"/>
      <c r="H21" s="143">
        <v>0.03</v>
      </c>
      <c r="I21" s="143">
        <v>2.5000000000000001E-2</v>
      </c>
      <c r="J21" s="143">
        <v>0.02</v>
      </c>
      <c r="K21" s="143">
        <v>0.02</v>
      </c>
      <c r="L21" s="143">
        <v>0.02</v>
      </c>
    </row>
    <row r="22" spans="2:14" ht="15" x14ac:dyDescent="0.35">
      <c r="B22" s="171"/>
      <c r="C22" s="61"/>
      <c r="D22" s="61"/>
      <c r="E22" s="150"/>
      <c r="F22" s="104" t="s">
        <v>163</v>
      </c>
      <c r="G22" s="151"/>
      <c r="H22" s="143">
        <v>3.5000000000000003E-2</v>
      </c>
      <c r="I22" s="143">
        <v>4.4999999999999998E-2</v>
      </c>
      <c r="J22" s="143">
        <v>4.4999999999999998E-2</v>
      </c>
      <c r="K22" s="143">
        <v>0.04</v>
      </c>
      <c r="L22" s="143">
        <v>0.03</v>
      </c>
    </row>
    <row r="23" spans="2:14" ht="15" x14ac:dyDescent="0.35">
      <c r="B23" s="171"/>
      <c r="C23" s="61"/>
      <c r="D23" s="61"/>
      <c r="E23" s="272"/>
      <c r="F23" s="104"/>
      <c r="G23" s="273"/>
      <c r="H23" s="158"/>
      <c r="I23" s="158"/>
      <c r="J23" s="158"/>
      <c r="K23" s="158"/>
      <c r="L23" s="158"/>
    </row>
    <row r="24" spans="2:14" ht="15" x14ac:dyDescent="0.35">
      <c r="B24" s="63" t="s">
        <v>225</v>
      </c>
      <c r="C24" s="61"/>
      <c r="D24" s="61"/>
      <c r="E24" s="61"/>
      <c r="F24" s="169" t="s">
        <v>168</v>
      </c>
      <c r="G24" s="144"/>
      <c r="H24" s="170">
        <f>CHOOSE($B$10,H25,H26,H27)</f>
        <v>3.5000000000000003E-2</v>
      </c>
      <c r="I24" s="170">
        <f t="shared" ref="I24:L24" si="6">CHOOSE($B$10,I25,I26,I27)</f>
        <v>0.03</v>
      </c>
      <c r="J24" s="170">
        <f t="shared" si="6"/>
        <v>0.03</v>
      </c>
      <c r="K24" s="170">
        <f t="shared" si="6"/>
        <v>0.03</v>
      </c>
      <c r="L24" s="170">
        <f t="shared" si="6"/>
        <v>0.03</v>
      </c>
    </row>
    <row r="25" spans="2:14" ht="15" x14ac:dyDescent="0.35">
      <c r="B25" s="171"/>
      <c r="C25" s="61"/>
      <c r="D25" s="125"/>
      <c r="E25" s="144"/>
      <c r="F25" s="104" t="s">
        <v>161</v>
      </c>
      <c r="G25" s="125"/>
      <c r="H25" s="143">
        <v>3.5000000000000003E-2</v>
      </c>
      <c r="I25" s="143">
        <v>0.03</v>
      </c>
      <c r="J25" s="143">
        <v>0.03</v>
      </c>
      <c r="K25" s="143">
        <v>0.03</v>
      </c>
      <c r="L25" s="143">
        <v>0.03</v>
      </c>
    </row>
    <row r="26" spans="2:14" ht="15" x14ac:dyDescent="0.35">
      <c r="B26" s="171"/>
      <c r="C26" s="61"/>
      <c r="D26" s="61"/>
      <c r="E26" s="150"/>
      <c r="F26" s="104" t="s">
        <v>162</v>
      </c>
      <c r="G26" s="151"/>
      <c r="H26" s="143">
        <v>0.03</v>
      </c>
      <c r="I26" s="143">
        <v>2.5000000000000001E-2</v>
      </c>
      <c r="J26" s="143">
        <v>0.02</v>
      </c>
      <c r="K26" s="143">
        <v>0.02</v>
      </c>
      <c r="L26" s="143">
        <v>0.02</v>
      </c>
    </row>
    <row r="27" spans="2:14" ht="15" x14ac:dyDescent="0.35">
      <c r="B27" s="171"/>
      <c r="C27" s="61"/>
      <c r="D27" s="61"/>
      <c r="E27" s="150"/>
      <c r="F27" s="104" t="s">
        <v>163</v>
      </c>
      <c r="G27" s="151"/>
      <c r="H27" s="143">
        <v>3.5000000000000003E-2</v>
      </c>
      <c r="I27" s="143">
        <v>4.4999999999999998E-2</v>
      </c>
      <c r="J27" s="143">
        <v>4.4999999999999998E-2</v>
      </c>
      <c r="K27" s="143">
        <v>0.04</v>
      </c>
      <c r="L27" s="143">
        <v>0.03</v>
      </c>
    </row>
    <row r="28" spans="2:14" ht="15" x14ac:dyDescent="0.35">
      <c r="B28" s="162"/>
      <c r="C28" s="65"/>
      <c r="D28" s="65"/>
      <c r="E28" s="163"/>
      <c r="F28" s="163"/>
      <c r="G28" s="163"/>
      <c r="H28" s="164"/>
      <c r="I28" s="164"/>
      <c r="J28" s="164"/>
      <c r="K28" s="164"/>
      <c r="L28" s="164"/>
    </row>
    <row r="29" spans="2:14" ht="15" x14ac:dyDescent="0.35">
      <c r="B29" s="103"/>
      <c r="C29" s="61"/>
      <c r="D29" s="61"/>
      <c r="E29" s="150"/>
      <c r="F29" s="150"/>
      <c r="G29" s="150"/>
      <c r="H29" s="156"/>
      <c r="I29" s="156"/>
      <c r="J29" s="156"/>
      <c r="K29" s="156"/>
      <c r="L29" s="156"/>
    </row>
    <row r="30" spans="2:14" ht="15" x14ac:dyDescent="0.35">
      <c r="B30" s="165" t="s">
        <v>165</v>
      </c>
      <c r="C30" s="166"/>
      <c r="D30" s="166"/>
      <c r="E30" s="166"/>
      <c r="F30" s="167"/>
      <c r="G30" s="168"/>
      <c r="H30" s="168"/>
      <c r="I30" s="166"/>
      <c r="J30" s="166"/>
      <c r="K30" s="166"/>
      <c r="L30" s="166"/>
    </row>
    <row r="31" spans="2:14" ht="15" x14ac:dyDescent="0.35">
      <c r="B31" s="103"/>
      <c r="C31" s="61"/>
      <c r="D31" s="125"/>
      <c r="E31" s="144"/>
      <c r="F31" s="144"/>
      <c r="G31" s="125"/>
      <c r="H31" s="152"/>
      <c r="I31" s="152"/>
      <c r="J31" s="152"/>
      <c r="K31" s="152"/>
      <c r="L31" s="152"/>
    </row>
    <row r="32" spans="2:14" ht="15" x14ac:dyDescent="0.35">
      <c r="B32" s="63" t="s">
        <v>211</v>
      </c>
      <c r="C32" s="61"/>
      <c r="D32" s="61"/>
      <c r="E32" s="150"/>
      <c r="F32" s="169" t="s">
        <v>168</v>
      </c>
      <c r="G32" s="151"/>
      <c r="H32" s="401">
        <f t="shared" ref="H32:L32" si="7">CHOOSE($B$10,H33,H34,H35)</f>
        <v>1500000</v>
      </c>
      <c r="I32" s="401">
        <f t="shared" si="7"/>
        <v>1500000</v>
      </c>
      <c r="J32" s="401">
        <f t="shared" si="7"/>
        <v>1500000</v>
      </c>
      <c r="K32" s="401">
        <f t="shared" si="7"/>
        <v>1500000</v>
      </c>
      <c r="L32" s="401">
        <f t="shared" si="7"/>
        <v>1500000</v>
      </c>
    </row>
    <row r="33" spans="2:14" ht="15" x14ac:dyDescent="0.35">
      <c r="B33" s="103"/>
      <c r="C33" s="61"/>
      <c r="D33" s="61"/>
      <c r="E33" s="150"/>
      <c r="F33" s="104" t="s">
        <v>161</v>
      </c>
      <c r="G33" s="151"/>
      <c r="H33" s="402">
        <v>1500000</v>
      </c>
      <c r="I33" s="402">
        <v>1500000</v>
      </c>
      <c r="J33" s="402">
        <v>1500000</v>
      </c>
      <c r="K33" s="402">
        <v>1500000</v>
      </c>
      <c r="L33" s="402">
        <v>1500000</v>
      </c>
    </row>
    <row r="34" spans="2:14" ht="15" x14ac:dyDescent="0.35">
      <c r="B34" s="103"/>
      <c r="C34" s="61"/>
      <c r="D34" s="61"/>
      <c r="E34" s="61"/>
      <c r="F34" s="104" t="s">
        <v>162</v>
      </c>
      <c r="G34" s="125"/>
      <c r="H34" s="402">
        <v>2000000</v>
      </c>
      <c r="I34" s="402">
        <v>2000000</v>
      </c>
      <c r="J34" s="402">
        <v>2000000</v>
      </c>
      <c r="K34" s="402">
        <v>2000000</v>
      </c>
      <c r="L34" s="402">
        <v>2000000</v>
      </c>
    </row>
    <row r="35" spans="2:14" ht="15" x14ac:dyDescent="0.35">
      <c r="B35" s="103"/>
      <c r="C35" s="61"/>
      <c r="D35" s="61"/>
      <c r="E35" s="61"/>
      <c r="F35" s="104" t="s">
        <v>163</v>
      </c>
      <c r="G35" s="125"/>
      <c r="H35" s="402">
        <v>1000000</v>
      </c>
      <c r="I35" s="402">
        <v>1000000</v>
      </c>
      <c r="J35" s="402">
        <v>1000000</v>
      </c>
      <c r="K35" s="402">
        <v>1000000</v>
      </c>
      <c r="L35" s="402">
        <v>1000000</v>
      </c>
    </row>
    <row r="36" spans="2:14" ht="15" x14ac:dyDescent="0.35">
      <c r="B36" s="103"/>
      <c r="C36" s="61"/>
      <c r="D36" s="125"/>
      <c r="E36" s="144"/>
      <c r="F36" s="144"/>
      <c r="G36" s="125"/>
      <c r="H36" s="152"/>
      <c r="I36" s="152"/>
      <c r="J36" s="152"/>
      <c r="K36" s="152"/>
      <c r="L36" s="152"/>
    </row>
    <row r="37" spans="2:14" ht="15" x14ac:dyDescent="0.35">
      <c r="B37" s="63" t="s">
        <v>212</v>
      </c>
      <c r="C37" s="61"/>
      <c r="D37" s="61"/>
      <c r="E37" s="150"/>
      <c r="F37" s="169" t="s">
        <v>168</v>
      </c>
      <c r="G37" s="151"/>
      <c r="H37" s="401">
        <f t="shared" ref="H37:L37" si="8">CHOOSE($B$10,H38,H39,H40)</f>
        <v>-2000000</v>
      </c>
      <c r="I37" s="401">
        <f t="shared" si="8"/>
        <v>-2000000</v>
      </c>
      <c r="J37" s="401">
        <f t="shared" si="8"/>
        <v>-1500000</v>
      </c>
      <c r="K37" s="401">
        <f t="shared" si="8"/>
        <v>-1250000</v>
      </c>
      <c r="L37" s="401">
        <f t="shared" si="8"/>
        <v>-1000000</v>
      </c>
    </row>
    <row r="38" spans="2:14" ht="15" x14ac:dyDescent="0.35">
      <c r="B38" s="103"/>
      <c r="C38" s="61"/>
      <c r="D38" s="61"/>
      <c r="E38" s="150"/>
      <c r="F38" s="104" t="s">
        <v>161</v>
      </c>
      <c r="G38" s="151"/>
      <c r="H38" s="402">
        <v>-2000000</v>
      </c>
      <c r="I38" s="402">
        <v>-2000000</v>
      </c>
      <c r="J38" s="402">
        <v>-1500000</v>
      </c>
      <c r="K38" s="402">
        <v>-1250000</v>
      </c>
      <c r="L38" s="402">
        <v>-1000000</v>
      </c>
      <c r="N38" t="s">
        <v>318</v>
      </c>
    </row>
    <row r="39" spans="2:14" ht="15" x14ac:dyDescent="0.35">
      <c r="B39" s="103"/>
      <c r="C39" s="61"/>
      <c r="D39" s="61"/>
      <c r="E39" s="61"/>
      <c r="F39" s="104" t="s">
        <v>162</v>
      </c>
      <c r="G39" s="125"/>
      <c r="H39" s="402">
        <v>-1500000</v>
      </c>
      <c r="I39" s="402">
        <v>-1000000</v>
      </c>
      <c r="J39" s="402">
        <v>-500000</v>
      </c>
      <c r="K39" s="402">
        <v>-500000</v>
      </c>
      <c r="L39" s="402">
        <v>-500000</v>
      </c>
    </row>
    <row r="40" spans="2:14" ht="15" x14ac:dyDescent="0.35">
      <c r="B40" s="103"/>
      <c r="C40" s="61"/>
      <c r="D40" s="61"/>
      <c r="E40" s="61"/>
      <c r="F40" s="104" t="s">
        <v>163</v>
      </c>
      <c r="G40" s="125"/>
      <c r="H40" s="402">
        <v>-4000000</v>
      </c>
      <c r="I40" s="402">
        <v>-3000000</v>
      </c>
      <c r="J40" s="402">
        <v>-2000000</v>
      </c>
      <c r="K40" s="402">
        <v>-1000000</v>
      </c>
      <c r="L40" s="402">
        <v>-1000000</v>
      </c>
    </row>
    <row r="41" spans="2:14" ht="15" x14ac:dyDescent="0.35">
      <c r="B41" s="103"/>
      <c r="C41" s="61"/>
      <c r="D41" s="125"/>
      <c r="E41" s="144"/>
      <c r="F41" s="144"/>
      <c r="G41" s="125"/>
      <c r="H41" s="152"/>
      <c r="I41" s="152"/>
      <c r="J41" s="152"/>
      <c r="K41" s="152"/>
      <c r="L41" s="152"/>
    </row>
    <row r="42" spans="2:14" ht="15" x14ac:dyDescent="0.35">
      <c r="B42" s="63" t="s">
        <v>208</v>
      </c>
      <c r="C42" s="61"/>
      <c r="D42" s="61"/>
      <c r="E42" s="150"/>
      <c r="F42" s="169" t="s">
        <v>168</v>
      </c>
      <c r="G42" s="151"/>
      <c r="H42" s="265">
        <f t="shared" ref="H42:L42" si="9">CHOOSE($B$10,H43,H44,H45)</f>
        <v>3.3529411764705883</v>
      </c>
      <c r="I42" s="265">
        <f t="shared" si="9"/>
        <v>3.3529411764705883</v>
      </c>
      <c r="J42" s="265">
        <f t="shared" si="9"/>
        <v>3.3529411764705883</v>
      </c>
      <c r="K42" s="265">
        <f t="shared" si="9"/>
        <v>3.3529411764705883</v>
      </c>
      <c r="L42" s="265">
        <f t="shared" si="9"/>
        <v>3.3529411764705883</v>
      </c>
    </row>
    <row r="43" spans="2:14" ht="15" x14ac:dyDescent="0.35">
      <c r="B43" s="103"/>
      <c r="C43" s="61"/>
      <c r="D43" s="61"/>
      <c r="E43" s="150"/>
      <c r="F43" s="104" t="s">
        <v>161</v>
      </c>
      <c r="G43" s="151"/>
      <c r="H43" s="266">
        <v>3.3529411764705883</v>
      </c>
      <c r="I43" s="266">
        <v>3.3529411764705883</v>
      </c>
      <c r="J43" s="266">
        <v>3.3529411764705883</v>
      </c>
      <c r="K43" s="266">
        <v>3.3529411764705883</v>
      </c>
      <c r="L43" s="266">
        <v>3.3529411764705883</v>
      </c>
    </row>
    <row r="44" spans="2:14" ht="15" x14ac:dyDescent="0.35">
      <c r="B44" s="103"/>
      <c r="C44" s="61"/>
      <c r="D44" s="61"/>
      <c r="E44" s="61"/>
      <c r="F44" s="104" t="s">
        <v>162</v>
      </c>
      <c r="G44" s="125"/>
      <c r="H44" s="266">
        <v>3.35</v>
      </c>
      <c r="I44" s="266">
        <v>3.5</v>
      </c>
      <c r="J44" s="266">
        <v>3.75</v>
      </c>
      <c r="K44" s="266">
        <v>3.75</v>
      </c>
      <c r="L44" s="266">
        <v>3.75</v>
      </c>
    </row>
    <row r="45" spans="2:14" ht="15" x14ac:dyDescent="0.35">
      <c r="B45" s="103"/>
      <c r="C45" s="61"/>
      <c r="D45" s="61"/>
      <c r="E45" s="61"/>
      <c r="F45" s="104" t="s">
        <v>163</v>
      </c>
      <c r="G45" s="125"/>
      <c r="H45" s="266">
        <v>3.25</v>
      </c>
      <c r="I45" s="266">
        <v>3.1</v>
      </c>
      <c r="J45" s="266">
        <v>3</v>
      </c>
      <c r="K45" s="266">
        <v>3</v>
      </c>
      <c r="L45" s="266">
        <v>3</v>
      </c>
    </row>
    <row r="46" spans="2:14" ht="15" x14ac:dyDescent="0.35">
      <c r="B46" s="61"/>
      <c r="C46" s="61"/>
      <c r="D46" s="61"/>
      <c r="E46" s="61"/>
      <c r="F46" s="153"/>
      <c r="G46" s="154"/>
      <c r="H46" s="154"/>
      <c r="I46" s="154"/>
      <c r="J46" s="154"/>
      <c r="K46" s="61"/>
      <c r="L46" s="61"/>
    </row>
    <row r="47" spans="2:14" ht="15" x14ac:dyDescent="0.35">
      <c r="B47" s="63" t="s">
        <v>367</v>
      </c>
      <c r="C47" s="61"/>
      <c r="D47" s="61"/>
      <c r="E47" s="150"/>
      <c r="F47" s="169" t="s">
        <v>168</v>
      </c>
      <c r="G47" s="151"/>
      <c r="H47" s="296">
        <f t="shared" ref="H47:L47" si="10">CHOOSE($B$10,H48,H49,H50)</f>
        <v>3.4000000000000002E-2</v>
      </c>
      <c r="I47" s="296">
        <f t="shared" si="10"/>
        <v>3.4000000000000002E-2</v>
      </c>
      <c r="J47" s="296">
        <f t="shared" si="10"/>
        <v>3.4000000000000002E-2</v>
      </c>
      <c r="K47" s="296">
        <f t="shared" si="10"/>
        <v>3.4000000000000002E-2</v>
      </c>
      <c r="L47" s="296">
        <f t="shared" si="10"/>
        <v>3.4000000000000002E-2</v>
      </c>
    </row>
    <row r="48" spans="2:14" ht="15" x14ac:dyDescent="0.35">
      <c r="B48" s="103"/>
      <c r="C48" s="61"/>
      <c r="D48" s="61"/>
      <c r="E48" s="150"/>
      <c r="F48" s="104" t="s">
        <v>161</v>
      </c>
      <c r="G48" s="151"/>
      <c r="H48" s="297">
        <v>3.4000000000000002E-2</v>
      </c>
      <c r="I48" s="297">
        <v>3.4000000000000002E-2</v>
      </c>
      <c r="J48" s="297">
        <v>3.4000000000000002E-2</v>
      </c>
      <c r="K48" s="297">
        <v>3.4000000000000002E-2</v>
      </c>
      <c r="L48" s="297">
        <v>3.4000000000000002E-2</v>
      </c>
    </row>
    <row r="49" spans="2:12" ht="15" x14ac:dyDescent="0.35">
      <c r="B49" s="103"/>
      <c r="C49" s="61"/>
      <c r="D49" s="61"/>
      <c r="E49" s="61"/>
      <c r="F49" s="104" t="s">
        <v>162</v>
      </c>
      <c r="G49" s="125"/>
      <c r="H49" s="297">
        <v>3.4000000000000002E-2</v>
      </c>
      <c r="I49" s="297">
        <v>3.7499999999999999E-2</v>
      </c>
      <c r="J49" s="297">
        <v>0.04</v>
      </c>
      <c r="K49" s="297">
        <v>3.7499999999999999E-2</v>
      </c>
      <c r="L49" s="297">
        <v>3.5000000000000003E-2</v>
      </c>
    </row>
    <row r="50" spans="2:12" ht="15" x14ac:dyDescent="0.35">
      <c r="B50" s="103"/>
      <c r="C50" s="61"/>
      <c r="D50" s="61"/>
      <c r="E50" s="61"/>
      <c r="F50" s="104" t="s">
        <v>163</v>
      </c>
      <c r="G50" s="125"/>
      <c r="H50" s="297">
        <v>0.03</v>
      </c>
      <c r="I50" s="297">
        <v>2.75E-2</v>
      </c>
      <c r="J50" s="297">
        <v>2.5000000000000001E-2</v>
      </c>
      <c r="K50" s="297">
        <v>0.02</v>
      </c>
      <c r="L50" s="297">
        <v>0.02</v>
      </c>
    </row>
    <row r="51" spans="2:12" ht="15" x14ac:dyDescent="0.35">
      <c r="B51" s="103"/>
      <c r="C51" s="61"/>
      <c r="D51" s="61"/>
      <c r="E51" s="61"/>
      <c r="F51" s="104"/>
      <c r="G51" s="155"/>
      <c r="H51" s="270"/>
      <c r="I51" s="270"/>
      <c r="J51" s="270"/>
      <c r="K51" s="270"/>
      <c r="L51" s="270"/>
    </row>
    <row r="52" spans="2:12" ht="15" x14ac:dyDescent="0.35">
      <c r="B52" s="103"/>
      <c r="C52" s="61"/>
      <c r="D52" s="61"/>
      <c r="E52" s="61"/>
      <c r="F52" s="104"/>
      <c r="G52" s="157"/>
      <c r="H52" s="270"/>
      <c r="I52" s="270"/>
      <c r="J52" s="270"/>
      <c r="K52" s="270"/>
      <c r="L52" s="270"/>
    </row>
    <row r="53" spans="2:12" ht="15" x14ac:dyDescent="0.35">
      <c r="B53" s="103"/>
      <c r="C53" s="61"/>
      <c r="D53" s="61"/>
      <c r="E53" s="61"/>
      <c r="F53" s="104"/>
      <c r="G53" s="158"/>
      <c r="H53" s="270"/>
      <c r="I53" s="270"/>
      <c r="J53" s="270"/>
      <c r="K53" s="270"/>
      <c r="L53" s="270"/>
    </row>
    <row r="54" spans="2:12" x14ac:dyDescent="0.3">
      <c r="B54" s="41"/>
      <c r="C54" s="41"/>
      <c r="D54" s="41"/>
      <c r="E54" s="41"/>
      <c r="F54" s="271"/>
      <c r="G54" s="271"/>
      <c r="H54" s="271"/>
      <c r="I54" s="271"/>
      <c r="J54" s="271"/>
    </row>
    <row r="55" spans="2:12" ht="15" x14ac:dyDescent="0.35">
      <c r="B55" s="177"/>
      <c r="C55" s="61"/>
      <c r="D55" s="61"/>
      <c r="E55" s="61"/>
      <c r="F55" s="267"/>
      <c r="G55" s="268"/>
      <c r="H55" s="269"/>
      <c r="I55" s="269"/>
      <c r="J55" s="269"/>
      <c r="K55" s="269"/>
      <c r="L55" s="269"/>
    </row>
    <row r="56" spans="2:12" ht="15" x14ac:dyDescent="0.35">
      <c r="B56" s="103"/>
      <c r="C56" s="61"/>
      <c r="D56" s="61"/>
      <c r="E56" s="61"/>
      <c r="F56" s="104"/>
      <c r="G56" s="155"/>
      <c r="H56" s="107"/>
      <c r="I56" s="107"/>
      <c r="J56" s="107"/>
      <c r="K56" s="107"/>
      <c r="L56" s="107"/>
    </row>
    <row r="57" spans="2:12" ht="15" x14ac:dyDescent="0.35">
      <c r="B57" s="103"/>
      <c r="C57" s="61"/>
      <c r="D57" s="61"/>
      <c r="E57" s="61"/>
      <c r="F57" s="104"/>
      <c r="G57" s="157"/>
      <c r="H57" s="107"/>
      <c r="I57" s="107"/>
      <c r="J57" s="107"/>
      <c r="K57" s="107"/>
      <c r="L57" s="107"/>
    </row>
    <row r="58" spans="2:12" ht="15" x14ac:dyDescent="0.35">
      <c r="B58" s="103"/>
      <c r="C58" s="61"/>
      <c r="D58" s="61"/>
      <c r="E58" s="61"/>
      <c r="F58" s="104"/>
      <c r="G58" s="158"/>
      <c r="H58" s="107"/>
      <c r="I58" s="107"/>
      <c r="J58" s="107"/>
      <c r="K58" s="107"/>
      <c r="L58" s="107"/>
    </row>
    <row r="59" spans="2:12" x14ac:dyDescent="0.3">
      <c r="F59" s="19"/>
      <c r="G59" s="19"/>
      <c r="H59" s="19"/>
      <c r="I59" s="19"/>
      <c r="J59" s="19"/>
    </row>
    <row r="60" spans="2:12" x14ac:dyDescent="0.3">
      <c r="B60" s="41"/>
      <c r="F60" s="14"/>
      <c r="G60" s="14"/>
      <c r="H60" s="14"/>
      <c r="I60" s="14"/>
      <c r="J60" s="14"/>
    </row>
    <row r="61" spans="2:12" x14ac:dyDescent="0.3">
      <c r="F61" s="17"/>
      <c r="G61" s="17"/>
      <c r="H61" s="17"/>
      <c r="I61" s="17"/>
      <c r="J61" s="17"/>
    </row>
    <row r="62" spans="2:12" x14ac:dyDescent="0.3">
      <c r="F62" s="6"/>
      <c r="G62" s="6"/>
      <c r="H62" s="6"/>
    </row>
    <row r="63" spans="2:12" x14ac:dyDescent="0.3">
      <c r="F63" s="19"/>
      <c r="G63" s="19"/>
      <c r="H63" s="19"/>
      <c r="I63" s="19"/>
      <c r="J63" s="19"/>
    </row>
    <row r="64" spans="2:12" x14ac:dyDescent="0.3">
      <c r="F64" s="18"/>
      <c r="G64" s="18"/>
      <c r="H64" s="18"/>
      <c r="I64" s="18"/>
      <c r="J64" s="18"/>
    </row>
    <row r="65" spans="6:10" x14ac:dyDescent="0.3">
      <c r="F65" s="24"/>
      <c r="G65" s="24"/>
      <c r="H65" s="24"/>
      <c r="I65" s="24"/>
      <c r="J65" s="24"/>
    </row>
    <row r="66" spans="6:10" x14ac:dyDescent="0.3">
      <c r="F66" s="18"/>
      <c r="G66" s="18"/>
      <c r="H66" s="18"/>
    </row>
    <row r="67" spans="6:10" x14ac:dyDescent="0.3">
      <c r="F67" s="18"/>
      <c r="G67" s="18"/>
      <c r="H67" s="18"/>
      <c r="I67" s="18"/>
      <c r="J67" s="18"/>
    </row>
    <row r="68" spans="6:10" x14ac:dyDescent="0.3">
      <c r="F68" s="18"/>
      <c r="G68" s="18"/>
      <c r="H68" s="18"/>
      <c r="I68" s="18"/>
      <c r="J68" s="18"/>
    </row>
    <row r="69" spans="6:10" x14ac:dyDescent="0.3">
      <c r="F69" s="12"/>
      <c r="G69" s="12"/>
      <c r="H69" s="12"/>
      <c r="I69" s="12"/>
      <c r="J69" s="12"/>
    </row>
    <row r="70" spans="6:10" x14ac:dyDescent="0.3">
      <c r="F70" s="18"/>
      <c r="G70" s="18"/>
      <c r="H70" s="18"/>
    </row>
    <row r="71" spans="6:10" x14ac:dyDescent="0.3">
      <c r="F71" s="18"/>
      <c r="G71" s="18"/>
      <c r="H71" s="18"/>
      <c r="I71" s="18"/>
      <c r="J71" s="18"/>
    </row>
    <row r="72" spans="6:10" x14ac:dyDescent="0.3">
      <c r="F72" s="24"/>
      <c r="G72" s="24"/>
      <c r="H72" s="24"/>
      <c r="I72" s="24"/>
      <c r="J72" s="24"/>
    </row>
    <row r="73" spans="6:10" x14ac:dyDescent="0.3">
      <c r="F73" s="12"/>
      <c r="G73" s="12"/>
      <c r="H73" s="12"/>
      <c r="I73" s="12"/>
      <c r="J73" s="12"/>
    </row>
    <row r="74" spans="6:10" x14ac:dyDescent="0.3">
      <c r="F74" s="12"/>
      <c r="G74" s="12"/>
      <c r="H74" s="12"/>
      <c r="I74" s="12"/>
      <c r="J74" s="12"/>
    </row>
    <row r="75" spans="6:10" x14ac:dyDescent="0.3">
      <c r="F75" s="18"/>
      <c r="G75" s="18"/>
      <c r="H75" s="18"/>
      <c r="I75" s="18"/>
      <c r="J75" s="18"/>
    </row>
    <row r="76" spans="6:10" x14ac:dyDescent="0.3">
      <c r="F76" s="12"/>
      <c r="G76" s="12"/>
      <c r="H76" s="12"/>
      <c r="I76" s="12"/>
      <c r="J76" s="12"/>
    </row>
    <row r="77" spans="6:10" x14ac:dyDescent="0.3">
      <c r="F77" s="12"/>
      <c r="G77" s="12"/>
      <c r="H77" s="12"/>
      <c r="I77" s="12"/>
      <c r="J77" s="12"/>
    </row>
    <row r="78" spans="6:10" x14ac:dyDescent="0.3">
      <c r="F78" s="18"/>
      <c r="G78" s="18"/>
      <c r="H78" s="22"/>
      <c r="I78" s="23"/>
      <c r="J78" s="23"/>
    </row>
    <row r="79" spans="6:10" x14ac:dyDescent="0.3">
      <c r="F79" s="20"/>
      <c r="G79" s="20"/>
      <c r="H79" s="20"/>
      <c r="I79" s="21"/>
      <c r="J79" s="23"/>
    </row>
    <row r="80" spans="6:10" x14ac:dyDescent="0.3">
      <c r="F80" s="15"/>
      <c r="G80" s="15"/>
      <c r="H80" s="15"/>
      <c r="I80" s="15"/>
      <c r="J80" s="15"/>
    </row>
    <row r="81" spans="2:10" x14ac:dyDescent="0.3">
      <c r="F81" s="15"/>
      <c r="G81" s="15"/>
      <c r="H81" s="15"/>
    </row>
    <row r="82" spans="2:10" x14ac:dyDescent="0.3">
      <c r="F82" s="13"/>
      <c r="G82" s="13"/>
      <c r="H82" s="13"/>
      <c r="I82" s="13"/>
      <c r="J82" s="13"/>
    </row>
    <row r="83" spans="2:10" x14ac:dyDescent="0.3">
      <c r="F83" s="12"/>
      <c r="G83" s="12"/>
      <c r="H83" s="12"/>
      <c r="I83" s="12"/>
      <c r="J83" s="12"/>
    </row>
    <row r="84" spans="2:10" x14ac:dyDescent="0.3">
      <c r="F84" s="12"/>
      <c r="G84" s="12"/>
      <c r="H84" s="12"/>
      <c r="I84" s="12"/>
      <c r="J84" s="12"/>
    </row>
    <row r="85" spans="2:10" x14ac:dyDescent="0.3">
      <c r="F85" s="13"/>
      <c r="G85" s="13"/>
      <c r="H85" s="13"/>
    </row>
    <row r="86" spans="2:10" x14ac:dyDescent="0.3">
      <c r="F86" s="14"/>
      <c r="G86" s="14"/>
      <c r="H86" s="14"/>
      <c r="I86" s="14"/>
      <c r="J86" s="14"/>
    </row>
    <row r="87" spans="2:10" x14ac:dyDescent="0.3">
      <c r="F87" s="15"/>
      <c r="G87" s="15"/>
      <c r="H87" s="15"/>
      <c r="I87" s="15"/>
      <c r="J87" s="15"/>
    </row>
    <row r="88" spans="2:10" x14ac:dyDescent="0.3">
      <c r="F88" s="15"/>
      <c r="G88" s="15"/>
      <c r="H88" s="15"/>
      <c r="I88" s="15"/>
      <c r="J88" s="15"/>
    </row>
    <row r="89" spans="2:10" x14ac:dyDescent="0.3">
      <c r="F89" s="23"/>
      <c r="G89" s="23"/>
      <c r="H89" s="23"/>
      <c r="I89" s="23"/>
      <c r="J89" s="23"/>
    </row>
    <row r="90" spans="2:10" x14ac:dyDescent="0.3">
      <c r="F90" s="15"/>
      <c r="G90" s="15"/>
      <c r="H90" s="15"/>
      <c r="I90" s="15"/>
      <c r="J90" s="15"/>
    </row>
    <row r="91" spans="2:10" x14ac:dyDescent="0.3">
      <c r="F91" s="13"/>
      <c r="G91" s="13"/>
      <c r="H91" s="13"/>
      <c r="I91" s="13"/>
      <c r="J91" s="13"/>
    </row>
    <row r="92" spans="2:10" x14ac:dyDescent="0.3">
      <c r="B92" s="5"/>
      <c r="F92" s="6"/>
      <c r="G92" s="6"/>
      <c r="H92" s="6"/>
    </row>
    <row r="93" spans="2:10" x14ac:dyDescent="0.3">
      <c r="B93" s="5"/>
      <c r="F93" s="6"/>
      <c r="G93" s="6"/>
      <c r="H93" s="6"/>
    </row>
    <row r="94" spans="2:10" x14ac:dyDescent="0.3">
      <c r="B94" s="5"/>
      <c r="F94" s="6"/>
      <c r="G94" s="6"/>
      <c r="H94" s="6"/>
    </row>
    <row r="95" spans="2:10" x14ac:dyDescent="0.3">
      <c r="F95" s="6"/>
      <c r="G95" s="6"/>
      <c r="H95" s="6"/>
    </row>
    <row r="96" spans="2:10" x14ac:dyDescent="0.3">
      <c r="F96" s="16"/>
      <c r="G96" s="16"/>
      <c r="H96" s="16"/>
    </row>
    <row r="97" spans="6:10" x14ac:dyDescent="0.3">
      <c r="F97" s="16"/>
      <c r="G97" s="16"/>
      <c r="H97" s="16"/>
      <c r="I97" s="16"/>
      <c r="J97" s="16"/>
    </row>
    <row r="98" spans="6:10" x14ac:dyDescent="0.3">
      <c r="F98" s="16"/>
      <c r="G98" s="16"/>
      <c r="H98" s="16"/>
      <c r="I98" s="16"/>
      <c r="J98" s="16"/>
    </row>
    <row r="99" spans="6:10" x14ac:dyDescent="0.3">
      <c r="F99" s="16"/>
      <c r="G99" s="16"/>
      <c r="H99" s="16"/>
      <c r="I99" s="16"/>
      <c r="J99" s="16"/>
    </row>
    <row r="100" spans="6:10" x14ac:dyDescent="0.3">
      <c r="F100" s="16"/>
      <c r="G100" s="16"/>
      <c r="H100" s="16"/>
      <c r="I100" s="16"/>
      <c r="J100" s="16"/>
    </row>
    <row r="101" spans="6:10" x14ac:dyDescent="0.3">
      <c r="F101" s="16"/>
      <c r="G101" s="16"/>
      <c r="H101" s="16"/>
      <c r="I101" s="16"/>
      <c r="J101" s="16"/>
    </row>
    <row r="102" spans="6:10" x14ac:dyDescent="0.3">
      <c r="F102" s="13"/>
      <c r="G102" s="13"/>
      <c r="H102" s="13"/>
    </row>
    <row r="103" spans="6:10" x14ac:dyDescent="0.3">
      <c r="F103" s="9"/>
      <c r="G103" s="9"/>
      <c r="H103" s="9"/>
    </row>
    <row r="104" spans="6:10" x14ac:dyDescent="0.3">
      <c r="F104" s="16"/>
      <c r="G104" s="16"/>
      <c r="H104" s="16"/>
    </row>
    <row r="105" spans="6:10" x14ac:dyDescent="0.3">
      <c r="F105" s="16"/>
      <c r="G105" s="16"/>
      <c r="H105" s="16"/>
      <c r="I105" s="16"/>
      <c r="J105" s="16"/>
    </row>
    <row r="106" spans="6:10" x14ac:dyDescent="0.3">
      <c r="F106" s="16"/>
      <c r="G106" s="16"/>
      <c r="H106" s="16"/>
      <c r="I106" s="16"/>
      <c r="J106" s="16"/>
    </row>
    <row r="107" spans="6:10" x14ac:dyDescent="0.3">
      <c r="F107" s="16"/>
      <c r="G107" s="16"/>
      <c r="H107" s="16"/>
      <c r="I107" s="16"/>
      <c r="J107" s="16"/>
    </row>
    <row r="108" spans="6:10" x14ac:dyDescent="0.3">
      <c r="F108" s="16"/>
      <c r="G108" s="16"/>
      <c r="H108" s="16"/>
      <c r="I108" s="16"/>
      <c r="J108" s="16"/>
    </row>
    <row r="109" spans="6:10" x14ac:dyDescent="0.3">
      <c r="F109" s="16"/>
      <c r="G109" s="16"/>
      <c r="H109" s="16"/>
      <c r="I109" s="16"/>
      <c r="J109" s="16"/>
    </row>
    <row r="110" spans="6:10" x14ac:dyDescent="0.3">
      <c r="F110" s="14"/>
      <c r="G110" s="14"/>
      <c r="H110" s="14"/>
      <c r="I110" s="14"/>
      <c r="J110" s="14"/>
    </row>
    <row r="111" spans="6:10" x14ac:dyDescent="0.3">
      <c r="F111" s="14"/>
      <c r="G111" s="14"/>
      <c r="H111" s="14"/>
      <c r="I111" s="14"/>
      <c r="J111" s="14"/>
    </row>
    <row r="112" spans="6:10" x14ac:dyDescent="0.3">
      <c r="F112" s="14"/>
      <c r="G112" s="14"/>
      <c r="H112" s="14"/>
      <c r="I112" s="14"/>
      <c r="J112" s="14"/>
    </row>
    <row r="113" spans="2:10" x14ac:dyDescent="0.3">
      <c r="F113" s="14"/>
      <c r="G113" s="14"/>
      <c r="H113" s="14"/>
      <c r="I113" s="14"/>
      <c r="J113" s="14"/>
    </row>
    <row r="114" spans="2:10" x14ac:dyDescent="0.3">
      <c r="F114" s="14"/>
      <c r="G114" s="14"/>
      <c r="H114" s="14"/>
      <c r="I114" s="14"/>
      <c r="J114" s="14"/>
    </row>
    <row r="115" spans="2:10" x14ac:dyDescent="0.3">
      <c r="F115" s="13"/>
      <c r="G115" s="13"/>
      <c r="H115" s="13"/>
    </row>
    <row r="116" spans="2:10" x14ac:dyDescent="0.3">
      <c r="F116" s="12"/>
      <c r="G116" s="12"/>
      <c r="H116" s="12"/>
      <c r="I116" s="12"/>
      <c r="J116" s="12"/>
    </row>
    <row r="117" spans="2:10" x14ac:dyDescent="0.3">
      <c r="F117" s="13"/>
      <c r="G117" s="13"/>
      <c r="H117" s="13"/>
    </row>
    <row r="118" spans="2:10" x14ac:dyDescent="0.3">
      <c r="B118" s="5"/>
      <c r="F118" s="13"/>
      <c r="G118" s="13"/>
      <c r="H118" s="13"/>
    </row>
    <row r="119" spans="2:10" x14ac:dyDescent="0.3">
      <c r="B119" s="5"/>
      <c r="F119" s="13"/>
      <c r="G119" s="13"/>
      <c r="H119" s="13"/>
    </row>
    <row r="120" spans="2:10" x14ac:dyDescent="0.3">
      <c r="F120" s="14"/>
      <c r="G120" s="14"/>
      <c r="H120" s="14"/>
      <c r="I120" s="14"/>
      <c r="J120" s="14"/>
    </row>
    <row r="121" spans="2:10" x14ac:dyDescent="0.3">
      <c r="F121" s="13"/>
      <c r="G121" s="13"/>
      <c r="H121" s="13"/>
      <c r="I121" s="13"/>
      <c r="J121" s="13"/>
    </row>
    <row r="122" spans="2:10" x14ac:dyDescent="0.3">
      <c r="F122" s="13"/>
      <c r="G122" s="13"/>
      <c r="H122" s="13"/>
      <c r="I122" s="13"/>
      <c r="J122" s="13"/>
    </row>
    <row r="123" spans="2:10" x14ac:dyDescent="0.3">
      <c r="F123" s="13"/>
      <c r="G123" s="13"/>
      <c r="H123" s="13"/>
      <c r="I123" s="13"/>
      <c r="J123" s="13"/>
    </row>
    <row r="124" spans="2:10" x14ac:dyDescent="0.3">
      <c r="F124" s="25"/>
      <c r="G124" s="25"/>
      <c r="H124" s="25"/>
      <c r="I124" s="25"/>
      <c r="J124" s="25"/>
    </row>
    <row r="125" spans="2:10" x14ac:dyDescent="0.3">
      <c r="F125" s="12"/>
      <c r="G125" s="25"/>
      <c r="H125" s="25"/>
      <c r="I125" s="25"/>
      <c r="J125" s="25"/>
    </row>
    <row r="126" spans="2:10" x14ac:dyDescent="0.3">
      <c r="F126" s="9"/>
      <c r="G126" s="9"/>
      <c r="H126" s="9"/>
    </row>
    <row r="127" spans="2:10" x14ac:dyDescent="0.3">
      <c r="B127" s="5"/>
      <c r="F127" s="15"/>
      <c r="G127" s="15"/>
      <c r="H127" s="15"/>
    </row>
    <row r="128" spans="2:10" x14ac:dyDescent="0.3">
      <c r="F128" s="6"/>
      <c r="G128" s="6"/>
      <c r="H128" s="6"/>
    </row>
    <row r="129" spans="2:10" x14ac:dyDescent="0.3">
      <c r="F129" s="14"/>
      <c r="G129" s="14"/>
      <c r="H129" s="14"/>
      <c r="I129" s="14"/>
      <c r="J129" s="14"/>
    </row>
    <row r="130" spans="2:10" x14ac:dyDescent="0.3">
      <c r="F130" s="14"/>
      <c r="G130" s="6"/>
      <c r="H130" s="6"/>
    </row>
    <row r="131" spans="2:10" x14ac:dyDescent="0.3">
      <c r="F131" s="14"/>
      <c r="G131" s="6"/>
      <c r="H131" s="6"/>
    </row>
    <row r="132" spans="2:10" x14ac:dyDescent="0.3">
      <c r="F132" s="14"/>
      <c r="G132" s="6"/>
      <c r="H132" s="6"/>
    </row>
    <row r="133" spans="2:10" x14ac:dyDescent="0.3">
      <c r="F133" s="15"/>
      <c r="G133" s="6"/>
      <c r="H133" s="6"/>
    </row>
    <row r="134" spans="2:10" x14ac:dyDescent="0.3">
      <c r="F134" s="6"/>
      <c r="G134" s="6"/>
      <c r="H134" s="6"/>
    </row>
    <row r="135" spans="2:10" x14ac:dyDescent="0.3">
      <c r="B135" s="5"/>
      <c r="F135" s="6"/>
      <c r="G135" s="6"/>
      <c r="H135" s="6"/>
    </row>
    <row r="136" spans="2:10" x14ac:dyDescent="0.3">
      <c r="F136" s="6"/>
      <c r="G136" s="6"/>
      <c r="H136" s="6"/>
    </row>
    <row r="137" spans="2:10" x14ac:dyDescent="0.3">
      <c r="F137" s="14"/>
      <c r="G137" s="6"/>
      <c r="H137" s="6"/>
    </row>
    <row r="138" spans="2:10" x14ac:dyDescent="0.3">
      <c r="F138" s="9"/>
      <c r="G138" s="9"/>
      <c r="H138" s="9"/>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4" r:id="rId4" name="Drop Down 2">
              <controlPr defaultSize="0" autoLine="0" autoPict="0">
                <anchor moveWithCells="1">
                  <from>
                    <xdr:col>1</xdr:col>
                    <xdr:colOff>0</xdr:colOff>
                    <xdr:row>9</xdr:row>
                    <xdr:rowOff>0</xdr:rowOff>
                  </from>
                  <to>
                    <xdr:col>3</xdr:col>
                    <xdr:colOff>861060</xdr:colOff>
                    <xdr:row>10</xdr:row>
                    <xdr:rowOff>15240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A95AF-FDE0-40AF-9B1D-946EE3A6BF23}">
  <dimension ref="A2:P898"/>
  <sheetViews>
    <sheetView showGridLines="0" showWhiteSpace="0" zoomScale="102" zoomScaleNormal="79" zoomScalePageLayoutView="50" workbookViewId="0">
      <selection activeCell="G26" sqref="G26"/>
    </sheetView>
  </sheetViews>
  <sheetFormatPr defaultRowHeight="14.4" x14ac:dyDescent="0.3"/>
  <cols>
    <col min="2" max="12" width="14.5546875" bestFit="1" customWidth="1"/>
    <col min="13" max="13" width="8.88671875" customWidth="1"/>
    <col min="15" max="16" width="10.44140625" bestFit="1" customWidth="1"/>
    <col min="17" max="17" width="11" bestFit="1" customWidth="1"/>
    <col min="18" max="18" width="14" bestFit="1" customWidth="1"/>
  </cols>
  <sheetData>
    <row r="2" spans="1:16" ht="15.6" x14ac:dyDescent="0.35">
      <c r="A2" s="44"/>
      <c r="B2" s="44"/>
      <c r="C2" s="44"/>
      <c r="D2" s="44"/>
      <c r="E2" s="44"/>
      <c r="F2" s="44"/>
      <c r="G2" s="44"/>
      <c r="H2" s="44"/>
      <c r="I2" s="44"/>
      <c r="J2" s="44"/>
      <c r="K2" s="44"/>
      <c r="L2" s="44"/>
    </row>
    <row r="3" spans="1:16" ht="28.8" x14ac:dyDescent="0.65">
      <c r="A3" s="44"/>
      <c r="B3" s="45" t="str">
        <f>Cover!$B$2</f>
        <v>ASOS PLC</v>
      </c>
      <c r="C3" s="45"/>
      <c r="D3" s="46"/>
      <c r="E3" s="47"/>
      <c r="F3" s="47"/>
      <c r="G3" s="47"/>
      <c r="H3" s="47"/>
      <c r="I3" s="47"/>
      <c r="J3" s="47"/>
      <c r="K3" s="47"/>
      <c r="L3" s="47"/>
    </row>
    <row r="4" spans="1:16" ht="21" x14ac:dyDescent="0.5">
      <c r="A4" s="44"/>
      <c r="B4" s="48" t="s">
        <v>0</v>
      </c>
      <c r="C4" s="49"/>
      <c r="D4" s="47"/>
      <c r="E4" s="47"/>
      <c r="F4" s="47"/>
      <c r="G4" s="47"/>
      <c r="H4" s="47"/>
      <c r="I4" s="47"/>
      <c r="J4" s="47"/>
      <c r="K4" s="47"/>
      <c r="L4" s="159" t="str">
        <f>"Currently Running: "&amp;CHOOSE(Assumptions!$B$10,Assumptions!$F$15,Assumptions!$F$16,Assumptions!$F$17)&amp;"Scenario"</f>
        <v>Currently Running: Base Scenario</v>
      </c>
    </row>
    <row r="5" spans="1:16" ht="15.6" x14ac:dyDescent="0.35">
      <c r="A5" s="44"/>
      <c r="B5" s="50"/>
      <c r="C5" s="50"/>
      <c r="D5" s="50"/>
      <c r="E5" s="50"/>
      <c r="F5" s="50"/>
      <c r="G5" s="50"/>
      <c r="H5" s="50"/>
      <c r="I5" s="50"/>
      <c r="J5" s="50"/>
      <c r="K5" s="51"/>
      <c r="L5" s="51"/>
    </row>
    <row r="6" spans="1:16" ht="15.6" x14ac:dyDescent="0.35">
      <c r="A6" s="44"/>
      <c r="B6" s="51"/>
      <c r="C6" s="51"/>
      <c r="D6" s="51"/>
      <c r="E6" s="51"/>
      <c r="F6" s="52" t="s">
        <v>361</v>
      </c>
      <c r="G6" s="52"/>
      <c r="H6" s="52"/>
      <c r="I6" s="52"/>
      <c r="J6" s="52"/>
      <c r="K6" s="52"/>
      <c r="L6" s="52"/>
    </row>
    <row r="7" spans="1:16" ht="15.6" x14ac:dyDescent="0.35">
      <c r="A7" s="44"/>
      <c r="B7" s="51"/>
      <c r="C7" s="51"/>
      <c r="D7" s="51"/>
      <c r="E7" s="51"/>
      <c r="F7" s="53">
        <v>2024</v>
      </c>
      <c r="G7" s="53">
        <f>F7+1</f>
        <v>2025</v>
      </c>
      <c r="H7" s="54">
        <f>G7+1</f>
        <v>2026</v>
      </c>
      <c r="I7" s="54">
        <f t="shared" ref="I7:L7" si="0">H7+1</f>
        <v>2027</v>
      </c>
      <c r="J7" s="54">
        <f t="shared" si="0"/>
        <v>2028</v>
      </c>
      <c r="K7" s="54">
        <f t="shared" si="0"/>
        <v>2029</v>
      </c>
      <c r="L7" s="54">
        <f t="shared" si="0"/>
        <v>2030</v>
      </c>
    </row>
    <row r="8" spans="1:16" ht="16.2" thickBot="1" x14ac:dyDescent="0.4">
      <c r="A8" s="44"/>
      <c r="B8" s="55" t="s">
        <v>187</v>
      </c>
      <c r="C8" s="55"/>
      <c r="D8" s="55"/>
      <c r="E8" s="55"/>
      <c r="F8" s="56" t="s">
        <v>50</v>
      </c>
      <c r="G8" s="56"/>
      <c r="H8" s="57"/>
      <c r="I8" s="57"/>
      <c r="J8" s="57"/>
      <c r="K8" s="57"/>
      <c r="L8" s="172" t="s">
        <v>37</v>
      </c>
    </row>
    <row r="9" spans="1:16" ht="15.6" x14ac:dyDescent="0.35">
      <c r="A9" s="44"/>
      <c r="B9" s="51"/>
      <c r="C9" s="51"/>
      <c r="D9" s="51"/>
      <c r="E9" s="51"/>
      <c r="F9" s="58"/>
      <c r="G9" s="58"/>
      <c r="H9" s="59"/>
      <c r="I9" s="59"/>
      <c r="J9" s="59"/>
      <c r="K9" s="59"/>
      <c r="L9" s="59"/>
    </row>
    <row r="10" spans="1:16" ht="15.6" x14ac:dyDescent="0.35">
      <c r="A10" s="44"/>
      <c r="B10" s="360" t="s">
        <v>5</v>
      </c>
      <c r="C10" s="275"/>
      <c r="D10" s="61"/>
      <c r="E10" s="61"/>
      <c r="F10" s="180">
        <v>2905800000</v>
      </c>
      <c r="G10" s="180">
        <v>2477800000</v>
      </c>
      <c r="H10" s="181">
        <f>H218</f>
        <v>2469127153.1470585</v>
      </c>
      <c r="I10" s="181">
        <f t="shared" ref="I10:L10" si="1">I218</f>
        <v>2475342692.2221179</v>
      </c>
      <c r="J10" s="181">
        <f t="shared" si="1"/>
        <v>2554802143.7576699</v>
      </c>
      <c r="K10" s="181">
        <f t="shared" si="1"/>
        <v>2676004829.4055157</v>
      </c>
      <c r="L10" s="181">
        <f t="shared" si="1"/>
        <v>2843024848.793159</v>
      </c>
    </row>
    <row r="11" spans="1:16" ht="15.6" x14ac:dyDescent="0.35">
      <c r="A11" s="44"/>
      <c r="B11" s="361" t="s">
        <v>44</v>
      </c>
      <c r="C11" s="123"/>
      <c r="D11" s="123"/>
      <c r="E11" s="123"/>
      <c r="F11" s="236">
        <v>-1743300000</v>
      </c>
      <c r="G11" s="236">
        <v>-1311100000</v>
      </c>
      <c r="H11" s="236">
        <f>-H244</f>
        <v>-1320555358.4558823</v>
      </c>
      <c r="I11" s="236">
        <f t="shared" ref="I11:L11" si="2">-I244</f>
        <v>-1318954685.2941177</v>
      </c>
      <c r="J11" s="236">
        <f t="shared" si="2"/>
        <v>-1358523325.8529415</v>
      </c>
      <c r="K11" s="236">
        <f t="shared" si="2"/>
        <v>-1421142760.4039755</v>
      </c>
      <c r="L11" s="236">
        <f t="shared" si="2"/>
        <v>-1508816336.8535128</v>
      </c>
    </row>
    <row r="12" spans="1:16" ht="15.6" x14ac:dyDescent="0.35">
      <c r="A12" s="44"/>
      <c r="B12" s="185" t="s">
        <v>45</v>
      </c>
      <c r="C12" s="185"/>
      <c r="D12" s="185"/>
      <c r="E12" s="185"/>
      <c r="F12" s="264">
        <f>SUM(F10:F11)</f>
        <v>1162500000</v>
      </c>
      <c r="G12" s="264">
        <f t="shared" ref="G12:L12" si="3">SUM(G10:G11)</f>
        <v>1166700000</v>
      </c>
      <c r="H12" s="208">
        <f t="shared" si="3"/>
        <v>1148571794.6911762</v>
      </c>
      <c r="I12" s="208">
        <f t="shared" si="3"/>
        <v>1156388006.9280002</v>
      </c>
      <c r="J12" s="208">
        <f t="shared" si="3"/>
        <v>1196278817.9047284</v>
      </c>
      <c r="K12" s="208">
        <f t="shared" si="3"/>
        <v>1254862069.0015402</v>
      </c>
      <c r="L12" s="208">
        <f t="shared" si="3"/>
        <v>1334208511.9396462</v>
      </c>
      <c r="O12" s="174"/>
      <c r="P12" s="174"/>
    </row>
    <row r="13" spans="1:16" ht="15.6" x14ac:dyDescent="0.35">
      <c r="A13" s="44"/>
      <c r="B13" s="276" t="s">
        <v>46</v>
      </c>
      <c r="C13" s="276"/>
      <c r="D13" s="277"/>
      <c r="E13" s="277"/>
      <c r="F13" s="285">
        <f>F12/F10</f>
        <v>0.40006194507536652</v>
      </c>
      <c r="G13" s="285">
        <f>G12/G10</f>
        <v>0.47086124788118494</v>
      </c>
      <c r="H13" s="285">
        <f t="shared" ref="H13:L13" si="4">H12/H10</f>
        <v>0.46517320634024412</v>
      </c>
      <c r="I13" s="285">
        <f t="shared" si="4"/>
        <v>0.46716279348372142</v>
      </c>
      <c r="J13" s="285">
        <f t="shared" si="4"/>
        <v>0.46824714815105417</v>
      </c>
      <c r="K13" s="285">
        <f t="shared" si="4"/>
        <v>0.46893116754214242</v>
      </c>
      <c r="L13" s="285">
        <f t="shared" si="4"/>
        <v>0.46929189257913345</v>
      </c>
    </row>
    <row r="14" spans="1:16" ht="15.6" x14ac:dyDescent="0.35">
      <c r="A14" s="44"/>
      <c r="B14" s="61"/>
      <c r="C14" s="61"/>
      <c r="D14" s="63"/>
      <c r="E14" s="63"/>
      <c r="F14" s="60"/>
      <c r="G14" s="60"/>
      <c r="H14" s="60"/>
      <c r="I14" s="60"/>
      <c r="J14" s="60"/>
      <c r="K14" s="60"/>
      <c r="L14" s="60"/>
    </row>
    <row r="15" spans="1:16" ht="15.6" x14ac:dyDescent="0.35">
      <c r="A15" s="44"/>
      <c r="B15" s="103" t="s">
        <v>188</v>
      </c>
      <c r="C15" s="61"/>
      <c r="D15" s="63"/>
      <c r="E15" s="63"/>
      <c r="F15" s="180">
        <v>-326100000</v>
      </c>
      <c r="G15" s="180">
        <v>-262300000</v>
      </c>
      <c r="H15" s="274">
        <f>H272</f>
        <v>-263495779.41176465</v>
      </c>
      <c r="I15" s="274">
        <f t="shared" ref="I15:L15" si="5">I272</f>
        <v>-263176390.58823529</v>
      </c>
      <c r="J15" s="274">
        <f t="shared" si="5"/>
        <v>-271071682.30588233</v>
      </c>
      <c r="K15" s="274">
        <f t="shared" si="5"/>
        <v>-283566392.6621691</v>
      </c>
      <c r="L15" s="274">
        <f t="shared" si="5"/>
        <v>-301060257.80948138</v>
      </c>
    </row>
    <row r="16" spans="1:16" ht="15.6" x14ac:dyDescent="0.35">
      <c r="A16" s="44"/>
      <c r="B16" s="103" t="s">
        <v>189</v>
      </c>
      <c r="C16" s="63"/>
      <c r="D16" s="63"/>
      <c r="E16" s="63"/>
      <c r="F16" s="180">
        <v>-1170300000</v>
      </c>
      <c r="G16" s="180">
        <v>-1133200000</v>
      </c>
      <c r="H16" s="181">
        <f>H305</f>
        <v>-1014766977.3695769</v>
      </c>
      <c r="I16" s="181">
        <f t="shared" ref="I16:L16" si="6">I305</f>
        <v>-1039675095.8435304</v>
      </c>
      <c r="J16" s="181">
        <f t="shared" si="6"/>
        <v>-1076240787.9714413</v>
      </c>
      <c r="K16" s="181">
        <f t="shared" si="6"/>
        <v>-1117088605.4785845</v>
      </c>
      <c r="L16" s="181">
        <f t="shared" si="6"/>
        <v>-1166806671.8222835</v>
      </c>
    </row>
    <row r="17" spans="1:12" ht="15.6" x14ac:dyDescent="0.35">
      <c r="A17" s="44"/>
      <c r="B17" s="103" t="s">
        <v>190</v>
      </c>
      <c r="C17" s="63"/>
      <c r="D17" s="63"/>
      <c r="E17" s="63"/>
      <c r="F17" s="180">
        <v>2000000</v>
      </c>
      <c r="G17" s="180">
        <v>16500000</v>
      </c>
      <c r="H17" s="181">
        <f>G17</f>
        <v>16500000</v>
      </c>
      <c r="I17" s="181">
        <f t="shared" ref="I17:L17" si="7">H17</f>
        <v>16500000</v>
      </c>
      <c r="J17" s="181">
        <f t="shared" si="7"/>
        <v>16500000</v>
      </c>
      <c r="K17" s="181">
        <f t="shared" si="7"/>
        <v>16500000</v>
      </c>
      <c r="L17" s="181">
        <f t="shared" si="7"/>
        <v>16500000</v>
      </c>
    </row>
    <row r="18" spans="1:12" ht="15.6" x14ac:dyDescent="0.35">
      <c r="A18" s="44"/>
      <c r="B18" s="185" t="s">
        <v>39</v>
      </c>
      <c r="C18" s="185"/>
      <c r="D18" s="185"/>
      <c r="E18" s="185"/>
      <c r="F18" s="264">
        <f>F12+SUM(F15:F17)</f>
        <v>-331900000</v>
      </c>
      <c r="G18" s="264">
        <f t="shared" ref="G18" si="8">G12+SUM(G15:G17)</f>
        <v>-212300000</v>
      </c>
      <c r="H18" s="208">
        <f>SUM(H15:H17)+H12</f>
        <v>-113190962.09016538</v>
      </c>
      <c r="I18" s="208">
        <f t="shared" ref="I18:L18" si="9">SUM(I15:I17)+I12</f>
        <v>-129963479.50376558</v>
      </c>
      <c r="J18" s="208">
        <f t="shared" si="9"/>
        <v>-134533652.37259531</v>
      </c>
      <c r="K18" s="208">
        <f t="shared" si="9"/>
        <v>-129292929.13921356</v>
      </c>
      <c r="L18" s="208">
        <f t="shared" si="9"/>
        <v>-117158417.69211864</v>
      </c>
    </row>
    <row r="19" spans="1:12" ht="15.6" x14ac:dyDescent="0.35">
      <c r="A19" s="44"/>
      <c r="B19" s="276" t="s">
        <v>140</v>
      </c>
      <c r="C19" s="277"/>
      <c r="D19" s="277"/>
      <c r="E19" s="277"/>
      <c r="F19" s="285">
        <f t="shared" ref="F19:L19" si="10">F18/F10</f>
        <v>-0.11421983618968959</v>
      </c>
      <c r="G19" s="285">
        <f t="shared" si="10"/>
        <v>-8.5680845911695863E-2</v>
      </c>
      <c r="H19" s="285">
        <f t="shared" si="10"/>
        <v>-4.5842500231669456E-2</v>
      </c>
      <c r="I19" s="285">
        <f t="shared" si="10"/>
        <v>-5.250322709341599E-2</v>
      </c>
      <c r="J19" s="285">
        <f t="shared" si="10"/>
        <v>-5.2659127714179736E-2</v>
      </c>
      <c r="K19" s="285">
        <f t="shared" si="10"/>
        <v>-4.8315656129789747E-2</v>
      </c>
      <c r="L19" s="285">
        <f t="shared" si="10"/>
        <v>-4.1209072703621091E-2</v>
      </c>
    </row>
    <row r="20" spans="1:12" ht="15.6" x14ac:dyDescent="0.35">
      <c r="A20" s="44"/>
      <c r="B20" s="63"/>
      <c r="C20" s="63"/>
      <c r="D20" s="63"/>
      <c r="E20" s="63"/>
      <c r="F20" s="64"/>
      <c r="G20" s="64"/>
      <c r="H20" s="64"/>
      <c r="I20" s="64"/>
      <c r="J20" s="64"/>
      <c r="K20" s="64"/>
      <c r="L20" s="64"/>
    </row>
    <row r="21" spans="1:12" ht="15.6" x14ac:dyDescent="0.35">
      <c r="A21" s="44"/>
      <c r="B21" s="321" t="s">
        <v>112</v>
      </c>
      <c r="C21" s="61"/>
      <c r="D21" s="63"/>
      <c r="E21" s="63"/>
      <c r="F21" s="288">
        <v>28900000</v>
      </c>
      <c r="G21" s="288">
        <v>26700000</v>
      </c>
      <c r="H21" s="245">
        <f>H442</f>
        <v>32655301.722517647</v>
      </c>
      <c r="I21" s="245">
        <f t="shared" ref="I21:L21" si="11">I442</f>
        <v>36610877.59881299</v>
      </c>
      <c r="J21" s="245">
        <f t="shared" si="11"/>
        <v>40634993.467596814</v>
      </c>
      <c r="K21" s="245">
        <f t="shared" si="11"/>
        <v>44819639.046127364</v>
      </c>
      <c r="L21" s="245">
        <f t="shared" si="11"/>
        <v>49234862.788686305</v>
      </c>
    </row>
    <row r="22" spans="1:12" ht="15.6" x14ac:dyDescent="0.35">
      <c r="A22" s="44"/>
      <c r="B22" s="321" t="s">
        <v>113</v>
      </c>
      <c r="C22" s="61"/>
      <c r="D22" s="63"/>
      <c r="E22" s="63"/>
      <c r="F22" s="288">
        <v>25100000</v>
      </c>
      <c r="G22" s="288">
        <v>24000000</v>
      </c>
      <c r="H22" s="245">
        <f>H395</f>
        <v>17210000</v>
      </c>
      <c r="I22" s="245">
        <f t="shared" ref="I22:L22" si="12">I395</f>
        <v>17210000</v>
      </c>
      <c r="J22" s="245">
        <f t="shared" si="12"/>
        <v>17210000</v>
      </c>
      <c r="K22" s="245">
        <f t="shared" si="12"/>
        <v>17210000</v>
      </c>
      <c r="L22" s="245">
        <f t="shared" si="12"/>
        <v>17210000</v>
      </c>
    </row>
    <row r="23" spans="1:12" ht="15.6" x14ac:dyDescent="0.35">
      <c r="A23" s="44"/>
      <c r="B23" s="381" t="s">
        <v>24</v>
      </c>
      <c r="C23" s="65"/>
      <c r="D23" s="65"/>
      <c r="E23" s="65"/>
      <c r="F23" s="289">
        <v>117300000</v>
      </c>
      <c r="G23" s="289">
        <v>115500000</v>
      </c>
      <c r="H23" s="253">
        <f>H469</f>
        <v>95890948.168181688</v>
      </c>
      <c r="I23" s="253">
        <f t="shared" ref="I23:L23" si="13">I469</f>
        <v>112453664.98009716</v>
      </c>
      <c r="J23" s="253">
        <f t="shared" si="13"/>
        <v>129303371.22702277</v>
      </c>
      <c r="K23" s="253">
        <f t="shared" si="13"/>
        <v>146825244.61359733</v>
      </c>
      <c r="L23" s="253">
        <f t="shared" si="13"/>
        <v>165312590.77916718</v>
      </c>
    </row>
    <row r="24" spans="1:12" ht="15.6" x14ac:dyDescent="0.35">
      <c r="A24" s="44"/>
      <c r="B24" s="278" t="s">
        <v>47</v>
      </c>
      <c r="C24" s="114"/>
      <c r="D24" s="114"/>
      <c r="E24" s="114"/>
      <c r="F24" s="274">
        <f>SUM(F21:F23)</f>
        <v>171300000</v>
      </c>
      <c r="G24" s="274">
        <f t="shared" ref="G24" si="14">SUM(G21:G23)</f>
        <v>166200000</v>
      </c>
      <c r="H24" s="274">
        <f>SUM(H21:H23)</f>
        <v>145756249.89069933</v>
      </c>
      <c r="I24" s="274">
        <f t="shared" ref="I24:L24" si="15">SUM(I21:I23)</f>
        <v>166274542.57891014</v>
      </c>
      <c r="J24" s="274">
        <f t="shared" si="15"/>
        <v>187148364.6946196</v>
      </c>
      <c r="K24" s="274">
        <f t="shared" si="15"/>
        <v>208854883.65972471</v>
      </c>
      <c r="L24" s="274">
        <f t="shared" si="15"/>
        <v>231757453.56785348</v>
      </c>
    </row>
    <row r="25" spans="1:12" ht="15.6" x14ac:dyDescent="0.35">
      <c r="A25" s="44"/>
      <c r="B25" s="185" t="s">
        <v>138</v>
      </c>
      <c r="C25" s="185"/>
      <c r="D25" s="185"/>
      <c r="E25" s="185"/>
      <c r="F25" s="264">
        <f t="shared" ref="F25" si="16">F18+F24</f>
        <v>-160600000</v>
      </c>
      <c r="G25" s="264">
        <f>G18+G24</f>
        <v>-46100000</v>
      </c>
      <c r="H25" s="208">
        <f t="shared" ref="H25:L25" si="17">H18+H24</f>
        <v>32565287.80053395</v>
      </c>
      <c r="I25" s="208">
        <f t="shared" si="17"/>
        <v>36311063.075144559</v>
      </c>
      <c r="J25" s="208">
        <f t="shared" si="17"/>
        <v>52614712.322024286</v>
      </c>
      <c r="K25" s="208">
        <f t="shared" si="17"/>
        <v>79561954.52051115</v>
      </c>
      <c r="L25" s="208">
        <f t="shared" si="17"/>
        <v>114599035.87573484</v>
      </c>
    </row>
    <row r="26" spans="1:12" ht="15.6" x14ac:dyDescent="0.35">
      <c r="A26" s="44"/>
      <c r="B26" s="276" t="s">
        <v>139</v>
      </c>
      <c r="C26" s="277"/>
      <c r="D26" s="277"/>
      <c r="E26" s="277"/>
      <c r="F26" s="286">
        <f t="shared" ref="F26:L26" si="18">F25/F10</f>
        <v>-5.5268772799229128E-2</v>
      </c>
      <c r="G26" s="286">
        <f t="shared" si="18"/>
        <v>-1.8605214303010736E-2</v>
      </c>
      <c r="H26" s="286">
        <f t="shared" si="18"/>
        <v>1.3188987759916469E-2</v>
      </c>
      <c r="I26" s="286">
        <f t="shared" si="18"/>
        <v>1.4669105489611249E-2</v>
      </c>
      <c r="J26" s="286">
        <f t="shared" si="18"/>
        <v>2.0594437205472667E-2</v>
      </c>
      <c r="K26" s="286">
        <f t="shared" si="18"/>
        <v>2.9731618435900255E-2</v>
      </c>
      <c r="L26" s="286">
        <f t="shared" si="18"/>
        <v>4.0308840749099045E-2</v>
      </c>
    </row>
    <row r="27" spans="1:12" ht="15.6" x14ac:dyDescent="0.35">
      <c r="A27" s="44"/>
      <c r="B27" s="63"/>
      <c r="C27" s="63"/>
      <c r="D27" s="63"/>
      <c r="E27" s="63"/>
      <c r="F27" s="66"/>
      <c r="G27" s="66"/>
      <c r="H27" s="67"/>
      <c r="I27" s="67"/>
      <c r="J27" s="67"/>
      <c r="K27" s="67"/>
      <c r="L27" s="67"/>
    </row>
    <row r="28" spans="1:12" ht="15.6" x14ac:dyDescent="0.35">
      <c r="A28" s="44"/>
      <c r="B28" s="321" t="s">
        <v>191</v>
      </c>
      <c r="C28" s="63"/>
      <c r="D28" s="63"/>
      <c r="E28" s="63"/>
      <c r="F28" s="180">
        <v>12000000</v>
      </c>
      <c r="G28" s="180">
        <v>4800000</v>
      </c>
      <c r="H28" s="181">
        <f>H596</f>
        <v>3189000</v>
      </c>
      <c r="I28" s="181">
        <f>I596</f>
        <v>1202999.0556847786</v>
      </c>
      <c r="J28" s="181">
        <f>J596</f>
        <v>300000.00000000017</v>
      </c>
      <c r="K28" s="181">
        <f>K596</f>
        <v>300000.00000000017</v>
      </c>
      <c r="L28" s="181">
        <f>L596</f>
        <v>300000.00000000017</v>
      </c>
    </row>
    <row r="29" spans="1:12" ht="15.6" x14ac:dyDescent="0.35">
      <c r="A29" s="44"/>
      <c r="B29" s="381" t="s">
        <v>48</v>
      </c>
      <c r="C29" s="65"/>
      <c r="D29" s="68"/>
      <c r="E29" s="68"/>
      <c r="F29" s="183">
        <v>-59400000</v>
      </c>
      <c r="G29" s="183">
        <v>-74100000</v>
      </c>
      <c r="H29" s="258">
        <f>-H594+H407</f>
        <v>-55039600</v>
      </c>
      <c r="I29" s="258">
        <f>-I594+I407</f>
        <v>-53478550</v>
      </c>
      <c r="J29" s="258">
        <f>-J594+J407</f>
        <v>-59082485.266132593</v>
      </c>
      <c r="K29" s="258">
        <f>-K594+K407</f>
        <v>-74242495.403930083</v>
      </c>
      <c r="L29" s="258">
        <f>-L594+L407</f>
        <v>-89319113.399617612</v>
      </c>
    </row>
    <row r="30" spans="1:12" ht="15.6" x14ac:dyDescent="0.35">
      <c r="A30" s="44"/>
      <c r="B30" s="278" t="s">
        <v>40</v>
      </c>
      <c r="C30" s="114"/>
      <c r="D30" s="114"/>
      <c r="E30" s="114"/>
      <c r="F30" s="181">
        <f>SUM(F28:F29)</f>
        <v>-47400000</v>
      </c>
      <c r="G30" s="181">
        <f t="shared" ref="G30:L30" si="19">SUM(G28:G29)</f>
        <v>-69300000</v>
      </c>
      <c r="H30" s="181">
        <f t="shared" si="19"/>
        <v>-51850600</v>
      </c>
      <c r="I30" s="181">
        <f t="shared" si="19"/>
        <v>-52275550.944315225</v>
      </c>
      <c r="J30" s="181">
        <f t="shared" si="19"/>
        <v>-58782485.266132593</v>
      </c>
      <c r="K30" s="181">
        <f t="shared" si="19"/>
        <v>-73942495.403930083</v>
      </c>
      <c r="L30" s="181">
        <f t="shared" si="19"/>
        <v>-89019113.399617612</v>
      </c>
    </row>
    <row r="31" spans="1:12" ht="15.6" x14ac:dyDescent="0.35">
      <c r="A31" s="44"/>
      <c r="B31" s="185" t="s">
        <v>192</v>
      </c>
      <c r="C31" s="185"/>
      <c r="D31" s="185"/>
      <c r="E31" s="185"/>
      <c r="F31" s="264">
        <f t="shared" ref="F31:L31" si="20">F18+F30</f>
        <v>-379300000</v>
      </c>
      <c r="G31" s="264">
        <f t="shared" si="20"/>
        <v>-281600000</v>
      </c>
      <c r="H31" s="208">
        <f t="shared" si="20"/>
        <v>-165041562.09016538</v>
      </c>
      <c r="I31" s="208">
        <f t="shared" si="20"/>
        <v>-182239030.44808081</v>
      </c>
      <c r="J31" s="208">
        <f t="shared" si="20"/>
        <v>-193316137.6387279</v>
      </c>
      <c r="K31" s="208">
        <f t="shared" si="20"/>
        <v>-203235424.54314363</v>
      </c>
      <c r="L31" s="208">
        <f t="shared" si="20"/>
        <v>-206177531.09173626</v>
      </c>
    </row>
    <row r="32" spans="1:12" ht="15.6" x14ac:dyDescent="0.35">
      <c r="A32" s="44"/>
      <c r="B32" s="63"/>
      <c r="C32" s="63"/>
      <c r="D32" s="63"/>
      <c r="E32" s="63"/>
      <c r="F32" s="182"/>
      <c r="G32" s="182"/>
      <c r="H32" s="223"/>
      <c r="I32" s="223"/>
      <c r="J32" s="223"/>
      <c r="K32" s="223"/>
      <c r="L32" s="223"/>
    </row>
    <row r="33" spans="1:12" ht="15.6" x14ac:dyDescent="0.35">
      <c r="A33" s="44"/>
      <c r="B33" s="103" t="s">
        <v>193</v>
      </c>
      <c r="C33" s="61"/>
      <c r="D33" s="61"/>
      <c r="E33" s="61"/>
      <c r="F33" s="180">
        <v>40600000</v>
      </c>
      <c r="G33" s="180">
        <v>-16800000</v>
      </c>
      <c r="H33" s="236">
        <f>H649</f>
        <v>0</v>
      </c>
      <c r="I33" s="236">
        <f t="shared" ref="I33" si="21">-I649</f>
        <v>0</v>
      </c>
      <c r="J33" s="236">
        <f>-J649</f>
        <v>0</v>
      </c>
      <c r="K33" s="236">
        <f t="shared" ref="K33:L33" si="22">-K649</f>
        <v>0</v>
      </c>
      <c r="L33" s="236">
        <f t="shared" si="22"/>
        <v>0</v>
      </c>
    </row>
    <row r="34" spans="1:12" ht="15.6" x14ac:dyDescent="0.35">
      <c r="A34" s="44"/>
      <c r="B34" s="185" t="s">
        <v>41</v>
      </c>
      <c r="C34" s="185"/>
      <c r="D34" s="185"/>
      <c r="E34" s="185"/>
      <c r="F34" s="264">
        <f t="shared" ref="F34:L34" si="23">F31+F33</f>
        <v>-338700000</v>
      </c>
      <c r="G34" s="264">
        <f t="shared" si="23"/>
        <v>-298400000</v>
      </c>
      <c r="H34" s="208">
        <f t="shared" si="23"/>
        <v>-165041562.09016538</v>
      </c>
      <c r="I34" s="208">
        <f t="shared" si="23"/>
        <v>-182239030.44808081</v>
      </c>
      <c r="J34" s="208">
        <f t="shared" si="23"/>
        <v>-193316137.6387279</v>
      </c>
      <c r="K34" s="208">
        <f t="shared" si="23"/>
        <v>-203235424.54314363</v>
      </c>
      <c r="L34" s="208">
        <f t="shared" si="23"/>
        <v>-206177531.09173626</v>
      </c>
    </row>
    <row r="35" spans="1:12" ht="15.6" x14ac:dyDescent="0.35">
      <c r="A35" s="44"/>
      <c r="B35" s="276" t="s">
        <v>42</v>
      </c>
      <c r="C35" s="276"/>
      <c r="D35" s="276"/>
      <c r="E35" s="276"/>
      <c r="F35" s="287">
        <f t="shared" ref="F35:L35" si="24">F34/F10</f>
        <v>-0.11655998348131323</v>
      </c>
      <c r="G35" s="287">
        <f t="shared" si="24"/>
        <v>-0.12042941318911939</v>
      </c>
      <c r="H35" s="287">
        <f t="shared" si="24"/>
        <v>-6.6842066792635393E-2</v>
      </c>
      <c r="I35" s="287">
        <f t="shared" si="24"/>
        <v>-7.3621737717650973E-2</v>
      </c>
      <c r="J35" s="287">
        <f t="shared" si="24"/>
        <v>-7.5667753023877404E-2</v>
      </c>
      <c r="K35" s="287">
        <f t="shared" si="24"/>
        <v>-7.5947331002497898E-2</v>
      </c>
      <c r="L35" s="287">
        <f t="shared" si="24"/>
        <v>-7.2520481549521787E-2</v>
      </c>
    </row>
    <row r="36" spans="1:12" ht="16.2" thickBot="1" x14ac:dyDescent="0.4">
      <c r="A36" s="44"/>
      <c r="B36" s="280"/>
      <c r="C36" s="280"/>
      <c r="D36" s="280"/>
      <c r="E36" s="280"/>
      <c r="F36" s="281"/>
      <c r="G36" s="281"/>
      <c r="H36" s="281"/>
      <c r="I36" s="281"/>
      <c r="J36" s="281"/>
      <c r="K36" s="281"/>
      <c r="L36" s="281"/>
    </row>
    <row r="37" spans="1:12" ht="15.6" x14ac:dyDescent="0.35">
      <c r="A37" s="44"/>
      <c r="B37" s="61" t="s">
        <v>342</v>
      </c>
      <c r="C37" s="61"/>
      <c r="D37" s="61"/>
      <c r="E37" s="282" t="s">
        <v>57</v>
      </c>
      <c r="F37" s="279">
        <v>-284.39999999999998</v>
      </c>
      <c r="G37" s="279">
        <v>-250.1</v>
      </c>
      <c r="H37" s="178">
        <f>H34/H38*100</f>
        <v>-138.3416279045812</v>
      </c>
      <c r="I37" s="178">
        <f t="shared" ref="I37:L37" si="25">I34/I38*100</f>
        <v>-152.75694086176094</v>
      </c>
      <c r="J37" s="178">
        <f t="shared" si="25"/>
        <v>-162.04202652030838</v>
      </c>
      <c r="K37" s="178">
        <f t="shared" si="25"/>
        <v>-170.35660062292007</v>
      </c>
      <c r="L37" s="178">
        <f t="shared" si="25"/>
        <v>-172.82274190422152</v>
      </c>
    </row>
    <row r="38" spans="1:12" ht="15.6" x14ac:dyDescent="0.35">
      <c r="A38" s="44"/>
      <c r="B38" s="61" t="s">
        <v>343</v>
      </c>
      <c r="C38" s="61"/>
      <c r="D38" s="61"/>
      <c r="E38" s="282" t="s">
        <v>344</v>
      </c>
      <c r="F38" s="284">
        <v>119100000</v>
      </c>
      <c r="G38" s="284">
        <v>119300000</v>
      </c>
      <c r="H38" s="283">
        <f>G38</f>
        <v>119300000</v>
      </c>
      <c r="I38" s="283">
        <f t="shared" ref="I38:L38" si="26">H38</f>
        <v>119300000</v>
      </c>
      <c r="J38" s="283">
        <f t="shared" si="26"/>
        <v>119300000</v>
      </c>
      <c r="K38" s="283">
        <f t="shared" si="26"/>
        <v>119300000</v>
      </c>
      <c r="L38" s="283">
        <f t="shared" si="26"/>
        <v>119300000</v>
      </c>
    </row>
    <row r="39" spans="1:12" ht="15.6" x14ac:dyDescent="0.35">
      <c r="A39" s="44"/>
      <c r="B39" s="61"/>
      <c r="C39" s="61"/>
      <c r="D39" s="61"/>
      <c r="E39" s="61"/>
      <c r="F39" s="69"/>
      <c r="G39" s="69"/>
      <c r="H39" s="70"/>
      <c r="I39" s="70"/>
      <c r="J39" s="70"/>
      <c r="K39" s="70"/>
      <c r="L39" s="70"/>
    </row>
    <row r="40" spans="1:12" ht="15.6" x14ac:dyDescent="0.35">
      <c r="A40" s="44"/>
      <c r="B40" s="44"/>
      <c r="C40" s="44"/>
      <c r="D40" s="44"/>
      <c r="E40" s="44"/>
      <c r="F40" s="44"/>
      <c r="G40" s="44"/>
      <c r="H40" s="44"/>
      <c r="I40" s="44"/>
      <c r="J40" s="44"/>
      <c r="K40" s="44"/>
      <c r="L40" s="44"/>
    </row>
    <row r="41" spans="1:12" ht="15.6" x14ac:dyDescent="0.35">
      <c r="A41" s="44"/>
      <c r="B41" s="44"/>
      <c r="C41" s="44"/>
      <c r="D41" s="44"/>
      <c r="E41" s="44"/>
      <c r="F41" s="44"/>
      <c r="G41" s="44"/>
      <c r="H41" s="44"/>
      <c r="I41" s="44"/>
      <c r="J41" s="44"/>
      <c r="K41" s="44"/>
      <c r="L41" s="44"/>
    </row>
    <row r="42" spans="1:12" ht="28.8" x14ac:dyDescent="0.65">
      <c r="A42" s="44"/>
      <c r="B42" s="45" t="str">
        <f>Cover!$B$2</f>
        <v>ASOS PLC</v>
      </c>
      <c r="C42" s="45"/>
      <c r="D42" s="46"/>
      <c r="E42" s="47"/>
      <c r="F42" s="47"/>
      <c r="G42" s="47"/>
      <c r="H42" s="47"/>
      <c r="I42" s="47"/>
      <c r="J42" s="47"/>
      <c r="K42" s="47"/>
      <c r="L42" s="47"/>
    </row>
    <row r="43" spans="1:12" ht="21" x14ac:dyDescent="0.5">
      <c r="A43" s="44"/>
      <c r="B43" s="48" t="s">
        <v>1</v>
      </c>
      <c r="C43" s="49"/>
      <c r="D43" s="47"/>
      <c r="E43" s="47"/>
      <c r="F43" s="47"/>
      <c r="G43" s="47"/>
      <c r="H43" s="47"/>
      <c r="I43" s="47"/>
      <c r="J43" s="47"/>
      <c r="K43" s="47"/>
      <c r="L43" s="159" t="str">
        <f>"Currently Running: "&amp;CHOOSE(Assumptions!$B$10,Assumptions!$F$15,Assumptions!$F$16,Assumptions!$F$17)&amp;"Scenario"</f>
        <v>Currently Running: Base Scenario</v>
      </c>
    </row>
    <row r="44" spans="1:12" ht="15.6" x14ac:dyDescent="0.35">
      <c r="A44" s="44"/>
      <c r="B44" s="50"/>
      <c r="C44" s="50"/>
      <c r="D44" s="50"/>
      <c r="E44" s="50"/>
      <c r="F44" s="50"/>
      <c r="G44" s="50"/>
      <c r="H44" s="50"/>
      <c r="I44" s="50"/>
      <c r="J44" s="50"/>
      <c r="K44" s="51"/>
      <c r="L44" s="51"/>
    </row>
    <row r="45" spans="1:12" ht="15.6" x14ac:dyDescent="0.35">
      <c r="A45" s="44"/>
      <c r="B45" s="51"/>
      <c r="C45" s="51"/>
      <c r="D45" s="51"/>
      <c r="E45" s="51"/>
      <c r="F45" s="216" t="s">
        <v>361</v>
      </c>
      <c r="G45" s="52"/>
      <c r="H45" s="52"/>
      <c r="I45" s="52"/>
      <c r="J45" s="52"/>
      <c r="K45" s="52"/>
      <c r="L45" s="52"/>
    </row>
    <row r="46" spans="1:12" ht="15.6" x14ac:dyDescent="0.35">
      <c r="A46" s="44"/>
      <c r="B46" s="51"/>
      <c r="C46" s="51"/>
      <c r="D46" s="51"/>
      <c r="E46" s="51"/>
      <c r="F46" s="53">
        <f>F7</f>
        <v>2024</v>
      </c>
      <c r="G46" s="53">
        <f>F46+1</f>
        <v>2025</v>
      </c>
      <c r="H46" s="54">
        <f>G46+1</f>
        <v>2026</v>
      </c>
      <c r="I46" s="54">
        <f t="shared" ref="I46" si="27">H46+1</f>
        <v>2027</v>
      </c>
      <c r="J46" s="54">
        <f t="shared" ref="J46" si="28">I46+1</f>
        <v>2028</v>
      </c>
      <c r="K46" s="54">
        <f t="shared" ref="K46" si="29">J46+1</f>
        <v>2029</v>
      </c>
      <c r="L46" s="54">
        <f t="shared" ref="L46" si="30">K46+1</f>
        <v>2030</v>
      </c>
    </row>
    <row r="47" spans="1:12" ht="16.2" thickBot="1" x14ac:dyDescent="0.4">
      <c r="A47" s="44"/>
      <c r="B47" s="55" t="s">
        <v>187</v>
      </c>
      <c r="C47" s="55"/>
      <c r="D47" s="55"/>
      <c r="E47" s="55"/>
      <c r="F47" s="56" t="s">
        <v>50</v>
      </c>
      <c r="G47" s="56"/>
      <c r="H47" s="57"/>
      <c r="I47" s="57"/>
      <c r="J47" s="57"/>
      <c r="K47" s="57"/>
      <c r="L47" s="172" t="s">
        <v>37</v>
      </c>
    </row>
    <row r="48" spans="1:12" ht="15.6" x14ac:dyDescent="0.35">
      <c r="A48" s="44"/>
      <c r="B48" s="51"/>
      <c r="C48" s="51"/>
      <c r="D48" s="51"/>
      <c r="E48" s="51"/>
      <c r="F48" s="71"/>
      <c r="G48" s="71"/>
      <c r="H48" s="72"/>
      <c r="I48" s="72"/>
      <c r="J48" s="72"/>
      <c r="K48" s="72"/>
      <c r="L48" s="72"/>
    </row>
    <row r="49" spans="1:14" ht="15.6" x14ac:dyDescent="0.35">
      <c r="A49" s="44"/>
      <c r="B49" s="196" t="s">
        <v>2</v>
      </c>
      <c r="C49" s="197"/>
      <c r="D49" s="198"/>
      <c r="E49" s="198"/>
      <c r="F49" s="199"/>
      <c r="G49" s="199"/>
      <c r="H49" s="199"/>
      <c r="I49" s="199"/>
      <c r="J49" s="199"/>
      <c r="K49" s="199"/>
      <c r="L49" s="200"/>
    </row>
    <row r="50" spans="1:14" ht="15.6" x14ac:dyDescent="0.35">
      <c r="A50" s="44"/>
      <c r="B50" s="61"/>
      <c r="C50" s="61"/>
      <c r="D50" s="61"/>
      <c r="E50" s="61"/>
      <c r="F50" s="73"/>
      <c r="G50" s="73"/>
      <c r="H50" s="74"/>
      <c r="I50" s="74"/>
      <c r="J50" s="74"/>
      <c r="K50" s="74"/>
      <c r="L50" s="74"/>
    </row>
    <row r="51" spans="1:14" ht="15.6" x14ac:dyDescent="0.35">
      <c r="A51" s="44"/>
      <c r="B51" s="103" t="s">
        <v>7</v>
      </c>
      <c r="C51" s="103"/>
      <c r="D51" s="103"/>
      <c r="E51" s="103"/>
      <c r="F51" s="180">
        <v>520300000</v>
      </c>
      <c r="G51" s="180">
        <v>402300000</v>
      </c>
      <c r="H51" s="236">
        <f>H255</f>
        <v>325616389.75624496</v>
      </c>
      <c r="I51" s="236">
        <f t="shared" ref="I51:L51" si="31">I255</f>
        <v>325221703.22320706</v>
      </c>
      <c r="J51" s="236">
        <f t="shared" si="31"/>
        <v>334978354.31990337</v>
      </c>
      <c r="K51" s="236">
        <f t="shared" si="31"/>
        <v>350418762.8393364</v>
      </c>
      <c r="L51" s="236">
        <f t="shared" si="31"/>
        <v>372036904.97757846</v>
      </c>
    </row>
    <row r="52" spans="1:14" ht="15.6" x14ac:dyDescent="0.35">
      <c r="A52" s="44"/>
      <c r="B52" s="103" t="s">
        <v>194</v>
      </c>
      <c r="C52" s="103"/>
      <c r="D52" s="103"/>
      <c r="E52" s="103"/>
      <c r="F52" s="180">
        <v>165500000</v>
      </c>
      <c r="G52" s="180">
        <v>0</v>
      </c>
      <c r="H52" s="184">
        <f>G52</f>
        <v>0</v>
      </c>
      <c r="I52" s="184">
        <f t="shared" ref="I52:L52" si="32">H52</f>
        <v>0</v>
      </c>
      <c r="J52" s="184">
        <f t="shared" si="32"/>
        <v>0</v>
      </c>
      <c r="K52" s="184">
        <f t="shared" si="32"/>
        <v>0</v>
      </c>
      <c r="L52" s="184">
        <f t="shared" si="32"/>
        <v>0</v>
      </c>
    </row>
    <row r="53" spans="1:14" ht="15.6" x14ac:dyDescent="0.35">
      <c r="A53" s="44"/>
      <c r="B53" s="103" t="s">
        <v>51</v>
      </c>
      <c r="C53" s="103"/>
      <c r="D53" s="103"/>
      <c r="E53" s="103"/>
      <c r="F53" s="180">
        <v>53400000</v>
      </c>
      <c r="G53" s="180">
        <v>49200000</v>
      </c>
      <c r="H53" s="236">
        <f>H344</f>
        <v>49382543.062941171</v>
      </c>
      <c r="I53" s="236">
        <f t="shared" ref="I53:L53" si="33">I344</f>
        <v>49506853.84444236</v>
      </c>
      <c r="J53" s="236">
        <f t="shared" si="33"/>
        <v>51096042.8751534</v>
      </c>
      <c r="K53" s="236">
        <f t="shared" si="33"/>
        <v>53520096.588110313</v>
      </c>
      <c r="L53" s="236">
        <f t="shared" si="33"/>
        <v>56860496.975863181</v>
      </c>
    </row>
    <row r="54" spans="1:14" ht="15.6" x14ac:dyDescent="0.35">
      <c r="A54" s="44"/>
      <c r="B54" s="103" t="s">
        <v>195</v>
      </c>
      <c r="C54" s="103"/>
      <c r="D54" s="103"/>
      <c r="E54" s="103"/>
      <c r="F54" s="180">
        <v>9500000</v>
      </c>
      <c r="G54" s="180">
        <v>1200000</v>
      </c>
      <c r="H54" s="181">
        <f>G54</f>
        <v>1200000</v>
      </c>
      <c r="I54" s="181">
        <f t="shared" ref="I54:L54" si="34">H54</f>
        <v>1200000</v>
      </c>
      <c r="J54" s="181">
        <f t="shared" si="34"/>
        <v>1200000</v>
      </c>
      <c r="K54" s="181">
        <f t="shared" si="34"/>
        <v>1200000</v>
      </c>
      <c r="L54" s="181">
        <f t="shared" si="34"/>
        <v>1200000</v>
      </c>
      <c r="N54" t="s">
        <v>296</v>
      </c>
    </row>
    <row r="55" spans="1:14" ht="15.6" x14ac:dyDescent="0.35">
      <c r="A55" s="44"/>
      <c r="B55" s="103" t="s">
        <v>52</v>
      </c>
      <c r="C55" s="103"/>
      <c r="D55" s="103"/>
      <c r="E55" s="103"/>
      <c r="F55" s="180">
        <v>391000000</v>
      </c>
      <c r="G55" s="180">
        <v>318900000</v>
      </c>
      <c r="H55" s="181">
        <f>H143</f>
        <v>120299905.56847787</v>
      </c>
      <c r="I55" s="181">
        <f t="shared" ref="I55:L55" si="35">I143</f>
        <v>30000000.000000015</v>
      </c>
      <c r="J55" s="181">
        <f t="shared" si="35"/>
        <v>30000000.000000015</v>
      </c>
      <c r="K55" s="181">
        <f>K143</f>
        <v>30000000.000000015</v>
      </c>
      <c r="L55" s="181">
        <f t="shared" si="35"/>
        <v>30000000.000000015</v>
      </c>
    </row>
    <row r="56" spans="1:14" ht="15.6" x14ac:dyDescent="0.35">
      <c r="A56" s="44"/>
      <c r="B56" s="103" t="s">
        <v>196</v>
      </c>
      <c r="C56" s="103"/>
      <c r="D56" s="103"/>
      <c r="E56" s="103"/>
      <c r="F56" s="180">
        <v>6700000</v>
      </c>
      <c r="G56" s="180">
        <v>3700000</v>
      </c>
      <c r="H56" s="181">
        <f>H658</f>
        <v>3700000</v>
      </c>
      <c r="I56" s="181">
        <f t="shared" ref="I56:L56" si="36">I658</f>
        <v>3700000</v>
      </c>
      <c r="J56" s="181">
        <f t="shared" si="36"/>
        <v>3700000</v>
      </c>
      <c r="K56" s="181">
        <f t="shared" si="36"/>
        <v>3700000</v>
      </c>
      <c r="L56" s="181">
        <f t="shared" si="36"/>
        <v>3700000</v>
      </c>
    </row>
    <row r="57" spans="1:14" ht="15.6" x14ac:dyDescent="0.35">
      <c r="A57" s="44"/>
      <c r="B57" s="230" t="s">
        <v>53</v>
      </c>
      <c r="C57" s="231"/>
      <c r="D57" s="231"/>
      <c r="E57" s="232"/>
      <c r="F57" s="355">
        <f>SUM(F51:F56)</f>
        <v>1146400000</v>
      </c>
      <c r="G57" s="355">
        <f t="shared" ref="G57:L57" si="37">SUM(G51:G56)</f>
        <v>775300000</v>
      </c>
      <c r="H57" s="229">
        <f t="shared" si="37"/>
        <v>500198838.38766402</v>
      </c>
      <c r="I57" s="229">
        <f t="shared" si="37"/>
        <v>409628557.06764942</v>
      </c>
      <c r="J57" s="229">
        <f t="shared" si="37"/>
        <v>420974397.1950568</v>
      </c>
      <c r="K57" s="229">
        <f t="shared" si="37"/>
        <v>438838859.42744672</v>
      </c>
      <c r="L57" s="229">
        <f t="shared" si="37"/>
        <v>463797401.95344162</v>
      </c>
    </row>
    <row r="58" spans="1:14" ht="15.6" x14ac:dyDescent="0.35">
      <c r="A58" s="44"/>
      <c r="B58" s="61"/>
      <c r="C58" s="61"/>
      <c r="D58" s="61"/>
      <c r="E58" s="61"/>
      <c r="F58" s="181"/>
      <c r="G58" s="181"/>
      <c r="H58" s="181"/>
      <c r="I58" s="181"/>
      <c r="J58" s="181"/>
      <c r="K58" s="181"/>
      <c r="L58" s="181"/>
    </row>
    <row r="59" spans="1:14" ht="15.6" x14ac:dyDescent="0.35">
      <c r="A59" s="44"/>
      <c r="B59" s="103" t="s">
        <v>54</v>
      </c>
      <c r="C59" s="61"/>
      <c r="D59" s="61"/>
      <c r="E59" s="61"/>
      <c r="F59" s="180">
        <v>283200000</v>
      </c>
      <c r="G59" s="180">
        <v>153400000</v>
      </c>
      <c r="H59" s="181">
        <f>H451</f>
        <v>140497715.50265881</v>
      </c>
      <c r="I59" s="181">
        <f t="shared" ref="I59:L59" si="38">I451</f>
        <v>123689579.44162276</v>
      </c>
      <c r="J59" s="181">
        <f t="shared" si="38"/>
        <v>103493003.12408732</v>
      </c>
      <c r="K59" s="181">
        <f t="shared" si="38"/>
        <v>80081402.713204086</v>
      </c>
      <c r="L59" s="181">
        <f t="shared" si="38"/>
        <v>53590738.714863062</v>
      </c>
    </row>
    <row r="60" spans="1:14" ht="15.6" x14ac:dyDescent="0.35">
      <c r="A60" s="44"/>
      <c r="B60" s="103" t="s">
        <v>197</v>
      </c>
      <c r="C60" s="61"/>
      <c r="D60" s="61"/>
      <c r="E60" s="61"/>
      <c r="F60" s="180">
        <v>514000000</v>
      </c>
      <c r="G60" s="180">
        <v>473600000</v>
      </c>
      <c r="H60" s="181">
        <f>H481</f>
        <v>460418533.51363516</v>
      </c>
      <c r="I60" s="181">
        <f t="shared" ref="I60:L60" si="39">I481</f>
        <v>430882554.97087586</v>
      </c>
      <c r="J60" s="181">
        <f t="shared" si="39"/>
        <v>387158559.77577114</v>
      </c>
      <c r="K60" s="181">
        <f t="shared" si="39"/>
        <v>329972672.9960013</v>
      </c>
      <c r="L60" s="181">
        <f t="shared" si="39"/>
        <v>259894186.03870523</v>
      </c>
    </row>
    <row r="61" spans="1:14" ht="15.6" x14ac:dyDescent="0.35">
      <c r="A61" s="44"/>
      <c r="B61" s="103" t="s">
        <v>56</v>
      </c>
      <c r="C61" s="61"/>
      <c r="D61" s="61"/>
      <c r="E61" s="61"/>
      <c r="F61" s="180">
        <v>254000000</v>
      </c>
      <c r="G61" s="180">
        <v>172100000</v>
      </c>
      <c r="H61" s="236">
        <f>H401</f>
        <v>154890000</v>
      </c>
      <c r="I61" s="181">
        <f t="shared" ref="I61:L61" si="40">I401</f>
        <v>137680000</v>
      </c>
      <c r="J61" s="181">
        <f t="shared" si="40"/>
        <v>120470000</v>
      </c>
      <c r="K61" s="181">
        <f t="shared" si="40"/>
        <v>103260000</v>
      </c>
      <c r="L61" s="181">
        <f t="shared" si="40"/>
        <v>86050000</v>
      </c>
    </row>
    <row r="62" spans="1:14" ht="15.6" x14ac:dyDescent="0.35">
      <c r="A62" s="44"/>
      <c r="B62" s="103" t="s">
        <v>198</v>
      </c>
      <c r="C62" s="61"/>
      <c r="D62" s="61"/>
      <c r="E62" s="61"/>
      <c r="F62" s="180">
        <v>7100000</v>
      </c>
      <c r="G62" s="180">
        <v>6200000</v>
      </c>
      <c r="H62" s="181">
        <f>G62</f>
        <v>6200000</v>
      </c>
      <c r="I62" s="181">
        <f t="shared" ref="I62:L62" si="41">H62</f>
        <v>6200000</v>
      </c>
      <c r="J62" s="181">
        <f t="shared" si="41"/>
        <v>6200000</v>
      </c>
      <c r="K62" s="181">
        <f t="shared" si="41"/>
        <v>6200000</v>
      </c>
      <c r="L62" s="181">
        <f t="shared" si="41"/>
        <v>6200000</v>
      </c>
    </row>
    <row r="63" spans="1:14" ht="15.6" x14ac:dyDescent="0.35">
      <c r="A63" s="44"/>
      <c r="B63" s="103" t="s">
        <v>199</v>
      </c>
      <c r="C63" s="61"/>
      <c r="D63" s="61"/>
      <c r="E63" s="61"/>
      <c r="F63" s="180">
        <v>0</v>
      </c>
      <c r="G63" s="180">
        <v>44900000</v>
      </c>
      <c r="H63" s="181">
        <f>G63</f>
        <v>44900000</v>
      </c>
      <c r="I63" s="181">
        <f t="shared" ref="I63:L63" si="42">H63</f>
        <v>44900000</v>
      </c>
      <c r="J63" s="181">
        <f t="shared" si="42"/>
        <v>44900000</v>
      </c>
      <c r="K63" s="181">
        <f t="shared" si="42"/>
        <v>44900000</v>
      </c>
      <c r="L63" s="181">
        <f t="shared" si="42"/>
        <v>44900000</v>
      </c>
    </row>
    <row r="64" spans="1:14" ht="15.6" x14ac:dyDescent="0.35">
      <c r="A64" s="44"/>
      <c r="B64" s="103" t="s">
        <v>51</v>
      </c>
      <c r="C64" s="61"/>
      <c r="D64" s="61"/>
      <c r="E64" s="61"/>
      <c r="F64" s="180">
        <v>3700000</v>
      </c>
      <c r="G64" s="180">
        <v>1800000</v>
      </c>
      <c r="H64" s="181">
        <f>G64</f>
        <v>1800000</v>
      </c>
      <c r="I64" s="181">
        <f t="shared" ref="I64:L64" si="43">H64</f>
        <v>1800000</v>
      </c>
      <c r="J64" s="181">
        <f t="shared" si="43"/>
        <v>1800000</v>
      </c>
      <c r="K64" s="181">
        <f t="shared" si="43"/>
        <v>1800000</v>
      </c>
      <c r="L64" s="181">
        <f t="shared" si="43"/>
        <v>1800000</v>
      </c>
      <c r="N64" t="s">
        <v>296</v>
      </c>
    </row>
    <row r="65" spans="1:14" ht="15.6" x14ac:dyDescent="0.35">
      <c r="A65" s="44"/>
      <c r="B65" s="103" t="s">
        <v>195</v>
      </c>
      <c r="C65" s="61"/>
      <c r="D65" s="61"/>
      <c r="E65" s="61"/>
      <c r="F65" s="180">
        <v>300000</v>
      </c>
      <c r="G65" s="180">
        <v>100000</v>
      </c>
      <c r="H65" s="181">
        <f>G65</f>
        <v>100000</v>
      </c>
      <c r="I65" s="181">
        <f t="shared" ref="I65:L65" si="44">H65</f>
        <v>100000</v>
      </c>
      <c r="J65" s="181">
        <f t="shared" si="44"/>
        <v>100000</v>
      </c>
      <c r="K65" s="181">
        <f t="shared" si="44"/>
        <v>100000</v>
      </c>
      <c r="L65" s="181">
        <f t="shared" si="44"/>
        <v>100000</v>
      </c>
      <c r="N65" t="s">
        <v>296</v>
      </c>
    </row>
    <row r="66" spans="1:14" ht="15.6" x14ac:dyDescent="0.35">
      <c r="A66" s="44"/>
      <c r="B66" s="103" t="s">
        <v>171</v>
      </c>
      <c r="C66" s="61"/>
      <c r="D66" s="61"/>
      <c r="E66" s="61"/>
      <c r="F66" s="180">
        <v>62500000</v>
      </c>
      <c r="G66" s="180">
        <v>44700000</v>
      </c>
      <c r="H66" s="181">
        <f>H672</f>
        <v>44700000</v>
      </c>
      <c r="I66" s="181">
        <f t="shared" ref="I66:L66" si="45">I672</f>
        <v>44700000</v>
      </c>
      <c r="J66" s="181">
        <f t="shared" si="45"/>
        <v>44700000</v>
      </c>
      <c r="K66" s="181">
        <f t="shared" si="45"/>
        <v>44700000</v>
      </c>
      <c r="L66" s="181">
        <f t="shared" si="45"/>
        <v>44700000</v>
      </c>
    </row>
    <row r="67" spans="1:14" ht="15.6" x14ac:dyDescent="0.35">
      <c r="A67" s="44"/>
      <c r="B67" s="230" t="s">
        <v>55</v>
      </c>
      <c r="C67" s="231"/>
      <c r="D67" s="231"/>
      <c r="E67" s="232"/>
      <c r="F67" s="355">
        <f>SUM(F59:F66)+F57</f>
        <v>2271200000</v>
      </c>
      <c r="G67" s="355">
        <f>SUM(G59:G66)+G57</f>
        <v>1672100000</v>
      </c>
      <c r="H67" s="229">
        <f>SUM(H57)+SUM(H59:H66)</f>
        <v>1353705087.4039581</v>
      </c>
      <c r="I67" s="229">
        <f>SUM(I57)+SUM(I59:I66)</f>
        <v>1199580691.4801481</v>
      </c>
      <c r="J67" s="229">
        <f>SUM(J57)+SUM(J59:J66)</f>
        <v>1129795960.0949154</v>
      </c>
      <c r="K67" s="229">
        <f>SUM(K57)+SUM(K59:K66)</f>
        <v>1049852935.1366521</v>
      </c>
      <c r="L67" s="229">
        <f>SUM(L57)+SUM(L59:L66)</f>
        <v>961032326.70700991</v>
      </c>
    </row>
    <row r="68" spans="1:14" ht="15.6" x14ac:dyDescent="0.35">
      <c r="A68" s="44"/>
      <c r="B68" s="63"/>
      <c r="C68" s="63"/>
      <c r="D68" s="61"/>
      <c r="E68" s="61"/>
      <c r="F68" s="75"/>
      <c r="G68" s="75"/>
      <c r="H68" s="75"/>
      <c r="I68" s="75"/>
      <c r="J68" s="75"/>
      <c r="K68" s="61"/>
      <c r="L68" s="61"/>
    </row>
    <row r="69" spans="1:14" ht="15.6" x14ac:dyDescent="0.35">
      <c r="A69" s="44"/>
      <c r="B69" s="196" t="s">
        <v>312</v>
      </c>
      <c r="C69" s="197"/>
      <c r="D69" s="198"/>
      <c r="E69" s="198"/>
      <c r="F69" s="199"/>
      <c r="G69" s="199"/>
      <c r="H69" s="199"/>
      <c r="I69" s="199"/>
      <c r="J69" s="199"/>
      <c r="K69" s="199"/>
      <c r="L69" s="200"/>
    </row>
    <row r="70" spans="1:14" ht="15.6" x14ac:dyDescent="0.35">
      <c r="A70" s="44"/>
      <c r="B70" s="61"/>
      <c r="C70" s="61"/>
      <c r="D70" s="61"/>
      <c r="E70" s="61"/>
      <c r="F70" s="73"/>
      <c r="G70" s="73"/>
      <c r="H70" s="74"/>
      <c r="I70" s="74"/>
      <c r="J70" s="74"/>
      <c r="K70" s="74"/>
      <c r="L70" s="74"/>
    </row>
    <row r="71" spans="1:14" ht="15.6" x14ac:dyDescent="0.35">
      <c r="A71" s="44"/>
      <c r="B71" s="103" t="s">
        <v>8</v>
      </c>
      <c r="C71" s="61"/>
      <c r="D71" s="61"/>
      <c r="E71" s="61"/>
      <c r="F71" s="180">
        <v>-671700000</v>
      </c>
      <c r="G71" s="180">
        <v>-619300000</v>
      </c>
      <c r="H71" s="181">
        <f>-H348</f>
        <v>-594249911.30514705</v>
      </c>
      <c r="I71" s="181">
        <f t="shared" ref="I71:L71" si="46">-I348</f>
        <v>-593529608.38235295</v>
      </c>
      <c r="J71" s="181">
        <f t="shared" si="46"/>
        <v>-611335496.63382375</v>
      </c>
      <c r="K71" s="181">
        <f t="shared" si="46"/>
        <v>-639514242.18178904</v>
      </c>
      <c r="L71" s="181">
        <f t="shared" si="46"/>
        <v>-678967351.58408082</v>
      </c>
    </row>
    <row r="72" spans="1:14" ht="15.6" x14ac:dyDescent="0.35">
      <c r="A72" s="44"/>
      <c r="B72" s="103" t="s">
        <v>202</v>
      </c>
      <c r="C72" s="61"/>
      <c r="D72" s="61"/>
      <c r="E72" s="61"/>
      <c r="F72" s="180">
        <v>-6600000</v>
      </c>
      <c r="G72" s="180">
        <v>-9800000</v>
      </c>
      <c r="H72" s="236">
        <f>G72</f>
        <v>-9800000</v>
      </c>
      <c r="I72" s="181">
        <f t="shared" ref="I72:L72" si="47">H72</f>
        <v>-9800000</v>
      </c>
      <c r="J72" s="181">
        <f t="shared" si="47"/>
        <v>-9800000</v>
      </c>
      <c r="K72" s="181">
        <f t="shared" si="47"/>
        <v>-9800000</v>
      </c>
      <c r="L72" s="181">
        <f t="shared" si="47"/>
        <v>-9800000</v>
      </c>
    </row>
    <row r="73" spans="1:14" ht="15.6" x14ac:dyDescent="0.35">
      <c r="A73" s="44"/>
      <c r="B73" s="103" t="s">
        <v>3</v>
      </c>
      <c r="C73" s="61"/>
      <c r="D73" s="61"/>
      <c r="E73" s="61"/>
      <c r="F73" s="180">
        <v>-27200000</v>
      </c>
      <c r="G73" s="180">
        <v>-27500000</v>
      </c>
      <c r="H73" s="181">
        <f>H416</f>
        <v>-26125950</v>
      </c>
      <c r="I73" s="181">
        <f t="shared" ref="I73:L73" si="48">I416</f>
        <v>-26909728.5</v>
      </c>
      <c r="J73" s="181">
        <f t="shared" si="48"/>
        <v>-27717020.355</v>
      </c>
      <c r="K73" s="181">
        <f t="shared" si="48"/>
        <v>-28548530.96565</v>
      </c>
      <c r="L73" s="181">
        <f t="shared" si="48"/>
        <v>0</v>
      </c>
    </row>
    <row r="74" spans="1:14" ht="15.6" x14ac:dyDescent="0.35">
      <c r="A74" s="44"/>
      <c r="B74" s="103" t="s">
        <v>172</v>
      </c>
      <c r="C74" s="61"/>
      <c r="D74" s="61"/>
      <c r="E74" s="61"/>
      <c r="F74" s="180">
        <v>-2700000</v>
      </c>
      <c r="G74" s="180">
        <v>-4400000</v>
      </c>
      <c r="H74" s="181">
        <f>H329</f>
        <v>-3580348.8065704112</v>
      </c>
      <c r="I74" s="181">
        <f t="shared" ref="I74:L74" si="49">I329</f>
        <v>-3323649.9067753511</v>
      </c>
      <c r="J74" s="181">
        <f t="shared" si="49"/>
        <v>-3066951.0069802916</v>
      </c>
      <c r="K74" s="181">
        <f t="shared" si="49"/>
        <v>-2810252.107185232</v>
      </c>
      <c r="L74" s="181">
        <f t="shared" si="49"/>
        <v>-2553553.2073901719</v>
      </c>
    </row>
    <row r="75" spans="1:14" ht="15.6" x14ac:dyDescent="0.35">
      <c r="A75" s="44"/>
      <c r="B75" s="103" t="s">
        <v>201</v>
      </c>
      <c r="C75" s="61"/>
      <c r="D75" s="61"/>
      <c r="E75" s="61"/>
      <c r="F75" s="180">
        <v>-4200000</v>
      </c>
      <c r="G75" s="180">
        <v>0</v>
      </c>
      <c r="H75" s="181">
        <f>(H666)+(H666)</f>
        <v>0</v>
      </c>
      <c r="I75" s="181">
        <f>0+((I666)+(I666))</f>
        <v>0</v>
      </c>
      <c r="J75" s="181">
        <f>0+((J666)+(J666))</f>
        <v>0</v>
      </c>
      <c r="K75" s="181">
        <f>0+((K666)+(K666))</f>
        <v>0</v>
      </c>
      <c r="L75" s="181">
        <f>0+((L666)+(L666))</f>
        <v>0</v>
      </c>
    </row>
    <row r="76" spans="1:14" ht="15.6" x14ac:dyDescent="0.35">
      <c r="A76" s="44"/>
      <c r="B76" s="230" t="s">
        <v>58</v>
      </c>
      <c r="C76" s="231"/>
      <c r="D76" s="231"/>
      <c r="E76" s="232"/>
      <c r="F76" s="355">
        <f>SUM(F71:F75)</f>
        <v>-712400000</v>
      </c>
      <c r="G76" s="355">
        <f>SUM(G71:G75)</f>
        <v>-661000000</v>
      </c>
      <c r="H76" s="229">
        <f t="shared" ref="H76:L76" si="50">SUM(H71:H75)</f>
        <v>-633756210.11171746</v>
      </c>
      <c r="I76" s="229">
        <f t="shared" si="50"/>
        <v>-633562986.7891283</v>
      </c>
      <c r="J76" s="229">
        <f t="shared" si="50"/>
        <v>-651919467.99580407</v>
      </c>
      <c r="K76" s="229">
        <f t="shared" si="50"/>
        <v>-680673025.25462425</v>
      </c>
      <c r="L76" s="229">
        <f t="shared" si="50"/>
        <v>-691320904.791471</v>
      </c>
    </row>
    <row r="77" spans="1:14" ht="15.6" x14ac:dyDescent="0.35">
      <c r="A77" s="44"/>
      <c r="B77" s="63"/>
      <c r="C77" s="63"/>
      <c r="D77" s="63"/>
      <c r="E77" s="63"/>
      <c r="F77" s="254"/>
      <c r="G77" s="254"/>
      <c r="H77" s="223"/>
      <c r="I77" s="223"/>
      <c r="J77" s="223"/>
      <c r="K77" s="223"/>
      <c r="L77" s="223"/>
    </row>
    <row r="78" spans="1:14" ht="15.6" x14ac:dyDescent="0.35">
      <c r="A78" s="44"/>
      <c r="B78" s="103" t="s">
        <v>174</v>
      </c>
      <c r="C78" s="63"/>
      <c r="D78" s="61"/>
      <c r="E78" s="61"/>
      <c r="F78" s="180">
        <v>-1600000</v>
      </c>
      <c r="G78" s="180">
        <v>-96400000</v>
      </c>
      <c r="H78" s="357"/>
      <c r="I78" s="357"/>
      <c r="J78" s="357"/>
      <c r="K78" s="357"/>
      <c r="L78" s="357"/>
    </row>
    <row r="79" spans="1:14" ht="15.6" x14ac:dyDescent="0.35">
      <c r="A79" s="44"/>
      <c r="B79" s="103" t="s">
        <v>173</v>
      </c>
      <c r="C79" s="103"/>
      <c r="D79" s="103"/>
      <c r="E79" s="103"/>
      <c r="F79" s="180">
        <v>-686500000</v>
      </c>
      <c r="G79" s="180">
        <v>-407200000</v>
      </c>
      <c r="H79" s="358"/>
      <c r="I79" s="358"/>
      <c r="J79" s="358"/>
      <c r="K79" s="358"/>
      <c r="L79" s="358"/>
    </row>
    <row r="80" spans="1:14" ht="15.6" x14ac:dyDescent="0.35">
      <c r="A80" s="44"/>
      <c r="B80" s="206" t="s">
        <v>59</v>
      </c>
      <c r="C80" s="185"/>
      <c r="D80" s="185"/>
      <c r="E80" s="204"/>
      <c r="F80" s="356">
        <f>SUM(F78,F79)</f>
        <v>-688100000</v>
      </c>
      <c r="G80" s="356">
        <f t="shared" ref="G80" si="51">SUM(G78,G79)</f>
        <v>-503600000</v>
      </c>
      <c r="H80" s="246">
        <f>-H560</f>
        <v>-419700000</v>
      </c>
      <c r="I80" s="246">
        <f>-I560</f>
        <v>-480623302.80139571</v>
      </c>
      <c r="J80" s="246">
        <f>-J560</f>
        <v>-619220964.65775073</v>
      </c>
      <c r="K80" s="246">
        <f>-K560</f>
        <v>-748014054.40399659</v>
      </c>
      <c r="L80" s="246">
        <f>-L560</f>
        <v>-860428813.98377955</v>
      </c>
    </row>
    <row r="81" spans="1:12" ht="15.6" x14ac:dyDescent="0.35">
      <c r="A81" s="44"/>
      <c r="B81" s="213"/>
      <c r="C81" s="213"/>
      <c r="D81" s="213"/>
      <c r="E81" s="213"/>
      <c r="F81" s="359"/>
      <c r="G81" s="359"/>
      <c r="H81" s="226"/>
      <c r="I81" s="226"/>
      <c r="J81" s="226"/>
      <c r="K81" s="226"/>
      <c r="L81" s="226"/>
    </row>
    <row r="82" spans="1:12" ht="15.6" x14ac:dyDescent="0.35">
      <c r="A82" s="44"/>
      <c r="B82" s="103" t="s">
        <v>172</v>
      </c>
      <c r="C82" s="61"/>
      <c r="D82" s="61"/>
      <c r="E82" s="61"/>
      <c r="F82" s="180">
        <v>-86500000</v>
      </c>
      <c r="G82" s="180">
        <v>-97800000</v>
      </c>
      <c r="H82" s="181">
        <f>H330</f>
        <v>-79581389.382405967</v>
      </c>
      <c r="I82" s="181">
        <f t="shared" ref="I82:L82" si="52">I330</f>
        <v>-73875672.927870303</v>
      </c>
      <c r="J82" s="181">
        <f t="shared" si="52"/>
        <v>-68169956.47333467</v>
      </c>
      <c r="K82" s="181">
        <f t="shared" si="52"/>
        <v>-62464240.018799022</v>
      </c>
      <c r="L82" s="181">
        <f t="shared" si="52"/>
        <v>-56758523.564263366</v>
      </c>
    </row>
    <row r="83" spans="1:12" ht="15.6" x14ac:dyDescent="0.35">
      <c r="A83" s="44"/>
      <c r="B83" s="103" t="s">
        <v>202</v>
      </c>
      <c r="C83" s="61"/>
      <c r="D83" s="61"/>
      <c r="E83" s="61"/>
      <c r="F83" s="180">
        <v>-500000</v>
      </c>
      <c r="G83" s="180">
        <v>-300000</v>
      </c>
      <c r="H83" s="181">
        <f>G83</f>
        <v>-300000</v>
      </c>
      <c r="I83" s="181">
        <f t="shared" ref="I83:L83" si="53">H83</f>
        <v>-300000</v>
      </c>
      <c r="J83" s="181">
        <f t="shared" si="53"/>
        <v>-300000</v>
      </c>
      <c r="K83" s="181">
        <f t="shared" si="53"/>
        <v>-300000</v>
      </c>
      <c r="L83" s="181">
        <f t="shared" si="53"/>
        <v>-300000</v>
      </c>
    </row>
    <row r="84" spans="1:12" ht="15.6" x14ac:dyDescent="0.35">
      <c r="A84" s="44"/>
      <c r="B84" s="103" t="s">
        <v>3</v>
      </c>
      <c r="C84" s="61"/>
      <c r="D84" s="61"/>
      <c r="E84" s="61"/>
      <c r="F84" s="180">
        <v>-262400000</v>
      </c>
      <c r="G84" s="180">
        <v>-197000000</v>
      </c>
      <c r="H84" s="181">
        <f>H417</f>
        <v>-173009050</v>
      </c>
      <c r="I84" s="181">
        <f t="shared" ref="I84:L84" si="54">I417</f>
        <v>-146099321.5</v>
      </c>
      <c r="J84" s="181">
        <f t="shared" si="54"/>
        <v>-118382301.145</v>
      </c>
      <c r="K84" s="181">
        <f t="shared" si="54"/>
        <v>-89833770.179350019</v>
      </c>
      <c r="L84" s="181">
        <f t="shared" si="54"/>
        <v>-89833770.179350019</v>
      </c>
    </row>
    <row r="85" spans="1:12" ht="15.6" x14ac:dyDescent="0.35">
      <c r="A85" s="44"/>
      <c r="B85" s="230" t="s">
        <v>314</v>
      </c>
      <c r="C85" s="231"/>
      <c r="D85" s="231"/>
      <c r="E85" s="232"/>
      <c r="F85" s="355">
        <f>SUM(F80:F84)</f>
        <v>-1037500000</v>
      </c>
      <c r="G85" s="355">
        <f t="shared" ref="G85:L85" si="55">SUM(G80:G84)</f>
        <v>-798700000</v>
      </c>
      <c r="H85" s="229">
        <f>SUM(H80:H84)</f>
        <v>-672590439.382406</v>
      </c>
      <c r="I85" s="229">
        <f t="shared" si="55"/>
        <v>-700898297.22926605</v>
      </c>
      <c r="J85" s="229">
        <f t="shared" si="55"/>
        <v>-806073222.27608538</v>
      </c>
      <c r="K85" s="229">
        <f t="shared" si="55"/>
        <v>-900612064.60214567</v>
      </c>
      <c r="L85" s="229">
        <f t="shared" si="55"/>
        <v>-1007321107.7273929</v>
      </c>
    </row>
    <row r="86" spans="1:12" ht="15.6" x14ac:dyDescent="0.35">
      <c r="A86" s="44"/>
      <c r="B86" s="63"/>
      <c r="C86" s="63"/>
      <c r="D86" s="63"/>
      <c r="E86" s="63"/>
      <c r="F86" s="182"/>
      <c r="G86" s="182"/>
      <c r="H86" s="223"/>
      <c r="I86" s="223"/>
      <c r="J86" s="223"/>
      <c r="K86" s="223"/>
      <c r="L86" s="223"/>
    </row>
    <row r="87" spans="1:12" ht="15.6" x14ac:dyDescent="0.35">
      <c r="A87" s="44"/>
      <c r="B87" s="203" t="s">
        <v>315</v>
      </c>
      <c r="C87" s="209"/>
      <c r="D87" s="209"/>
      <c r="E87" s="210"/>
      <c r="F87" s="263">
        <f>F85+F76</f>
        <v>-1749900000</v>
      </c>
      <c r="G87" s="263">
        <f t="shared" ref="G87:L87" si="56">G85+G76</f>
        <v>-1459700000</v>
      </c>
      <c r="H87" s="212">
        <f t="shared" si="56"/>
        <v>-1306346649.4941235</v>
      </c>
      <c r="I87" s="212">
        <f t="shared" si="56"/>
        <v>-1334461284.0183945</v>
      </c>
      <c r="J87" s="212">
        <f t="shared" si="56"/>
        <v>-1457992690.2718894</v>
      </c>
      <c r="K87" s="212">
        <f t="shared" si="56"/>
        <v>-1581285089.85677</v>
      </c>
      <c r="L87" s="212">
        <f t="shared" si="56"/>
        <v>-1698642012.5188639</v>
      </c>
    </row>
    <row r="88" spans="1:12" ht="15.6" x14ac:dyDescent="0.35">
      <c r="A88" s="44"/>
      <c r="B88" s="63"/>
      <c r="C88" s="63"/>
      <c r="D88" s="63"/>
      <c r="E88" s="63"/>
      <c r="F88" s="254"/>
      <c r="G88" s="254"/>
      <c r="H88" s="223"/>
      <c r="I88" s="223"/>
      <c r="J88" s="223"/>
      <c r="K88" s="223"/>
      <c r="L88" s="223"/>
    </row>
    <row r="89" spans="1:12" ht="15.6" x14ac:dyDescent="0.35">
      <c r="A89" s="44"/>
      <c r="B89" s="103" t="s">
        <v>175</v>
      </c>
      <c r="C89" s="61"/>
      <c r="D89" s="61"/>
      <c r="E89" s="61"/>
      <c r="F89" s="180">
        <v>4200000</v>
      </c>
      <c r="G89" s="180">
        <v>4200000</v>
      </c>
      <c r="H89" s="181">
        <f>G89</f>
        <v>4200000</v>
      </c>
      <c r="I89" s="181">
        <f t="shared" ref="I89:L89" si="57">H89</f>
        <v>4200000</v>
      </c>
      <c r="J89" s="181">
        <f t="shared" si="57"/>
        <v>4200000</v>
      </c>
      <c r="K89" s="181">
        <f t="shared" si="57"/>
        <v>4200000</v>
      </c>
      <c r="L89" s="181">
        <f t="shared" si="57"/>
        <v>4200000</v>
      </c>
    </row>
    <row r="90" spans="1:12" ht="15.6" x14ac:dyDescent="0.35">
      <c r="A90" s="44"/>
      <c r="B90" s="103" t="s">
        <v>203</v>
      </c>
      <c r="C90" s="61"/>
      <c r="D90" s="61"/>
      <c r="E90" s="61"/>
      <c r="F90" s="180">
        <v>322600000</v>
      </c>
      <c r="G90" s="180">
        <v>322600000</v>
      </c>
      <c r="H90" s="236">
        <f t="shared" ref="H90:L90" si="58">G90</f>
        <v>322600000</v>
      </c>
      <c r="I90" s="181">
        <f t="shared" si="58"/>
        <v>322600000</v>
      </c>
      <c r="J90" s="181">
        <f t="shared" si="58"/>
        <v>322600000</v>
      </c>
      <c r="K90" s="181">
        <f t="shared" si="58"/>
        <v>322600000</v>
      </c>
      <c r="L90" s="181">
        <f t="shared" si="58"/>
        <v>322600000</v>
      </c>
    </row>
    <row r="91" spans="1:12" ht="15.6" x14ac:dyDescent="0.35">
      <c r="A91" s="44"/>
      <c r="B91" s="103" t="s">
        <v>204</v>
      </c>
      <c r="C91" s="61"/>
      <c r="D91" s="61"/>
      <c r="E91" s="61"/>
      <c r="F91" s="180">
        <v>61900000</v>
      </c>
      <c r="G91" s="180">
        <v>3600000</v>
      </c>
      <c r="H91" s="181">
        <f t="shared" ref="H91:L91" si="59">G91</f>
        <v>3600000</v>
      </c>
      <c r="I91" s="181">
        <f t="shared" si="59"/>
        <v>3600000</v>
      </c>
      <c r="J91" s="181">
        <f t="shared" si="59"/>
        <v>3600000</v>
      </c>
      <c r="K91" s="181">
        <f t="shared" si="59"/>
        <v>3600000</v>
      </c>
      <c r="L91" s="181">
        <f t="shared" si="59"/>
        <v>3600000</v>
      </c>
    </row>
    <row r="92" spans="1:12" ht="15.6" x14ac:dyDescent="0.35">
      <c r="A92" s="44"/>
      <c r="B92" s="103" t="s">
        <v>60</v>
      </c>
      <c r="C92" s="61"/>
      <c r="D92" s="61"/>
      <c r="E92" s="61"/>
      <c r="F92" s="180">
        <v>132600000</v>
      </c>
      <c r="G92" s="180">
        <v>-118000000</v>
      </c>
      <c r="H92" s="181">
        <f>H697</f>
        <v>-283041562.09016538</v>
      </c>
      <c r="I92" s="181">
        <f t="shared" ref="I92:L92" si="60">I697</f>
        <v>-465280592.53824615</v>
      </c>
      <c r="J92" s="181">
        <f t="shared" si="60"/>
        <v>-658596730.17697406</v>
      </c>
      <c r="K92" s="181">
        <f t="shared" si="60"/>
        <v>-861832154.72011769</v>
      </c>
      <c r="L92" s="181">
        <f t="shared" si="60"/>
        <v>-1068009685.8118539</v>
      </c>
    </row>
    <row r="93" spans="1:12" ht="15.6" x14ac:dyDescent="0.35">
      <c r="A93" s="44"/>
      <c r="B93" s="230" t="s">
        <v>61</v>
      </c>
      <c r="C93" s="231"/>
      <c r="D93" s="231"/>
      <c r="E93" s="232"/>
      <c r="F93" s="355">
        <f>SUM(F89:F92)-F87</f>
        <v>2271200000</v>
      </c>
      <c r="G93" s="355">
        <f t="shared" ref="G93" si="61">SUM(G89:G92)-G87</f>
        <v>1672100000</v>
      </c>
      <c r="H93" s="229">
        <f>SUM(H89:H92)-H87</f>
        <v>1353705087.4039581</v>
      </c>
      <c r="I93" s="229">
        <f>SUM(I89:I92)-I87</f>
        <v>1199580691.4801483</v>
      </c>
      <c r="J93" s="229">
        <f t="shared" ref="J93:L93" si="62">SUM(J89:J92)-J87</f>
        <v>1129795960.0949154</v>
      </c>
      <c r="K93" s="229">
        <f t="shared" si="62"/>
        <v>1049852935.1366524</v>
      </c>
      <c r="L93" s="229">
        <f t="shared" si="62"/>
        <v>961032326.70701003</v>
      </c>
    </row>
    <row r="94" spans="1:12" ht="15.6" x14ac:dyDescent="0.35">
      <c r="A94" s="44"/>
      <c r="B94" s="61"/>
      <c r="C94" s="61"/>
      <c r="D94" s="61"/>
      <c r="E94" s="61"/>
      <c r="F94" s="181">
        <f t="shared" ref="F94:L94" si="63">F67-F93</f>
        <v>0</v>
      </c>
      <c r="G94" s="181">
        <f t="shared" si="63"/>
        <v>0</v>
      </c>
      <c r="H94" s="181">
        <f>H67-H93</f>
        <v>0</v>
      </c>
      <c r="I94" s="181">
        <f t="shared" si="63"/>
        <v>0</v>
      </c>
      <c r="J94" s="181">
        <f t="shared" si="63"/>
        <v>0</v>
      </c>
      <c r="K94" s="181">
        <f t="shared" si="63"/>
        <v>0</v>
      </c>
      <c r="L94" s="181">
        <f t="shared" si="63"/>
        <v>0</v>
      </c>
    </row>
    <row r="95" spans="1:12" ht="15.6" x14ac:dyDescent="0.35">
      <c r="A95" s="44"/>
      <c r="B95" s="61"/>
      <c r="C95" s="61"/>
      <c r="D95" s="61"/>
      <c r="E95" s="61"/>
      <c r="F95" s="62"/>
      <c r="G95" s="62"/>
      <c r="H95" s="62"/>
      <c r="I95" s="62"/>
      <c r="J95" s="62"/>
      <c r="K95" s="62"/>
      <c r="L95" s="62"/>
    </row>
    <row r="96" spans="1:12" ht="15.6" x14ac:dyDescent="0.35">
      <c r="A96" s="44"/>
      <c r="B96" s="61"/>
      <c r="C96" s="61"/>
      <c r="D96" s="61"/>
      <c r="E96" s="61"/>
      <c r="F96" s="62"/>
      <c r="G96" s="62"/>
      <c r="H96" s="62"/>
      <c r="I96" s="62"/>
      <c r="J96" s="62"/>
      <c r="K96" s="62"/>
      <c r="L96" s="62"/>
    </row>
    <row r="97" spans="1:12" ht="15.6" x14ac:dyDescent="0.35">
      <c r="A97" s="44"/>
      <c r="B97" s="61"/>
      <c r="C97" s="61"/>
      <c r="D97" s="61"/>
      <c r="E97" s="61"/>
      <c r="F97" s="62"/>
      <c r="G97" s="62"/>
      <c r="H97" s="62"/>
      <c r="I97" s="62"/>
      <c r="J97" s="62"/>
      <c r="K97" s="62"/>
      <c r="L97" s="62"/>
    </row>
    <row r="98" spans="1:12" ht="15.6" x14ac:dyDescent="0.35">
      <c r="A98" s="44"/>
      <c r="B98" s="61"/>
      <c r="C98" s="61"/>
      <c r="D98" s="61"/>
      <c r="E98" s="61"/>
      <c r="F98" s="62"/>
      <c r="G98" s="62"/>
      <c r="H98" s="62"/>
      <c r="I98" s="62"/>
      <c r="J98" s="62"/>
      <c r="K98" s="62"/>
      <c r="L98" s="62"/>
    </row>
    <row r="99" spans="1:12" ht="15.6" x14ac:dyDescent="0.35">
      <c r="A99" s="44"/>
      <c r="B99" s="76"/>
      <c r="C99" s="76"/>
      <c r="D99" s="44"/>
      <c r="E99" s="44"/>
      <c r="F99" s="44"/>
      <c r="G99" s="77"/>
      <c r="H99" s="77"/>
      <c r="I99" s="77"/>
      <c r="J99" s="77"/>
      <c r="K99" s="77"/>
      <c r="L99" s="77"/>
    </row>
    <row r="100" spans="1:12" ht="15.6" x14ac:dyDescent="0.35">
      <c r="A100" s="44"/>
      <c r="B100" s="44"/>
      <c r="C100" s="44"/>
      <c r="D100" s="44"/>
      <c r="E100" s="44"/>
      <c r="F100" s="44"/>
      <c r="G100" s="44"/>
      <c r="H100" s="78"/>
      <c r="I100" s="78"/>
      <c r="J100" s="78"/>
      <c r="K100" s="44"/>
      <c r="L100" s="44"/>
    </row>
    <row r="101" spans="1:12" ht="28.8" x14ac:dyDescent="0.65">
      <c r="A101" s="44"/>
      <c r="B101" s="45" t="str">
        <f>Cover!$B$2</f>
        <v>ASOS PLC</v>
      </c>
      <c r="C101" s="45"/>
      <c r="D101" s="46"/>
      <c r="E101" s="47"/>
      <c r="F101" s="47"/>
      <c r="G101" s="47"/>
      <c r="H101" s="47"/>
      <c r="I101" s="47"/>
      <c r="J101" s="47"/>
      <c r="K101" s="47"/>
      <c r="L101" s="47"/>
    </row>
    <row r="102" spans="1:12" ht="21" x14ac:dyDescent="0.5">
      <c r="A102" s="44"/>
      <c r="B102" s="48" t="s">
        <v>38</v>
      </c>
      <c r="C102" s="49"/>
      <c r="D102" s="47"/>
      <c r="E102" s="47"/>
      <c r="F102" s="47"/>
      <c r="G102" s="47"/>
      <c r="H102" s="47"/>
      <c r="I102" s="47"/>
      <c r="J102" s="47"/>
      <c r="K102" s="47"/>
      <c r="L102" s="159" t="str">
        <f>"Currently Running: "&amp;CHOOSE(Assumptions!$B$10,Assumptions!$F$15,Assumptions!$F$16,Assumptions!$F$17)&amp;"Scenario"</f>
        <v>Currently Running: Base Scenario</v>
      </c>
    </row>
    <row r="103" spans="1:12" ht="15.6" x14ac:dyDescent="0.35">
      <c r="A103" s="44"/>
      <c r="B103" s="50"/>
      <c r="C103" s="50"/>
      <c r="D103" s="50"/>
      <c r="E103" s="50"/>
      <c r="F103" s="50"/>
      <c r="G103" s="50"/>
      <c r="H103" s="50"/>
      <c r="I103" s="50"/>
      <c r="J103" s="50"/>
      <c r="K103" s="51"/>
      <c r="L103" s="51"/>
    </row>
    <row r="104" spans="1:12" ht="15.6" x14ac:dyDescent="0.35">
      <c r="A104" s="44"/>
      <c r="B104" s="51"/>
      <c r="C104" s="51"/>
      <c r="D104" s="51"/>
      <c r="E104" s="51"/>
      <c r="F104" s="292" t="s">
        <v>361</v>
      </c>
      <c r="G104" s="293"/>
      <c r="H104" s="293"/>
      <c r="I104" s="293"/>
      <c r="J104" s="293"/>
      <c r="K104" s="293"/>
      <c r="L104" s="294"/>
    </row>
    <row r="105" spans="1:12" ht="15.6" x14ac:dyDescent="0.35">
      <c r="A105" s="44"/>
      <c r="B105" s="51"/>
      <c r="C105" s="51"/>
      <c r="D105" s="51"/>
      <c r="E105" s="51"/>
      <c r="F105" s="53">
        <f>F46</f>
        <v>2024</v>
      </c>
      <c r="G105" s="53">
        <f>F105+1</f>
        <v>2025</v>
      </c>
      <c r="H105" s="54">
        <f>G105+1</f>
        <v>2026</v>
      </c>
      <c r="I105" s="54">
        <f t="shared" ref="I105" si="64">H105+1</f>
        <v>2027</v>
      </c>
      <c r="J105" s="54">
        <f t="shared" ref="J105" si="65">I105+1</f>
        <v>2028</v>
      </c>
      <c r="K105" s="54">
        <f t="shared" ref="K105" si="66">J105+1</f>
        <v>2029</v>
      </c>
      <c r="L105" s="54">
        <f t="shared" ref="L105" si="67">K105+1</f>
        <v>2030</v>
      </c>
    </row>
    <row r="106" spans="1:12" ht="16.2" thickBot="1" x14ac:dyDescent="0.4">
      <c r="A106" s="44"/>
      <c r="B106" s="55" t="s">
        <v>187</v>
      </c>
      <c r="C106" s="55"/>
      <c r="D106" s="55"/>
      <c r="E106" s="55"/>
      <c r="F106" s="56" t="s">
        <v>50</v>
      </c>
      <c r="G106" s="56"/>
      <c r="H106" s="57"/>
      <c r="I106" s="57"/>
      <c r="J106" s="57"/>
      <c r="K106" s="57"/>
      <c r="L106" s="57" t="s">
        <v>37</v>
      </c>
    </row>
    <row r="107" spans="1:12" ht="15.6" x14ac:dyDescent="0.35">
      <c r="A107" s="44"/>
      <c r="B107" s="51"/>
      <c r="C107" s="51"/>
      <c r="D107" s="51"/>
      <c r="E107" s="51"/>
      <c r="F107" s="71"/>
      <c r="G107" s="71"/>
      <c r="H107" s="72"/>
      <c r="I107" s="72"/>
      <c r="J107" s="72"/>
      <c r="K107" s="72"/>
      <c r="L107" s="72"/>
    </row>
    <row r="108" spans="1:12" ht="15.6" x14ac:dyDescent="0.35">
      <c r="A108" s="44"/>
      <c r="B108" s="196" t="s">
        <v>64</v>
      </c>
      <c r="C108" s="197"/>
      <c r="D108" s="198"/>
      <c r="E108" s="198"/>
      <c r="F108" s="199"/>
      <c r="G108" s="199"/>
      <c r="H108" s="199"/>
      <c r="I108" s="199"/>
      <c r="J108" s="199"/>
      <c r="K108" s="199"/>
      <c r="L108" s="200"/>
    </row>
    <row r="109" spans="1:12" ht="15.6" x14ac:dyDescent="0.35">
      <c r="A109" s="44"/>
      <c r="B109" s="61"/>
      <c r="C109" s="61"/>
      <c r="D109" s="61"/>
      <c r="E109" s="61"/>
      <c r="F109" s="79"/>
      <c r="G109" s="79"/>
      <c r="H109" s="80"/>
      <c r="I109" s="80"/>
      <c r="J109" s="80"/>
      <c r="K109" s="80"/>
      <c r="L109" s="80"/>
    </row>
    <row r="110" spans="1:12" ht="15.6" x14ac:dyDescent="0.35">
      <c r="A110" s="44"/>
      <c r="B110" s="61" t="s">
        <v>297</v>
      </c>
      <c r="C110" s="61"/>
      <c r="D110" s="61"/>
      <c r="E110" s="61"/>
      <c r="F110" s="79"/>
      <c r="G110" s="79"/>
      <c r="H110" s="181">
        <f>H34</f>
        <v>-165041562.09016538</v>
      </c>
      <c r="I110" s="181">
        <f>I34</f>
        <v>-182239030.44808081</v>
      </c>
      <c r="J110" s="181">
        <f>J34</f>
        <v>-193316137.6387279</v>
      </c>
      <c r="K110" s="181">
        <f>K34</f>
        <v>-203235424.54314363</v>
      </c>
      <c r="L110" s="181">
        <f>L34</f>
        <v>-206177531.09173626</v>
      </c>
    </row>
    <row r="111" spans="1:12" ht="15.6" x14ac:dyDescent="0.35">
      <c r="A111" s="44"/>
      <c r="B111" s="104" t="s">
        <v>35</v>
      </c>
      <c r="C111" s="61"/>
      <c r="D111" s="61"/>
      <c r="E111" s="61"/>
      <c r="F111" s="79"/>
      <c r="G111" s="79"/>
      <c r="H111" s="181">
        <f>H442</f>
        <v>32655301.722517647</v>
      </c>
      <c r="I111" s="181">
        <f t="shared" ref="I111:L111" si="68">I442</f>
        <v>36610877.59881299</v>
      </c>
      <c r="J111" s="181">
        <f t="shared" si="68"/>
        <v>40634993.467596814</v>
      </c>
      <c r="K111" s="181">
        <f t="shared" si="68"/>
        <v>44819639.046127364</v>
      </c>
      <c r="L111" s="181">
        <f t="shared" si="68"/>
        <v>49234862.788686305</v>
      </c>
    </row>
    <row r="112" spans="1:12" ht="15.6" x14ac:dyDescent="0.35">
      <c r="A112" s="44"/>
      <c r="B112" s="104" t="s">
        <v>12</v>
      </c>
      <c r="C112" s="61"/>
      <c r="D112" s="61"/>
      <c r="E112" s="61"/>
      <c r="F112" s="79"/>
      <c r="G112" s="79"/>
      <c r="H112" s="181">
        <f>H395</f>
        <v>17210000</v>
      </c>
      <c r="I112" s="181">
        <f t="shared" ref="I112:L112" si="69">I395</f>
        <v>17210000</v>
      </c>
      <c r="J112" s="181">
        <f t="shared" si="69"/>
        <v>17210000</v>
      </c>
      <c r="K112" s="181">
        <f t="shared" si="69"/>
        <v>17210000</v>
      </c>
      <c r="L112" s="181">
        <f t="shared" si="69"/>
        <v>17210000</v>
      </c>
    </row>
    <row r="113" spans="1:12" ht="15.6" x14ac:dyDescent="0.35">
      <c r="A113" s="44"/>
      <c r="B113" s="104" t="s">
        <v>110</v>
      </c>
      <c r="C113" s="61"/>
      <c r="D113" s="61"/>
      <c r="E113" s="61"/>
      <c r="F113" s="79"/>
      <c r="G113" s="79"/>
      <c r="H113" s="181">
        <f>H469</f>
        <v>95890948.168181688</v>
      </c>
      <c r="I113" s="181">
        <f t="shared" ref="I113:L113" si="70">I469</f>
        <v>112453664.98009716</v>
      </c>
      <c r="J113" s="181">
        <f t="shared" si="70"/>
        <v>129303371.22702277</v>
      </c>
      <c r="K113" s="181">
        <f t="shared" si="70"/>
        <v>146825244.61359733</v>
      </c>
      <c r="L113" s="181">
        <f t="shared" si="70"/>
        <v>165312590.77916718</v>
      </c>
    </row>
    <row r="114" spans="1:12" ht="15.6" x14ac:dyDescent="0.35">
      <c r="A114" s="44"/>
      <c r="B114" s="104" t="s">
        <v>63</v>
      </c>
      <c r="C114" s="61"/>
      <c r="D114" s="61"/>
      <c r="E114" s="61"/>
      <c r="F114" s="79"/>
      <c r="G114" s="79"/>
      <c r="H114" s="181">
        <f>-H352</f>
        <v>51450978.485960901</v>
      </c>
      <c r="I114" s="181">
        <f t="shared" ref="I114:L114" si="71">-I352</f>
        <v>-449927.17125737667</v>
      </c>
      <c r="J114" s="181">
        <f t="shared" si="71"/>
        <v>6460048.1240634322</v>
      </c>
      <c r="K114" s="181">
        <f t="shared" si="71"/>
        <v>10314283.315575361</v>
      </c>
      <c r="L114" s="181">
        <f t="shared" si="71"/>
        <v>14494566.876296878</v>
      </c>
    </row>
    <row r="115" spans="1:12" ht="15.6" x14ac:dyDescent="0.35">
      <c r="A115" s="44"/>
      <c r="B115" s="354" t="s">
        <v>185</v>
      </c>
      <c r="C115" s="61"/>
      <c r="D115" s="61"/>
      <c r="E115" s="61"/>
      <c r="F115" s="79"/>
      <c r="G115" s="79"/>
      <c r="H115" s="184">
        <f>-H33</f>
        <v>0</v>
      </c>
      <c r="I115" s="184">
        <f>-I33</f>
        <v>0</v>
      </c>
      <c r="J115" s="184">
        <f>-J33</f>
        <v>0</v>
      </c>
      <c r="K115" s="184">
        <f>-K33</f>
        <v>0</v>
      </c>
      <c r="L115" s="184">
        <f>-L33</f>
        <v>0</v>
      </c>
    </row>
    <row r="116" spans="1:12" ht="15.6" x14ac:dyDescent="0.35">
      <c r="A116" s="44"/>
      <c r="B116" s="354" t="s">
        <v>186</v>
      </c>
      <c r="C116" s="61"/>
      <c r="D116" s="61"/>
      <c r="E116" s="61"/>
      <c r="F116" s="79"/>
      <c r="G116" s="79"/>
      <c r="H116" s="184">
        <f>-H652</f>
        <v>0</v>
      </c>
      <c r="I116" s="184">
        <f t="shared" ref="I116:L116" si="72">-I652</f>
        <v>0</v>
      </c>
      <c r="J116" s="184">
        <f t="shared" si="72"/>
        <v>0</v>
      </c>
      <c r="K116" s="184">
        <f t="shared" si="72"/>
        <v>0</v>
      </c>
      <c r="L116" s="184">
        <f t="shared" si="72"/>
        <v>0</v>
      </c>
    </row>
    <row r="117" spans="1:12" ht="15.6" x14ac:dyDescent="0.35">
      <c r="A117" s="44"/>
      <c r="B117" s="104" t="s">
        <v>313</v>
      </c>
      <c r="C117" s="61"/>
      <c r="D117" s="61"/>
      <c r="E117" s="61"/>
      <c r="F117" s="79"/>
      <c r="G117" s="79"/>
      <c r="H117" s="184"/>
      <c r="I117" s="184"/>
      <c r="J117" s="184"/>
      <c r="K117" s="184"/>
      <c r="L117" s="184"/>
    </row>
    <row r="118" spans="1:12" ht="15.6" x14ac:dyDescent="0.35">
      <c r="A118" s="44"/>
      <c r="B118" s="104" t="s">
        <v>298</v>
      </c>
      <c r="C118" s="61"/>
      <c r="D118" s="61"/>
      <c r="E118" s="61"/>
      <c r="F118" s="79"/>
      <c r="G118" s="79"/>
      <c r="H118" s="181">
        <f>-H325</f>
        <v>-19038261.811023623</v>
      </c>
      <c r="I118" s="181">
        <f>-I325</f>
        <v>-5962415.3543307185</v>
      </c>
      <c r="J118" s="181">
        <f>-J325</f>
        <v>-5962415.3543307036</v>
      </c>
      <c r="K118" s="181">
        <f>-K325</f>
        <v>-5962415.3543307036</v>
      </c>
      <c r="L118" s="181">
        <f>-L325</f>
        <v>-5962415.3543307111</v>
      </c>
    </row>
    <row r="119" spans="1:12" ht="15.6" x14ac:dyDescent="0.35">
      <c r="A119" s="44"/>
      <c r="B119" s="61"/>
      <c r="C119" s="61"/>
      <c r="D119" s="61"/>
      <c r="E119" s="61"/>
      <c r="F119" s="79"/>
      <c r="G119" s="79"/>
      <c r="H119" s="184"/>
      <c r="I119" s="184"/>
      <c r="J119" s="184"/>
      <c r="K119" s="184"/>
      <c r="L119" s="184"/>
    </row>
    <row r="120" spans="1:12" ht="15.6" x14ac:dyDescent="0.35">
      <c r="A120" s="44"/>
      <c r="B120" s="203" t="s">
        <v>152</v>
      </c>
      <c r="C120" s="209"/>
      <c r="D120" s="209"/>
      <c r="E120" s="210"/>
      <c r="F120" s="201"/>
      <c r="G120" s="201"/>
      <c r="H120" s="212">
        <f>SUM(H110:H113)+SUM(H114:H118)</f>
        <v>13127404.475471228</v>
      </c>
      <c r="I120" s="212">
        <f>SUM(I110:I113)+SUM(I114:I118)</f>
        <v>-22376830.394758746</v>
      </c>
      <c r="J120" s="212">
        <f>SUM(J110:J113)+SUM(J114:J118)</f>
        <v>-5670140.1743755788</v>
      </c>
      <c r="K120" s="212">
        <f>SUM(K110:K113)+SUM(K114:K118)</f>
        <v>9971327.07782574</v>
      </c>
      <c r="L120" s="212">
        <f>SUM(L110:L113)+SUM(L114:L118)</f>
        <v>34112073.99808339</v>
      </c>
    </row>
    <row r="121" spans="1:12" ht="15.6" x14ac:dyDescent="0.35">
      <c r="A121" s="44"/>
      <c r="B121" s="61"/>
      <c r="C121" s="61"/>
      <c r="D121" s="61"/>
      <c r="E121" s="61"/>
      <c r="F121" s="79"/>
      <c r="G121" s="79"/>
      <c r="H121" s="80"/>
      <c r="I121" s="80"/>
      <c r="J121" s="80"/>
      <c r="K121" s="80"/>
      <c r="L121" s="80"/>
    </row>
    <row r="122" spans="1:12" ht="15.6" x14ac:dyDescent="0.35">
      <c r="A122" s="44"/>
      <c r="B122" s="196" t="s">
        <v>65</v>
      </c>
      <c r="C122" s="197"/>
      <c r="D122" s="198"/>
      <c r="E122" s="198"/>
      <c r="F122" s="199"/>
      <c r="G122" s="199"/>
      <c r="H122" s="199"/>
      <c r="I122" s="199"/>
      <c r="J122" s="199"/>
      <c r="K122" s="199"/>
      <c r="L122" s="200"/>
    </row>
    <row r="123" spans="1:12" ht="15.6" x14ac:dyDescent="0.35">
      <c r="A123" s="44"/>
      <c r="B123" s="61"/>
      <c r="C123" s="61"/>
      <c r="D123" s="61"/>
      <c r="E123" s="61"/>
      <c r="F123" s="79"/>
      <c r="G123" s="79"/>
      <c r="H123" s="80"/>
      <c r="I123" s="80"/>
      <c r="J123" s="80"/>
      <c r="K123" s="80"/>
      <c r="L123" s="80"/>
    </row>
    <row r="124" spans="1:12" ht="15.6" x14ac:dyDescent="0.35">
      <c r="A124" s="44"/>
      <c r="B124" s="61" t="s">
        <v>26</v>
      </c>
      <c r="C124" s="61"/>
      <c r="D124" s="61"/>
      <c r="E124" s="61"/>
      <c r="F124" s="79"/>
      <c r="G124" s="79"/>
      <c r="H124" s="181">
        <f>-H428</f>
        <v>-19753017.225176468</v>
      </c>
      <c r="I124" s="181">
        <f t="shared" ref="I124:L124" si="73">-I428</f>
        <v>-19802741.537776943</v>
      </c>
      <c r="J124" s="181">
        <f t="shared" si="73"/>
        <v>-20438417.150061361</v>
      </c>
      <c r="K124" s="181">
        <f t="shared" si="73"/>
        <v>-21408038.635244127</v>
      </c>
      <c r="L124" s="181">
        <f t="shared" si="73"/>
        <v>-22744198.790345274</v>
      </c>
    </row>
    <row r="125" spans="1:12" ht="15.6" x14ac:dyDescent="0.35">
      <c r="A125" s="44"/>
      <c r="B125" s="61" t="s">
        <v>27</v>
      </c>
      <c r="C125" s="61"/>
      <c r="D125" s="61"/>
      <c r="E125" s="61"/>
      <c r="F125" s="79"/>
      <c r="G125" s="79"/>
      <c r="H125" s="181">
        <f>-H455</f>
        <v>-82709481.681816876</v>
      </c>
      <c r="I125" s="181">
        <f t="shared" ref="I125:L125" si="74">-I455</f>
        <v>-82917686.437337875</v>
      </c>
      <c r="J125" s="181">
        <f t="shared" si="74"/>
        <v>-85579376.031918079</v>
      </c>
      <c r="K125" s="181">
        <f t="shared" si="74"/>
        <v>-89639357.83382751</v>
      </c>
      <c r="L125" s="181">
        <f t="shared" si="74"/>
        <v>-95234103.821871102</v>
      </c>
    </row>
    <row r="126" spans="1:12" ht="15.6" x14ac:dyDescent="0.35">
      <c r="A126" s="44"/>
      <c r="B126" s="214"/>
      <c r="C126" s="214"/>
      <c r="D126" s="214"/>
      <c r="E126" s="214"/>
      <c r="F126" s="352"/>
      <c r="G126" s="352"/>
      <c r="H126" s="353"/>
      <c r="I126" s="353"/>
      <c r="J126" s="353"/>
      <c r="K126" s="353"/>
      <c r="L126" s="353"/>
    </row>
    <row r="127" spans="1:12" ht="15.6" x14ac:dyDescent="0.35">
      <c r="A127" s="44"/>
      <c r="B127" s="230" t="s">
        <v>28</v>
      </c>
      <c r="C127" s="231"/>
      <c r="D127" s="231"/>
      <c r="E127" s="232"/>
      <c r="F127" s="260"/>
      <c r="G127" s="260"/>
      <c r="H127" s="229">
        <f>H124+H125</f>
        <v>-102462498.90699334</v>
      </c>
      <c r="I127" s="229">
        <f t="shared" ref="I127:L127" si="75">I124+I125</f>
        <v>-102720427.97511482</v>
      </c>
      <c r="J127" s="229">
        <f t="shared" si="75"/>
        <v>-106017793.18197945</v>
      </c>
      <c r="K127" s="229">
        <f t="shared" si="75"/>
        <v>-111047396.46907164</v>
      </c>
      <c r="L127" s="229">
        <f t="shared" si="75"/>
        <v>-117978302.61221638</v>
      </c>
    </row>
    <row r="128" spans="1:12" ht="15.6" x14ac:dyDescent="0.35">
      <c r="A128" s="44"/>
      <c r="B128" s="61"/>
      <c r="C128" s="61"/>
      <c r="D128" s="61"/>
      <c r="E128" s="61"/>
      <c r="F128" s="79"/>
      <c r="G128" s="79"/>
      <c r="H128" s="81"/>
      <c r="I128" s="81"/>
      <c r="J128" s="81"/>
      <c r="K128" s="81"/>
      <c r="L128" s="81"/>
    </row>
    <row r="129" spans="1:12" ht="15.6" x14ac:dyDescent="0.35">
      <c r="A129" s="44"/>
      <c r="B129" s="196" t="s">
        <v>68</v>
      </c>
      <c r="C129" s="197"/>
      <c r="D129" s="198"/>
      <c r="E129" s="198"/>
      <c r="F129" s="199"/>
      <c r="G129" s="199"/>
      <c r="H129" s="199"/>
      <c r="I129" s="199"/>
      <c r="J129" s="199"/>
      <c r="K129" s="199"/>
      <c r="L129" s="200"/>
    </row>
    <row r="130" spans="1:12" ht="15.6" x14ac:dyDescent="0.35">
      <c r="A130" s="44"/>
      <c r="B130" s="61"/>
      <c r="C130" s="61"/>
      <c r="D130" s="61"/>
      <c r="E130" s="61"/>
      <c r="F130" s="79"/>
      <c r="G130" s="79"/>
      <c r="H130" s="81"/>
      <c r="I130" s="81"/>
      <c r="J130" s="81"/>
      <c r="K130" s="81"/>
      <c r="L130" s="81"/>
    </row>
    <row r="131" spans="1:12" ht="15.6" x14ac:dyDescent="0.35">
      <c r="A131" s="44"/>
      <c r="B131" s="61" t="s">
        <v>66</v>
      </c>
      <c r="C131" s="61"/>
      <c r="D131" s="61"/>
      <c r="E131" s="61"/>
      <c r="F131" s="79"/>
      <c r="G131" s="79"/>
      <c r="H131" s="181">
        <f>H557</f>
        <v>150000000</v>
      </c>
      <c r="I131" s="181">
        <f t="shared" ref="I131:L131" si="76">I557</f>
        <v>60923302.801395714</v>
      </c>
      <c r="J131" s="181">
        <f t="shared" si="76"/>
        <v>138597661.85635501</v>
      </c>
      <c r="K131" s="181">
        <f t="shared" si="76"/>
        <v>398493089.74624586</v>
      </c>
      <c r="L131" s="181">
        <f t="shared" si="76"/>
        <v>112414759.57978298</v>
      </c>
    </row>
    <row r="132" spans="1:12" ht="15.6" x14ac:dyDescent="0.35">
      <c r="A132" s="44"/>
      <c r="B132" s="61" t="s">
        <v>67</v>
      </c>
      <c r="C132" s="61"/>
      <c r="D132" s="61"/>
      <c r="E132" s="61"/>
      <c r="F132" s="79"/>
      <c r="G132" s="79"/>
      <c r="H132" s="181">
        <f>H558</f>
        <v>-233900000</v>
      </c>
      <c r="I132" s="181">
        <f t="shared" ref="I132:L132" si="77">I558</f>
        <v>0</v>
      </c>
      <c r="J132" s="181">
        <f t="shared" si="77"/>
        <v>0</v>
      </c>
      <c r="K132" s="181">
        <f t="shared" si="77"/>
        <v>-269700000</v>
      </c>
      <c r="L132" s="181">
        <f t="shared" si="77"/>
        <v>0</v>
      </c>
    </row>
    <row r="133" spans="1:12" ht="15.6" x14ac:dyDescent="0.35">
      <c r="A133" s="44"/>
      <c r="B133" s="61" t="s">
        <v>29</v>
      </c>
      <c r="C133" s="61"/>
      <c r="D133" s="61"/>
      <c r="E133" s="61"/>
      <c r="F133" s="79"/>
      <c r="G133" s="79"/>
      <c r="H133" s="181">
        <f>-H415</f>
        <v>-25365000</v>
      </c>
      <c r="I133" s="181">
        <f t="shared" ref="I133:L133" si="78">-I415</f>
        <v>-26125950</v>
      </c>
      <c r="J133" s="181">
        <f t="shared" si="78"/>
        <v>-26909728.5</v>
      </c>
      <c r="K133" s="181">
        <f t="shared" si="78"/>
        <v>-27717020.355</v>
      </c>
      <c r="L133" s="181">
        <f t="shared" si="78"/>
        <v>-28548530.96565</v>
      </c>
    </row>
    <row r="134" spans="1:12" ht="15.6" x14ac:dyDescent="0.35">
      <c r="A134" s="44"/>
      <c r="B134" s="61" t="s">
        <v>30</v>
      </c>
      <c r="C134" s="61"/>
      <c r="D134" s="61"/>
      <c r="E134" s="61"/>
      <c r="F134" s="79"/>
      <c r="G134" s="79"/>
      <c r="H134" s="186">
        <f>-H688</f>
        <v>0</v>
      </c>
      <c r="I134" s="186">
        <f t="shared" ref="I134:L134" si="79">-I688</f>
        <v>0</v>
      </c>
      <c r="J134" s="186">
        <f t="shared" si="79"/>
        <v>0</v>
      </c>
      <c r="K134" s="186">
        <f t="shared" si="79"/>
        <v>0</v>
      </c>
      <c r="L134" s="186">
        <f t="shared" si="79"/>
        <v>0</v>
      </c>
    </row>
    <row r="135" spans="1:12" ht="15.6" x14ac:dyDescent="0.35">
      <c r="A135" s="44"/>
      <c r="B135" s="61" t="s">
        <v>36</v>
      </c>
      <c r="C135" s="61"/>
      <c r="D135" s="61"/>
      <c r="E135" s="61"/>
      <c r="F135" s="79"/>
      <c r="G135" s="79"/>
      <c r="H135" s="186">
        <f>H695</f>
        <v>0</v>
      </c>
      <c r="I135" s="186">
        <f t="shared" ref="I135:L135" si="80">I695</f>
        <v>0</v>
      </c>
      <c r="J135" s="186">
        <f t="shared" si="80"/>
        <v>0</v>
      </c>
      <c r="K135" s="186">
        <f t="shared" si="80"/>
        <v>0</v>
      </c>
      <c r="L135" s="186">
        <f t="shared" si="80"/>
        <v>0</v>
      </c>
    </row>
    <row r="136" spans="1:12" ht="15.6" x14ac:dyDescent="0.35">
      <c r="A136" s="44"/>
      <c r="B136" s="61"/>
      <c r="C136" s="61"/>
      <c r="D136" s="61"/>
      <c r="E136" s="61"/>
      <c r="F136" s="79"/>
      <c r="G136" s="79"/>
      <c r="H136" s="186"/>
      <c r="I136" s="186"/>
      <c r="J136" s="186"/>
      <c r="K136" s="186"/>
      <c r="L136" s="186"/>
    </row>
    <row r="137" spans="1:12" ht="15.6" x14ac:dyDescent="0.35">
      <c r="A137" s="44"/>
      <c r="B137" s="230" t="s">
        <v>31</v>
      </c>
      <c r="C137" s="231"/>
      <c r="D137" s="231"/>
      <c r="E137" s="232"/>
      <c r="F137" s="260"/>
      <c r="G137" s="260"/>
      <c r="H137" s="229">
        <f>SUM(H131:H135)</f>
        <v>-109265000</v>
      </c>
      <c r="I137" s="229">
        <f t="shared" ref="I137:L137" si="81">SUM(I131:I135)</f>
        <v>34797352.801395714</v>
      </c>
      <c r="J137" s="229">
        <f t="shared" si="81"/>
        <v>111687933.35635501</v>
      </c>
      <c r="K137" s="229">
        <f t="shared" si="81"/>
        <v>101076069.39124586</v>
      </c>
      <c r="L137" s="229">
        <f t="shared" si="81"/>
        <v>83866228.614132971</v>
      </c>
    </row>
    <row r="138" spans="1:12" ht="15.6" x14ac:dyDescent="0.35">
      <c r="A138" s="44"/>
      <c r="B138" s="61"/>
      <c r="C138" s="61"/>
      <c r="D138" s="61"/>
      <c r="E138" s="61"/>
      <c r="F138" s="79"/>
      <c r="G138" s="79"/>
      <c r="H138" s="80"/>
      <c r="I138" s="80"/>
      <c r="J138" s="80"/>
      <c r="K138" s="80"/>
      <c r="L138" s="80"/>
    </row>
    <row r="139" spans="1:12" ht="15.6" x14ac:dyDescent="0.35">
      <c r="A139" s="44"/>
      <c r="B139" s="196" t="s">
        <v>68</v>
      </c>
      <c r="C139" s="197"/>
      <c r="D139" s="198"/>
      <c r="E139" s="198"/>
      <c r="F139" s="199"/>
      <c r="G139" s="199"/>
      <c r="H139" s="199"/>
      <c r="I139" s="199"/>
      <c r="J139" s="199"/>
      <c r="K139" s="199"/>
      <c r="L139" s="200"/>
    </row>
    <row r="140" spans="1:12" ht="15.6" x14ac:dyDescent="0.35">
      <c r="A140" s="44"/>
      <c r="B140" s="61"/>
      <c r="C140" s="61"/>
      <c r="D140" s="61"/>
      <c r="E140" s="61"/>
      <c r="F140" s="79"/>
      <c r="G140" s="79"/>
      <c r="H140" s="80"/>
      <c r="I140" s="80"/>
      <c r="J140" s="80"/>
      <c r="K140" s="80"/>
      <c r="L140" s="80"/>
    </row>
    <row r="141" spans="1:12" ht="15.6" x14ac:dyDescent="0.35">
      <c r="A141" s="44"/>
      <c r="B141" s="61" t="s">
        <v>32</v>
      </c>
      <c r="C141" s="61"/>
      <c r="D141" s="61"/>
      <c r="E141" s="61"/>
      <c r="F141" s="351"/>
      <c r="G141" s="351"/>
      <c r="H141" s="223">
        <f>G55</f>
        <v>318900000</v>
      </c>
      <c r="I141" s="223">
        <f>H143</f>
        <v>120299905.56847787</v>
      </c>
      <c r="J141" s="223">
        <f t="shared" ref="J141:L141" si="82">I143</f>
        <v>30000000.000000015</v>
      </c>
      <c r="K141" s="223">
        <f t="shared" si="82"/>
        <v>30000000.000000015</v>
      </c>
      <c r="L141" s="223">
        <f t="shared" si="82"/>
        <v>30000000.000000015</v>
      </c>
    </row>
    <row r="142" spans="1:12" ht="15.6" x14ac:dyDescent="0.35">
      <c r="A142" s="44"/>
      <c r="B142" s="215" t="s">
        <v>33</v>
      </c>
      <c r="C142" s="215"/>
      <c r="D142" s="215"/>
      <c r="E142" s="215"/>
      <c r="F142" s="261"/>
      <c r="G142" s="261"/>
      <c r="H142" s="247">
        <f>H120+H127+H137</f>
        <v>-198600094.43152213</v>
      </c>
      <c r="I142" s="247">
        <f t="shared" ref="I142:L142" si="83">I120+I127+I137</f>
        <v>-90299905.568477854</v>
      </c>
      <c r="J142" s="247">
        <f t="shared" si="83"/>
        <v>0</v>
      </c>
      <c r="K142" s="247">
        <f t="shared" si="83"/>
        <v>0</v>
      </c>
      <c r="L142" s="247">
        <f t="shared" si="83"/>
        <v>0</v>
      </c>
    </row>
    <row r="143" spans="1:12" ht="15.6" x14ac:dyDescent="0.35">
      <c r="A143" s="44"/>
      <c r="B143" s="61" t="s">
        <v>34</v>
      </c>
      <c r="C143" s="61"/>
      <c r="D143" s="61"/>
      <c r="E143" s="61"/>
      <c r="F143" s="79"/>
      <c r="G143" s="79"/>
      <c r="H143" s="223">
        <f>SUM(H141:H142)</f>
        <v>120299905.56847787</v>
      </c>
      <c r="I143" s="223">
        <f t="shared" ref="I143:L143" si="84">SUM(I141:I142)</f>
        <v>30000000.000000015</v>
      </c>
      <c r="J143" s="223">
        <f t="shared" si="84"/>
        <v>30000000.000000015</v>
      </c>
      <c r="K143" s="223">
        <f t="shared" si="84"/>
        <v>30000000.000000015</v>
      </c>
      <c r="L143" s="223">
        <f t="shared" si="84"/>
        <v>30000000.000000015</v>
      </c>
    </row>
    <row r="144" spans="1:12" ht="15.6" x14ac:dyDescent="0.35">
      <c r="A144" s="44"/>
      <c r="B144" s="44"/>
      <c r="C144" s="44"/>
      <c r="D144" s="44"/>
      <c r="E144" s="44"/>
      <c r="F144" s="83"/>
      <c r="G144" s="83"/>
      <c r="H144" s="84"/>
      <c r="I144" s="84"/>
      <c r="J144" s="84"/>
      <c r="K144" s="84"/>
      <c r="L144" s="84"/>
    </row>
    <row r="145" spans="1:12" ht="15.6" x14ac:dyDescent="0.35">
      <c r="A145" s="44"/>
      <c r="B145" s="44"/>
      <c r="C145" s="44"/>
      <c r="D145" s="44"/>
      <c r="E145" s="44"/>
      <c r="F145" s="83"/>
      <c r="G145" s="83"/>
      <c r="H145" s="84"/>
      <c r="I145" s="84"/>
      <c r="J145" s="84"/>
      <c r="K145" s="84"/>
      <c r="L145" s="84"/>
    </row>
    <row r="146" spans="1:12" ht="15.6" x14ac:dyDescent="0.35">
      <c r="A146" s="44"/>
      <c r="B146" s="44"/>
      <c r="C146" s="44"/>
      <c r="D146" s="44"/>
      <c r="E146" s="44"/>
      <c r="F146" s="83"/>
      <c r="G146" s="83"/>
      <c r="H146" s="84"/>
      <c r="I146" s="84"/>
      <c r="J146" s="84"/>
      <c r="K146" s="84"/>
      <c r="L146" s="84"/>
    </row>
    <row r="147" spans="1:12" ht="15.6" x14ac:dyDescent="0.35">
      <c r="A147" s="44"/>
      <c r="B147" s="44"/>
      <c r="C147" s="44"/>
      <c r="D147" s="44"/>
      <c r="E147" s="44"/>
      <c r="F147" s="83"/>
      <c r="G147" s="83"/>
      <c r="H147" s="84"/>
      <c r="I147" s="84"/>
      <c r="J147" s="84"/>
      <c r="K147" s="84"/>
      <c r="L147" s="84"/>
    </row>
    <row r="148" spans="1:12" ht="28.8" x14ac:dyDescent="0.65">
      <c r="A148" s="44"/>
      <c r="B148" s="45" t="str">
        <f>Cover!$B$2</f>
        <v>ASOS PLC</v>
      </c>
      <c r="C148" s="45"/>
      <c r="D148" s="46"/>
      <c r="E148" s="47"/>
      <c r="F148" s="47"/>
      <c r="G148" s="47"/>
      <c r="H148" s="47"/>
      <c r="I148" s="47"/>
      <c r="J148" s="47"/>
      <c r="K148" s="47"/>
      <c r="L148" s="47"/>
    </row>
    <row r="149" spans="1:12" ht="21" x14ac:dyDescent="0.5">
      <c r="A149" s="44"/>
      <c r="B149" s="48" t="s">
        <v>4</v>
      </c>
      <c r="C149" s="49"/>
      <c r="D149" s="47"/>
      <c r="E149" s="47"/>
      <c r="F149" s="47"/>
      <c r="G149" s="47"/>
      <c r="H149" s="47"/>
      <c r="I149" s="47"/>
      <c r="J149" s="47"/>
      <c r="K149" s="47"/>
      <c r="L149" s="159" t="str">
        <f>"Currently Running: "&amp;CHOOSE(Assumptions!$B$10,Assumptions!$F$15,Assumptions!$F$16,Assumptions!$F$17)&amp;"Scenario"</f>
        <v>Currently Running: Base Scenario</v>
      </c>
    </row>
    <row r="150" spans="1:12" ht="15.6" x14ac:dyDescent="0.35">
      <c r="A150" s="44"/>
      <c r="B150" s="50"/>
      <c r="C150" s="50"/>
      <c r="D150" s="50"/>
      <c r="E150" s="50"/>
      <c r="F150" s="50"/>
      <c r="G150" s="50"/>
      <c r="H150" s="50"/>
      <c r="I150" s="50"/>
      <c r="J150" s="50"/>
      <c r="K150" s="51"/>
      <c r="L150" s="51"/>
    </row>
    <row r="151" spans="1:12" ht="15.6" x14ac:dyDescent="0.35">
      <c r="A151" s="44"/>
      <c r="B151" s="51"/>
      <c r="C151" s="51"/>
      <c r="D151" s="51"/>
      <c r="E151" s="51"/>
      <c r="F151" s="292" t="s">
        <v>361</v>
      </c>
      <c r="G151" s="293"/>
      <c r="H151" s="293"/>
      <c r="I151" s="293"/>
      <c r="J151" s="293"/>
      <c r="K151" s="293"/>
      <c r="L151" s="294"/>
    </row>
    <row r="152" spans="1:12" ht="15.6" x14ac:dyDescent="0.35">
      <c r="A152" s="44"/>
      <c r="B152" s="51"/>
      <c r="C152" s="51"/>
      <c r="D152" s="51"/>
      <c r="E152" s="51"/>
      <c r="F152" s="53">
        <f>$F$105</f>
        <v>2024</v>
      </c>
      <c r="G152" s="53">
        <f>F152+1</f>
        <v>2025</v>
      </c>
      <c r="H152" s="54">
        <f>G152+1</f>
        <v>2026</v>
      </c>
      <c r="I152" s="54">
        <f t="shared" ref="I152" si="85">H152+1</f>
        <v>2027</v>
      </c>
      <c r="J152" s="54">
        <f t="shared" ref="J152" si="86">I152+1</f>
        <v>2028</v>
      </c>
      <c r="K152" s="54">
        <f t="shared" ref="K152" si="87">J152+1</f>
        <v>2029</v>
      </c>
      <c r="L152" s="54">
        <f t="shared" ref="L152" si="88">K152+1</f>
        <v>2030</v>
      </c>
    </row>
    <row r="153" spans="1:12" ht="16.2" thickBot="1" x14ac:dyDescent="0.4">
      <c r="A153" s="44"/>
      <c r="B153" s="55" t="s">
        <v>187</v>
      </c>
      <c r="C153" s="55"/>
      <c r="D153" s="55"/>
      <c r="E153" s="55"/>
      <c r="F153" s="56" t="s">
        <v>50</v>
      </c>
      <c r="G153" s="56"/>
      <c r="H153" s="57"/>
      <c r="I153" s="57"/>
      <c r="J153" s="57"/>
      <c r="K153" s="57"/>
      <c r="L153" s="57" t="s">
        <v>37</v>
      </c>
    </row>
    <row r="154" spans="1:12" ht="15.6" x14ac:dyDescent="0.35">
      <c r="A154" s="44"/>
      <c r="B154" s="51"/>
      <c r="C154" s="51"/>
      <c r="D154" s="51"/>
      <c r="E154" s="51"/>
      <c r="F154" s="71"/>
      <c r="G154" s="71"/>
      <c r="H154" s="72"/>
      <c r="I154" s="72"/>
      <c r="J154" s="72"/>
      <c r="K154" s="72"/>
      <c r="L154" s="72"/>
    </row>
    <row r="155" spans="1:12" ht="15.6" x14ac:dyDescent="0.35">
      <c r="A155" s="44"/>
      <c r="B155" s="196" t="s">
        <v>321</v>
      </c>
      <c r="C155" s="197"/>
      <c r="D155" s="198"/>
      <c r="E155" s="198"/>
      <c r="F155" s="199"/>
      <c r="G155" s="199"/>
      <c r="H155" s="199"/>
      <c r="I155" s="199"/>
      <c r="J155" s="199"/>
      <c r="K155" s="199"/>
      <c r="L155" s="200"/>
    </row>
    <row r="156" spans="1:12" ht="15.6" x14ac:dyDescent="0.35">
      <c r="A156" s="44"/>
      <c r="B156" s="51"/>
      <c r="C156" s="51"/>
      <c r="D156" s="51"/>
      <c r="E156" s="51"/>
      <c r="F156" s="71"/>
      <c r="G156" s="71"/>
      <c r="H156" s="72"/>
      <c r="I156" s="72"/>
      <c r="J156" s="72"/>
      <c r="K156" s="72"/>
      <c r="L156" s="72"/>
    </row>
    <row r="157" spans="1:12" ht="15.6" x14ac:dyDescent="0.35">
      <c r="A157" s="44"/>
      <c r="B157" s="51" t="s">
        <v>322</v>
      </c>
      <c r="C157" s="51"/>
      <c r="D157" s="51"/>
      <c r="E157" s="51"/>
      <c r="F157" s="322">
        <f>F196</f>
        <v>19700000</v>
      </c>
      <c r="G157" s="322">
        <f t="shared" ref="G157:L157" si="89">G196</f>
        <v>17000000</v>
      </c>
      <c r="H157" s="322">
        <f t="shared" si="89"/>
        <v>16500000</v>
      </c>
      <c r="I157" s="322">
        <f t="shared" si="89"/>
        <v>16000000</v>
      </c>
      <c r="J157" s="322">
        <f t="shared" si="89"/>
        <v>16000000</v>
      </c>
      <c r="K157" s="322">
        <f t="shared" si="89"/>
        <v>16250000</v>
      </c>
      <c r="L157" s="322">
        <f t="shared" si="89"/>
        <v>16750000</v>
      </c>
    </row>
    <row r="158" spans="1:12" ht="15.6" x14ac:dyDescent="0.35">
      <c r="A158" s="44"/>
      <c r="B158" s="51" t="s">
        <v>206</v>
      </c>
      <c r="C158" s="51"/>
      <c r="D158" s="51"/>
      <c r="E158" s="51"/>
      <c r="F158" s="322">
        <f>F199</f>
        <v>68000000</v>
      </c>
      <c r="G158" s="322">
        <f t="shared" ref="G158:L158" si="90">G199</f>
        <v>57000000</v>
      </c>
      <c r="H158" s="322">
        <f t="shared" si="90"/>
        <v>55323529.411764704</v>
      </c>
      <c r="I158" s="322">
        <f t="shared" si="90"/>
        <v>53647058.823529415</v>
      </c>
      <c r="J158" s="322">
        <f t="shared" si="90"/>
        <v>53647058.823529415</v>
      </c>
      <c r="K158" s="322">
        <f t="shared" si="90"/>
        <v>54485294.117647059</v>
      </c>
      <c r="L158" s="322">
        <f t="shared" si="90"/>
        <v>56161764.705882356</v>
      </c>
    </row>
    <row r="159" spans="1:12" ht="15.6" x14ac:dyDescent="0.35">
      <c r="A159" s="44"/>
      <c r="B159" s="51" t="s">
        <v>210</v>
      </c>
      <c r="C159" s="51"/>
      <c r="D159" s="51"/>
      <c r="E159" s="51"/>
      <c r="F159" s="236">
        <f>F203</f>
        <v>2917800000</v>
      </c>
      <c r="G159" s="236">
        <f t="shared" ref="G159:L159" si="91">G203</f>
        <v>2456300000</v>
      </c>
      <c r="H159" s="236">
        <f t="shared" si="91"/>
        <v>2453502266.4705882</v>
      </c>
      <c r="I159" s="236">
        <f t="shared" si="91"/>
        <v>2460044939.1811767</v>
      </c>
      <c r="J159" s="236">
        <f t="shared" si="91"/>
        <v>2543686467.113337</v>
      </c>
      <c r="K159" s="236">
        <f t="shared" si="91"/>
        <v>2671268241.4794903</v>
      </c>
      <c r="L159" s="236">
        <f t="shared" si="91"/>
        <v>2847078788.2033253</v>
      </c>
    </row>
    <row r="160" spans="1:12" ht="15.6" x14ac:dyDescent="0.35">
      <c r="A160" s="44"/>
      <c r="B160" s="51" t="s">
        <v>356</v>
      </c>
      <c r="C160" s="51"/>
      <c r="D160" s="51"/>
      <c r="E160" s="51"/>
      <c r="F160" s="349"/>
      <c r="G160" s="350"/>
      <c r="H160" s="350">
        <f>H219</f>
        <v>-3.5002207010014987E-3</v>
      </c>
      <c r="I160" s="350">
        <f>I219</f>
        <v>2.5173021434466494E-3</v>
      </c>
      <c r="J160" s="350">
        <f>J219</f>
        <v>3.2100384235776741E-2</v>
      </c>
      <c r="K160" s="350">
        <f>K219</f>
        <v>4.7441124137142639E-2</v>
      </c>
      <c r="L160" s="350">
        <f>L219</f>
        <v>6.2413945428023553E-2</v>
      </c>
    </row>
    <row r="161" spans="1:12" ht="15.6" x14ac:dyDescent="0.35">
      <c r="A161" s="44"/>
      <c r="B161" s="51"/>
      <c r="C161" s="51"/>
      <c r="D161" s="51"/>
      <c r="E161" s="51"/>
      <c r="F161" s="71"/>
      <c r="G161" s="71"/>
      <c r="H161" s="72"/>
      <c r="I161" s="72"/>
      <c r="J161" s="72"/>
      <c r="K161" s="72"/>
      <c r="L161" s="72"/>
    </row>
    <row r="162" spans="1:12" ht="15.6" x14ac:dyDescent="0.35">
      <c r="A162" s="44"/>
      <c r="B162" s="196" t="s">
        <v>323</v>
      </c>
      <c r="C162" s="197"/>
      <c r="D162" s="198"/>
      <c r="E162" s="198"/>
      <c r="F162" s="199"/>
      <c r="G162" s="199"/>
      <c r="H162" s="199"/>
      <c r="I162" s="199"/>
      <c r="J162" s="199"/>
      <c r="K162" s="199"/>
      <c r="L162" s="200"/>
    </row>
    <row r="163" spans="1:12" ht="15.6" x14ac:dyDescent="0.35">
      <c r="A163" s="44"/>
      <c r="B163" s="51"/>
      <c r="C163" s="51"/>
      <c r="D163" s="51"/>
      <c r="E163" s="51"/>
      <c r="F163" s="71"/>
      <c r="G163" s="71"/>
      <c r="H163" s="72"/>
      <c r="I163" s="72"/>
      <c r="J163" s="72"/>
      <c r="K163" s="72"/>
      <c r="L163" s="72"/>
    </row>
    <row r="164" spans="1:12" ht="15.6" x14ac:dyDescent="0.35">
      <c r="A164" s="44"/>
      <c r="B164" s="51" t="s">
        <v>324</v>
      </c>
      <c r="C164" s="51"/>
      <c r="D164" s="51"/>
      <c r="E164" s="51"/>
      <c r="F164" s="346">
        <f t="shared" ref="F164:L164" si="92">F13</f>
        <v>0.40006194507536652</v>
      </c>
      <c r="G164" s="346">
        <f t="shared" si="92"/>
        <v>0.47086124788118494</v>
      </c>
      <c r="H164" s="346">
        <f t="shared" si="92"/>
        <v>0.46517320634024412</v>
      </c>
      <c r="I164" s="346">
        <f t="shared" si="92"/>
        <v>0.46716279348372142</v>
      </c>
      <c r="J164" s="346">
        <f t="shared" si="92"/>
        <v>0.46824714815105417</v>
      </c>
      <c r="K164" s="346">
        <f t="shared" si="92"/>
        <v>0.46893116754214242</v>
      </c>
      <c r="L164" s="346">
        <f t="shared" si="92"/>
        <v>0.46929189257913345</v>
      </c>
    </row>
    <row r="165" spans="1:12" ht="15.6" x14ac:dyDescent="0.35">
      <c r="A165" s="44"/>
      <c r="B165" s="51" t="s">
        <v>140</v>
      </c>
      <c r="C165" s="51"/>
      <c r="D165" s="51"/>
      <c r="E165" s="51"/>
      <c r="F165" s="346">
        <f t="shared" ref="F165:L165" si="93">F19</f>
        <v>-0.11421983618968959</v>
      </c>
      <c r="G165" s="346">
        <f t="shared" si="93"/>
        <v>-8.5680845911695863E-2</v>
      </c>
      <c r="H165" s="346">
        <f t="shared" si="93"/>
        <v>-4.5842500231669456E-2</v>
      </c>
      <c r="I165" s="346">
        <f t="shared" si="93"/>
        <v>-5.250322709341599E-2</v>
      </c>
      <c r="J165" s="346">
        <f t="shared" si="93"/>
        <v>-5.2659127714179736E-2</v>
      </c>
      <c r="K165" s="346">
        <f t="shared" si="93"/>
        <v>-4.8315656129789747E-2</v>
      </c>
      <c r="L165" s="346">
        <f t="shared" si="93"/>
        <v>-4.1209072703621091E-2</v>
      </c>
    </row>
    <row r="166" spans="1:12" ht="15.6" x14ac:dyDescent="0.35">
      <c r="A166" s="44"/>
      <c r="B166" s="51" t="s">
        <v>139</v>
      </c>
      <c r="C166" s="51"/>
      <c r="D166" s="51"/>
      <c r="E166" s="51"/>
      <c r="F166" s="346">
        <f t="shared" ref="F166:L166" si="94">F26</f>
        <v>-5.5268772799229128E-2</v>
      </c>
      <c r="G166" s="346">
        <f t="shared" si="94"/>
        <v>-1.8605214303010736E-2</v>
      </c>
      <c r="H166" s="346">
        <f t="shared" si="94"/>
        <v>1.3188987759916469E-2</v>
      </c>
      <c r="I166" s="346">
        <f t="shared" si="94"/>
        <v>1.4669105489611249E-2</v>
      </c>
      <c r="J166" s="346">
        <f t="shared" si="94"/>
        <v>2.0594437205472667E-2</v>
      </c>
      <c r="K166" s="346">
        <f t="shared" si="94"/>
        <v>2.9731618435900255E-2</v>
      </c>
      <c r="L166" s="346">
        <f t="shared" si="94"/>
        <v>4.0308840749099045E-2</v>
      </c>
    </row>
    <row r="167" spans="1:12" ht="15.6" x14ac:dyDescent="0.35">
      <c r="A167" s="44"/>
      <c r="B167" s="51" t="s">
        <v>155</v>
      </c>
      <c r="C167" s="51"/>
      <c r="D167" s="51"/>
      <c r="E167" s="51"/>
      <c r="F167" s="346">
        <f t="shared" ref="F167:L167" si="95">F35</f>
        <v>-0.11655998348131323</v>
      </c>
      <c r="G167" s="346">
        <f t="shared" si="95"/>
        <v>-0.12042941318911939</v>
      </c>
      <c r="H167" s="346">
        <f t="shared" si="95"/>
        <v>-6.6842066792635393E-2</v>
      </c>
      <c r="I167" s="346">
        <f t="shared" si="95"/>
        <v>-7.3621737717650973E-2</v>
      </c>
      <c r="J167" s="346">
        <f t="shared" si="95"/>
        <v>-7.5667753023877404E-2</v>
      </c>
      <c r="K167" s="346">
        <f t="shared" si="95"/>
        <v>-7.5947331002497898E-2</v>
      </c>
      <c r="L167" s="346">
        <f t="shared" si="95"/>
        <v>-7.2520481549521787E-2</v>
      </c>
    </row>
    <row r="168" spans="1:12" ht="15.6" x14ac:dyDescent="0.35">
      <c r="A168" s="44"/>
      <c r="B168" s="51"/>
      <c r="C168" s="51"/>
      <c r="D168" s="51"/>
      <c r="E168" s="51"/>
      <c r="F168" s="71"/>
      <c r="G168" s="71"/>
      <c r="H168" s="72"/>
      <c r="I168" s="72"/>
      <c r="J168" s="72"/>
      <c r="K168" s="72"/>
      <c r="L168" s="72"/>
    </row>
    <row r="169" spans="1:12" ht="15.6" x14ac:dyDescent="0.35">
      <c r="A169" s="44"/>
      <c r="B169" s="196" t="s">
        <v>158</v>
      </c>
      <c r="C169" s="197"/>
      <c r="D169" s="198"/>
      <c r="E169" s="198"/>
      <c r="F169" s="199"/>
      <c r="G169" s="199"/>
      <c r="H169" s="199"/>
      <c r="I169" s="199"/>
      <c r="J169" s="199"/>
      <c r="K169" s="199"/>
      <c r="L169" s="200"/>
    </row>
    <row r="170" spans="1:12" ht="15.6" x14ac:dyDescent="0.35">
      <c r="A170" s="44"/>
      <c r="B170" s="51"/>
      <c r="C170" s="51"/>
      <c r="D170" s="51"/>
      <c r="E170" s="51"/>
      <c r="F170" s="71"/>
      <c r="G170" s="71"/>
      <c r="H170" s="72"/>
      <c r="I170" s="72"/>
      <c r="J170" s="72"/>
      <c r="K170" s="72"/>
      <c r="L170" s="72"/>
    </row>
    <row r="171" spans="1:12" ht="15.6" x14ac:dyDescent="0.35">
      <c r="A171" s="44"/>
      <c r="B171" s="51" t="s">
        <v>159</v>
      </c>
      <c r="C171" s="51"/>
      <c r="D171" s="51"/>
      <c r="E171" s="51"/>
      <c r="F171" s="346"/>
      <c r="G171" s="347">
        <f t="shared" ref="G171:L171" si="96">IF(AVERAGE(SUM(H89:H92),SUM(G89:G92))&lt;0,"N/M",G34/AVERAGE(SUM(H89:H92),SUM(G89:G92)))</f>
        <v>-2.2975192059291514</v>
      </c>
      <c r="H171" s="347" t="str">
        <f t="shared" si="96"/>
        <v>N/M</v>
      </c>
      <c r="I171" s="347" t="str">
        <f t="shared" si="96"/>
        <v>N/M</v>
      </c>
      <c r="J171" s="347" t="str">
        <f t="shared" si="96"/>
        <v>N/M</v>
      </c>
      <c r="K171" s="347" t="str">
        <f t="shared" si="96"/>
        <v>N/M</v>
      </c>
      <c r="L171" s="347" t="str">
        <f t="shared" si="96"/>
        <v>N/M</v>
      </c>
    </row>
    <row r="172" spans="1:12" ht="15.6" x14ac:dyDescent="0.35">
      <c r="A172" s="44"/>
      <c r="B172" s="51" t="s">
        <v>325</v>
      </c>
      <c r="C172" s="51"/>
      <c r="D172" s="51"/>
      <c r="E172" s="51"/>
      <c r="F172" s="346"/>
      <c r="G172" s="346"/>
      <c r="H172" s="346"/>
      <c r="I172" s="346"/>
      <c r="J172" s="346"/>
      <c r="K172" s="346"/>
      <c r="L172" s="346"/>
    </row>
    <row r="173" spans="1:12" ht="15.6" x14ac:dyDescent="0.35">
      <c r="A173" s="44"/>
      <c r="B173" s="51" t="s">
        <v>160</v>
      </c>
      <c r="C173" s="51"/>
      <c r="D173" s="51"/>
      <c r="E173" s="51"/>
      <c r="F173" s="348"/>
      <c r="G173" s="346">
        <f t="shared" ref="G173:L173" si="97">IF(AVERAGE(F67,G67)&lt;0, "N/M", G34/AVERAGE(F67,G67))</f>
        <v>-0.15134531990972028</v>
      </c>
      <c r="H173" s="346">
        <f t="shared" si="97"/>
        <v>-0.10908935461653654</v>
      </c>
      <c r="I173" s="346">
        <f t="shared" si="97"/>
        <v>-0.14274863546823729</v>
      </c>
      <c r="J173" s="346">
        <f t="shared" si="97"/>
        <v>-0.1659810039806251</v>
      </c>
      <c r="K173" s="346">
        <f t="shared" si="97"/>
        <v>-0.18648455261557323</v>
      </c>
      <c r="L173" s="346">
        <f t="shared" si="97"/>
        <v>-0.2050614572635579</v>
      </c>
    </row>
    <row r="174" spans="1:12" ht="15.6" x14ac:dyDescent="0.35">
      <c r="A174" s="44"/>
      <c r="B174" s="44"/>
      <c r="C174" s="44"/>
      <c r="D174" s="44"/>
      <c r="E174" s="44"/>
      <c r="F174" s="85"/>
      <c r="G174" s="85"/>
      <c r="H174" s="84"/>
      <c r="I174" s="84"/>
      <c r="J174" s="84"/>
      <c r="K174" s="84"/>
      <c r="L174" s="84"/>
    </row>
    <row r="175" spans="1:12" ht="15.6" x14ac:dyDescent="0.35">
      <c r="A175" s="44"/>
      <c r="B175" s="196" t="s">
        <v>326</v>
      </c>
      <c r="C175" s="197"/>
      <c r="D175" s="198"/>
      <c r="E175" s="198"/>
      <c r="F175" s="199"/>
      <c r="G175" s="199"/>
      <c r="H175" s="199"/>
      <c r="I175" s="199"/>
      <c r="J175" s="199"/>
      <c r="K175" s="199"/>
      <c r="L175" s="200"/>
    </row>
    <row r="176" spans="1:12" ht="15.6" x14ac:dyDescent="0.35">
      <c r="A176" s="44"/>
      <c r="B176" s="44"/>
      <c r="C176" s="44"/>
      <c r="D176" s="44"/>
      <c r="E176" s="44"/>
      <c r="F176" s="85"/>
      <c r="G176" s="85"/>
      <c r="H176" s="84"/>
      <c r="I176" s="84"/>
      <c r="J176" s="84"/>
      <c r="K176" s="84"/>
      <c r="L176" s="84"/>
    </row>
    <row r="177" spans="1:12" ht="15.6" x14ac:dyDescent="0.35">
      <c r="A177" s="44"/>
      <c r="B177" s="44" t="s">
        <v>157</v>
      </c>
      <c r="C177" s="44"/>
      <c r="D177" s="44"/>
      <c r="E177" s="44"/>
      <c r="F177" s="344"/>
      <c r="G177" s="344"/>
      <c r="H177" s="236">
        <f>H120+H127</f>
        <v>-89335094.431522116</v>
      </c>
      <c r="I177" s="236">
        <f t="shared" ref="I177:L177" si="98">I120+I127</f>
        <v>-125097258.36987357</v>
      </c>
      <c r="J177" s="236">
        <f t="shared" si="98"/>
        <v>-111687933.35635503</v>
      </c>
      <c r="K177" s="236">
        <f t="shared" si="98"/>
        <v>-101076069.3912459</v>
      </c>
      <c r="L177" s="236">
        <f t="shared" si="98"/>
        <v>-83866228.614133</v>
      </c>
    </row>
    <row r="178" spans="1:12" ht="15.6" x14ac:dyDescent="0.35">
      <c r="A178" s="44"/>
      <c r="B178" s="44" t="s">
        <v>327</v>
      </c>
      <c r="C178" s="44"/>
      <c r="D178" s="44"/>
      <c r="E178" s="44"/>
      <c r="F178" s="344"/>
      <c r="G178" s="344"/>
      <c r="H178" s="236">
        <f>H177-H412</f>
        <v>-121435094.43152212</v>
      </c>
      <c r="I178" s="236">
        <f>I177-I412</f>
        <v>-157197258.36987358</v>
      </c>
      <c r="J178" s="236">
        <f>J177-J412</f>
        <v>-143787933.35635501</v>
      </c>
      <c r="K178" s="236">
        <f>K177-K412</f>
        <v>-133176069.3912459</v>
      </c>
      <c r="L178" s="236">
        <f>L177-L412</f>
        <v>-115966228.614133</v>
      </c>
    </row>
    <row r="179" spans="1:12" ht="15.6" x14ac:dyDescent="0.35">
      <c r="A179" s="44"/>
      <c r="B179" s="44" t="s">
        <v>328</v>
      </c>
      <c r="C179" s="44"/>
      <c r="D179" s="44"/>
      <c r="E179" s="44"/>
      <c r="F179" s="344"/>
      <c r="G179" s="344"/>
      <c r="H179" s="345" t="str">
        <f>IF(OR(H178 &lt; 0, D34&lt;0), "N/M", H178/H34)</f>
        <v>N/M</v>
      </c>
      <c r="I179" s="345" t="str">
        <f>IF(OR(I178 &lt; 0, E34&lt;0), "N/M", I178/I34)</f>
        <v>N/M</v>
      </c>
      <c r="J179" s="345" t="str">
        <f>IF(OR(J178 &lt; 0, F34&lt;0), "N/M", J178/J34)</f>
        <v>N/M</v>
      </c>
      <c r="K179" s="345" t="str">
        <f>IF(OR(K178 &lt; 0, G34&lt;0), "N/M", K178/K34)</f>
        <v>N/M</v>
      </c>
      <c r="L179" s="345" t="str">
        <f>IF(OR(L178 &lt; 0, H34&lt;0), "N/M", L178/L34)</f>
        <v>N/M</v>
      </c>
    </row>
    <row r="180" spans="1:12" ht="15.6" x14ac:dyDescent="0.35">
      <c r="A180" s="44"/>
      <c r="B180" s="44"/>
      <c r="C180" s="44"/>
      <c r="D180" s="44"/>
      <c r="E180" s="44"/>
      <c r="F180" s="85"/>
      <c r="G180" s="85"/>
      <c r="H180" s="84"/>
      <c r="I180" s="84"/>
      <c r="J180" s="84"/>
      <c r="K180" s="84"/>
      <c r="L180" s="84"/>
    </row>
    <row r="181" spans="1:12" ht="15.6" x14ac:dyDescent="0.35">
      <c r="A181" s="44"/>
      <c r="B181" s="44"/>
      <c r="C181" s="44"/>
      <c r="D181" s="44"/>
      <c r="E181" s="44"/>
      <c r="F181" s="85"/>
      <c r="G181" s="85"/>
      <c r="H181" s="84"/>
      <c r="I181" s="84"/>
      <c r="J181" s="84"/>
      <c r="K181" s="84"/>
      <c r="L181" s="84"/>
    </row>
    <row r="182" spans="1:12" ht="15.6" x14ac:dyDescent="0.35">
      <c r="A182" s="44"/>
      <c r="B182" s="44"/>
      <c r="C182" s="44"/>
      <c r="D182" s="44"/>
      <c r="E182" s="44"/>
      <c r="F182" s="85"/>
      <c r="G182" s="85"/>
      <c r="H182" s="84"/>
      <c r="I182" s="84"/>
      <c r="J182" s="84"/>
      <c r="K182" s="84"/>
      <c r="L182" s="84"/>
    </row>
    <row r="183" spans="1:12" ht="15.6" x14ac:dyDescent="0.35">
      <c r="A183" s="44"/>
      <c r="B183" s="44"/>
      <c r="C183" s="44"/>
      <c r="D183" s="44"/>
      <c r="E183" s="44"/>
      <c r="F183" s="85"/>
      <c r="G183" s="85"/>
      <c r="H183" s="84"/>
      <c r="I183" s="84"/>
      <c r="J183" s="84"/>
      <c r="K183" s="84"/>
      <c r="L183" s="84"/>
    </row>
    <row r="184" spans="1:12" ht="28.8" x14ac:dyDescent="0.65">
      <c r="A184" s="44"/>
      <c r="B184" s="45" t="str">
        <f>Cover!$B$2</f>
        <v>ASOS PLC</v>
      </c>
      <c r="C184" s="45"/>
      <c r="D184" s="46"/>
      <c r="E184" s="47"/>
      <c r="F184" s="47"/>
      <c r="G184" s="47"/>
      <c r="H184" s="47"/>
      <c r="I184" s="47"/>
      <c r="J184" s="47"/>
      <c r="K184" s="47"/>
      <c r="L184" s="47"/>
    </row>
    <row r="185" spans="1:12" ht="21" x14ac:dyDescent="0.5">
      <c r="A185" s="44"/>
      <c r="B185" s="48" t="s">
        <v>6</v>
      </c>
      <c r="C185" s="49"/>
      <c r="D185" s="47"/>
      <c r="E185" s="47"/>
      <c r="F185" s="47"/>
      <c r="G185" s="47"/>
      <c r="H185" s="47"/>
      <c r="I185" s="47"/>
      <c r="J185" s="47"/>
      <c r="K185" s="47"/>
      <c r="L185" s="159" t="str">
        <f>"Currently Running: "&amp;CHOOSE(Assumptions!$B$10,Assumptions!$F$15,Assumptions!$F$16,Assumptions!$F$17)&amp;"Scenario"</f>
        <v>Currently Running: Base Scenario</v>
      </c>
    </row>
    <row r="186" spans="1:12" ht="15.6" x14ac:dyDescent="0.35">
      <c r="A186" s="44"/>
      <c r="B186" s="50"/>
      <c r="C186" s="50"/>
      <c r="D186" s="50"/>
      <c r="E186" s="50"/>
      <c r="F186" s="50"/>
      <c r="G186" s="50"/>
      <c r="H186" s="50"/>
      <c r="I186" s="50"/>
      <c r="J186" s="50"/>
      <c r="K186" s="51"/>
      <c r="L186" s="51"/>
    </row>
    <row r="187" spans="1:12" ht="15.6" x14ac:dyDescent="0.35">
      <c r="A187" s="44"/>
      <c r="B187" s="51"/>
      <c r="C187" s="51"/>
      <c r="D187" s="51"/>
      <c r="E187" s="51"/>
      <c r="F187" s="216" t="s">
        <v>361</v>
      </c>
      <c r="G187" s="217"/>
      <c r="H187" s="217"/>
      <c r="I187" s="217"/>
      <c r="J187" s="217"/>
      <c r="K187" s="217"/>
      <c r="L187" s="218"/>
    </row>
    <row r="188" spans="1:12" ht="15.6" x14ac:dyDescent="0.35">
      <c r="A188" s="44"/>
      <c r="B188" s="51"/>
      <c r="C188" s="51"/>
      <c r="D188" s="51"/>
      <c r="E188" s="51"/>
      <c r="F188" s="53">
        <f>$F$105</f>
        <v>2024</v>
      </c>
      <c r="G188" s="53">
        <f>F188+1</f>
        <v>2025</v>
      </c>
      <c r="H188" s="54">
        <f>G188+1</f>
        <v>2026</v>
      </c>
      <c r="I188" s="54">
        <f t="shared" ref="I188" si="99">H188+1</f>
        <v>2027</v>
      </c>
      <c r="J188" s="54">
        <f t="shared" ref="J188" si="100">I188+1</f>
        <v>2028</v>
      </c>
      <c r="K188" s="54">
        <f t="shared" ref="K188" si="101">J188+1</f>
        <v>2029</v>
      </c>
      <c r="L188" s="54">
        <f t="shared" ref="L188" si="102">K188+1</f>
        <v>2030</v>
      </c>
    </row>
    <row r="189" spans="1:12" ht="16.2" thickBot="1" x14ac:dyDescent="0.4">
      <c r="A189" s="44"/>
      <c r="B189" s="55" t="s">
        <v>187</v>
      </c>
      <c r="C189" s="55"/>
      <c r="D189" s="55"/>
      <c r="E189" s="55"/>
      <c r="F189" s="219" t="s">
        <v>50</v>
      </c>
      <c r="G189" s="220"/>
      <c r="H189" s="57"/>
      <c r="I189" s="57"/>
      <c r="J189" s="57"/>
      <c r="K189" s="57"/>
      <c r="L189" s="221" t="s">
        <v>37</v>
      </c>
    </row>
    <row r="190" spans="1:12" ht="15.6" x14ac:dyDescent="0.35">
      <c r="A190" s="44"/>
      <c r="B190" s="51"/>
      <c r="C190" s="51"/>
      <c r="D190" s="51"/>
      <c r="E190" s="51"/>
      <c r="F190" s="71"/>
      <c r="G190" s="71"/>
      <c r="H190" s="72"/>
      <c r="I190" s="72"/>
      <c r="J190" s="72"/>
      <c r="K190" s="72"/>
      <c r="L190" s="72"/>
    </row>
    <row r="191" spans="1:12" ht="15.6" x14ac:dyDescent="0.35">
      <c r="A191" s="44"/>
      <c r="B191" s="196" t="s">
        <v>207</v>
      </c>
      <c r="C191" s="197"/>
      <c r="D191" s="198"/>
      <c r="E191" s="198"/>
      <c r="F191" s="199"/>
      <c r="G191" s="199"/>
      <c r="H191" s="199"/>
      <c r="I191" s="199"/>
      <c r="J191" s="199"/>
      <c r="K191" s="199"/>
      <c r="L191" s="200"/>
    </row>
    <row r="192" spans="1:12" ht="15.6" x14ac:dyDescent="0.35">
      <c r="A192" s="44"/>
      <c r="B192" s="61"/>
      <c r="C192" s="61"/>
      <c r="D192" s="61"/>
      <c r="E192" s="61"/>
      <c r="F192" s="107"/>
      <c r="G192" s="107"/>
      <c r="H192" s="105"/>
      <c r="I192" s="105"/>
      <c r="J192" s="105"/>
      <c r="K192" s="105"/>
      <c r="L192" s="105"/>
    </row>
    <row r="193" spans="1:12" ht="15.6" x14ac:dyDescent="0.35">
      <c r="A193" s="44"/>
      <c r="B193" s="206" t="s">
        <v>208</v>
      </c>
      <c r="C193" s="185"/>
      <c r="D193" s="185"/>
      <c r="E193" s="204"/>
      <c r="F193" s="333"/>
      <c r="G193" s="333">
        <f>F196</f>
        <v>19700000</v>
      </c>
      <c r="H193" s="334">
        <f>G196</f>
        <v>17000000</v>
      </c>
      <c r="I193" s="334">
        <f t="shared" ref="I193:L193" si="103">H196</f>
        <v>16500000</v>
      </c>
      <c r="J193" s="334">
        <f t="shared" si="103"/>
        <v>16000000</v>
      </c>
      <c r="K193" s="334">
        <f t="shared" si="103"/>
        <v>16000000</v>
      </c>
      <c r="L193" s="334">
        <f t="shared" si="103"/>
        <v>16250000</v>
      </c>
    </row>
    <row r="194" spans="1:12" ht="15.6" x14ac:dyDescent="0.35">
      <c r="A194" s="44"/>
      <c r="B194" s="103" t="s">
        <v>211</v>
      </c>
      <c r="C194" s="61"/>
      <c r="D194" s="61"/>
      <c r="E194" s="61"/>
      <c r="F194" s="335"/>
      <c r="G194" s="335"/>
      <c r="H194" s="336">
        <f>Assumptions!H32</f>
        <v>1500000</v>
      </c>
      <c r="I194" s="336">
        <f>Assumptions!I32</f>
        <v>1500000</v>
      </c>
      <c r="J194" s="336">
        <f>Assumptions!J32</f>
        <v>1500000</v>
      </c>
      <c r="K194" s="336">
        <f>Assumptions!K32</f>
        <v>1500000</v>
      </c>
      <c r="L194" s="336">
        <f>Assumptions!L32</f>
        <v>1500000</v>
      </c>
    </row>
    <row r="195" spans="1:12" ht="15.6" x14ac:dyDescent="0.35">
      <c r="A195" s="44"/>
      <c r="B195" s="103" t="s">
        <v>212</v>
      </c>
      <c r="C195" s="61"/>
      <c r="D195" s="61"/>
      <c r="E195" s="61"/>
      <c r="F195" s="335"/>
      <c r="G195" s="335"/>
      <c r="H195" s="336">
        <f>Assumptions!H37</f>
        <v>-2000000</v>
      </c>
      <c r="I195" s="336">
        <f>Assumptions!I37</f>
        <v>-2000000</v>
      </c>
      <c r="J195" s="336">
        <f>Assumptions!J37</f>
        <v>-1500000</v>
      </c>
      <c r="K195" s="336">
        <f>Assumptions!K37</f>
        <v>-1250000</v>
      </c>
      <c r="L195" s="336">
        <f>Assumptions!L37</f>
        <v>-1000000</v>
      </c>
    </row>
    <row r="196" spans="1:12" ht="15.6" x14ac:dyDescent="0.35">
      <c r="A196" s="44"/>
      <c r="B196" s="206" t="s">
        <v>213</v>
      </c>
      <c r="C196" s="185"/>
      <c r="D196" s="185"/>
      <c r="E196" s="204"/>
      <c r="F196" s="337">
        <v>19700000</v>
      </c>
      <c r="G196" s="337">
        <v>17000000</v>
      </c>
      <c r="H196" s="338">
        <f>SUM(H193:H195)</f>
        <v>16500000</v>
      </c>
      <c r="I196" s="338">
        <f t="shared" ref="I196:L196" si="104">SUM(I193:I195)</f>
        <v>16000000</v>
      </c>
      <c r="J196" s="338">
        <f t="shared" si="104"/>
        <v>16000000</v>
      </c>
      <c r="K196" s="338">
        <f t="shared" si="104"/>
        <v>16250000</v>
      </c>
      <c r="L196" s="338">
        <f t="shared" si="104"/>
        <v>16750000</v>
      </c>
    </row>
    <row r="197" spans="1:12" ht="15.6" x14ac:dyDescent="0.35">
      <c r="A197" s="44"/>
      <c r="B197" s="63"/>
      <c r="C197" s="63"/>
      <c r="D197" s="63"/>
      <c r="E197" s="63"/>
      <c r="F197" s="284"/>
      <c r="G197" s="284"/>
      <c r="H197" s="343"/>
      <c r="I197" s="343"/>
      <c r="J197" s="343"/>
      <c r="K197" s="343"/>
      <c r="L197" s="343"/>
    </row>
    <row r="198" spans="1:12" ht="15.6" x14ac:dyDescent="0.35">
      <c r="A198" s="44"/>
      <c r="B198" s="103" t="s">
        <v>208</v>
      </c>
      <c r="C198" s="63"/>
      <c r="D198" s="63"/>
      <c r="E198" s="63"/>
      <c r="F198" s="339">
        <f>F199/F196</f>
        <v>3.451776649746193</v>
      </c>
      <c r="G198" s="339">
        <f t="shared" ref="G198" si="105">G199/G196</f>
        <v>3.3529411764705883</v>
      </c>
      <c r="H198" s="340">
        <f>Assumptions!H42</f>
        <v>3.3529411764705883</v>
      </c>
      <c r="I198" s="340">
        <f>Assumptions!I42</f>
        <v>3.3529411764705883</v>
      </c>
      <c r="J198" s="340">
        <f>Assumptions!J42</f>
        <v>3.3529411764705883</v>
      </c>
      <c r="K198" s="340">
        <f>Assumptions!K42</f>
        <v>3.3529411764705883</v>
      </c>
      <c r="L198" s="340">
        <f>Assumptions!L42</f>
        <v>3.3529411764705883</v>
      </c>
    </row>
    <row r="199" spans="1:12" ht="15.6" x14ac:dyDescent="0.35">
      <c r="A199" s="44"/>
      <c r="B199" s="206" t="s">
        <v>206</v>
      </c>
      <c r="C199" s="185"/>
      <c r="D199" s="185"/>
      <c r="E199" s="204"/>
      <c r="F199" s="260">
        <v>68000000</v>
      </c>
      <c r="G199" s="260">
        <v>57000000</v>
      </c>
      <c r="H199" s="323">
        <f>H198*H196</f>
        <v>55323529.411764704</v>
      </c>
      <c r="I199" s="323">
        <f t="shared" ref="I199:L199" si="106">I198*I196</f>
        <v>53647058.823529415</v>
      </c>
      <c r="J199" s="323">
        <f t="shared" si="106"/>
        <v>53647058.823529415</v>
      </c>
      <c r="K199" s="323">
        <f t="shared" si="106"/>
        <v>54485294.117647059</v>
      </c>
      <c r="L199" s="323">
        <f t="shared" si="106"/>
        <v>56161764.705882356</v>
      </c>
    </row>
    <row r="200" spans="1:12" ht="15.6" x14ac:dyDescent="0.35">
      <c r="A200" s="44"/>
      <c r="B200" s="61"/>
      <c r="C200" s="63"/>
      <c r="D200" s="63"/>
      <c r="E200" s="63"/>
      <c r="F200" s="195"/>
      <c r="G200" s="195"/>
      <c r="H200" s="184"/>
      <c r="I200" s="184"/>
      <c r="J200" s="184"/>
      <c r="K200" s="184"/>
      <c r="L200" s="184"/>
    </row>
    <row r="201" spans="1:12" ht="15.6" x14ac:dyDescent="0.35">
      <c r="A201" s="44"/>
      <c r="B201" s="103" t="s">
        <v>209</v>
      </c>
      <c r="C201" s="63"/>
      <c r="D201" s="63"/>
      <c r="E201" s="63"/>
      <c r="F201" s="195"/>
      <c r="G201" s="108">
        <f>(G202-F202)/F202</f>
        <v>3.4241620448517043E-2</v>
      </c>
      <c r="H201" s="315">
        <f>Assumptions!H47</f>
        <v>3.4000000000000002E-2</v>
      </c>
      <c r="I201" s="315">
        <f>Assumptions!I47</f>
        <v>3.4000000000000002E-2</v>
      </c>
      <c r="J201" s="315">
        <f>Assumptions!J47</f>
        <v>3.4000000000000002E-2</v>
      </c>
      <c r="K201" s="315">
        <f>Assumptions!K47</f>
        <v>3.4000000000000002E-2</v>
      </c>
      <c r="L201" s="315">
        <f>Assumptions!L47</f>
        <v>3.4000000000000002E-2</v>
      </c>
    </row>
    <row r="202" spans="1:12" ht="15.6" x14ac:dyDescent="0.35">
      <c r="A202" s="44"/>
      <c r="B202" s="103" t="s">
        <v>205</v>
      </c>
      <c r="C202" s="61"/>
      <c r="D202" s="61"/>
      <c r="E202" s="61"/>
      <c r="F202" s="341">
        <v>41.47</v>
      </c>
      <c r="G202" s="341">
        <v>42.89</v>
      </c>
      <c r="H202" s="342">
        <f>G202*(1+H201)</f>
        <v>44.348260000000003</v>
      </c>
      <c r="I202" s="342">
        <f t="shared" ref="I202:L202" si="107">H202*(1+I201)</f>
        <v>45.856100840000003</v>
      </c>
      <c r="J202" s="342">
        <f t="shared" si="107"/>
        <v>47.415208268560008</v>
      </c>
      <c r="K202" s="342">
        <f t="shared" si="107"/>
        <v>49.027325349691047</v>
      </c>
      <c r="L202" s="342">
        <f t="shared" si="107"/>
        <v>50.694254411580545</v>
      </c>
    </row>
    <row r="203" spans="1:12" ht="15.6" x14ac:dyDescent="0.35">
      <c r="A203" s="44"/>
      <c r="B203" s="230" t="s">
        <v>210</v>
      </c>
      <c r="C203" s="231"/>
      <c r="D203" s="231"/>
      <c r="E203" s="232"/>
      <c r="F203" s="229">
        <v>2917800000</v>
      </c>
      <c r="G203" s="229">
        <v>2456300000</v>
      </c>
      <c r="H203" s="229">
        <f>H202*H199</f>
        <v>2453502266.4705882</v>
      </c>
      <c r="I203" s="229">
        <f>I202*I199</f>
        <v>2460044939.1811767</v>
      </c>
      <c r="J203" s="229">
        <f>J202*J199</f>
        <v>2543686467.113337</v>
      </c>
      <c r="K203" s="229">
        <f>K202*K199</f>
        <v>2671268241.4794903</v>
      </c>
      <c r="L203" s="229">
        <f>L202*L199</f>
        <v>2847078788.2033253</v>
      </c>
    </row>
    <row r="204" spans="1:12" ht="15.6" x14ac:dyDescent="0.35">
      <c r="A204" s="44"/>
      <c r="B204" s="61"/>
      <c r="C204" s="61"/>
      <c r="D204" s="61"/>
      <c r="E204" s="61"/>
      <c r="F204" s="190"/>
      <c r="G204" s="190"/>
      <c r="H204" s="191"/>
      <c r="I204" s="191"/>
      <c r="J204" s="191"/>
      <c r="K204" s="191"/>
      <c r="L204" s="191"/>
    </row>
    <row r="205" spans="1:12" ht="15.6" x14ac:dyDescent="0.35">
      <c r="A205" s="44"/>
      <c r="B205" s="103" t="s">
        <v>214</v>
      </c>
      <c r="C205" s="63"/>
      <c r="D205" s="61"/>
      <c r="E205" s="61"/>
      <c r="F205" s="73"/>
      <c r="G205" s="73"/>
      <c r="H205" s="328">
        <v>0.95</v>
      </c>
      <c r="I205" s="328">
        <v>0.95</v>
      </c>
      <c r="J205" s="328">
        <v>0.95</v>
      </c>
      <c r="K205" s="328">
        <v>0.95</v>
      </c>
      <c r="L205" s="328">
        <v>0.95</v>
      </c>
    </row>
    <row r="206" spans="1:12" ht="15.6" x14ac:dyDescent="0.35">
      <c r="A206" s="44"/>
      <c r="B206" s="230" t="s">
        <v>215</v>
      </c>
      <c r="C206" s="231"/>
      <c r="D206" s="231"/>
      <c r="E206" s="232"/>
      <c r="F206" s="229">
        <v>2748900000</v>
      </c>
      <c r="G206" s="229">
        <v>2339500000</v>
      </c>
      <c r="H206" s="229">
        <f>H205*H203</f>
        <v>2330827153.1470585</v>
      </c>
      <c r="I206" s="229">
        <f t="shared" ref="I206:L206" si="108">I205*I203</f>
        <v>2337042692.2221179</v>
      </c>
      <c r="J206" s="229">
        <f t="shared" si="108"/>
        <v>2416502143.7576699</v>
      </c>
      <c r="K206" s="229">
        <f t="shared" si="108"/>
        <v>2537704829.4055157</v>
      </c>
      <c r="L206" s="229">
        <f t="shared" si="108"/>
        <v>2704724848.793159</v>
      </c>
    </row>
    <row r="207" spans="1:12" ht="15.6" x14ac:dyDescent="0.35">
      <c r="A207" s="44"/>
      <c r="B207" s="61"/>
      <c r="C207" s="63"/>
      <c r="D207" s="63"/>
      <c r="E207" s="63"/>
      <c r="F207" s="187"/>
      <c r="G207" s="187"/>
      <c r="H207" s="189"/>
      <c r="I207" s="189"/>
      <c r="J207" s="189"/>
      <c r="K207" s="189"/>
      <c r="L207" s="189"/>
    </row>
    <row r="208" spans="1:12" ht="15.6" x14ac:dyDescent="0.35">
      <c r="A208" s="44"/>
      <c r="B208" s="196" t="s">
        <v>216</v>
      </c>
      <c r="C208" s="197"/>
      <c r="D208" s="198"/>
      <c r="E208" s="198"/>
      <c r="F208" s="199"/>
      <c r="G208" s="199"/>
      <c r="H208" s="199"/>
      <c r="I208" s="199"/>
      <c r="J208" s="199"/>
      <c r="K208" s="199"/>
      <c r="L208" s="200"/>
    </row>
    <row r="209" spans="1:12" ht="15.6" x14ac:dyDescent="0.35">
      <c r="A209" s="44"/>
      <c r="B209" s="61"/>
      <c r="C209" s="61"/>
      <c r="D209" s="61"/>
      <c r="E209" s="61"/>
      <c r="F209" s="187"/>
      <c r="G209" s="187"/>
      <c r="H209" s="176"/>
      <c r="I209" s="176"/>
      <c r="J209" s="176"/>
      <c r="K209" s="176"/>
      <c r="L209" s="176"/>
    </row>
    <row r="210" spans="1:12" ht="15.6" x14ac:dyDescent="0.35">
      <c r="A210" s="44"/>
      <c r="B210" s="103" t="s">
        <v>217</v>
      </c>
      <c r="C210" s="61"/>
      <c r="D210" s="61"/>
      <c r="E210" s="61"/>
      <c r="F210" s="180"/>
      <c r="G210" s="180">
        <v>16900000</v>
      </c>
      <c r="H210" s="312">
        <v>16900000</v>
      </c>
      <c r="I210" s="312">
        <v>16900000</v>
      </c>
      <c r="J210" s="312">
        <v>16900000</v>
      </c>
      <c r="K210" s="312">
        <v>16900000</v>
      </c>
      <c r="L210" s="312">
        <v>16900000</v>
      </c>
    </row>
    <row r="211" spans="1:12" ht="15.6" x14ac:dyDescent="0.35">
      <c r="A211" s="44"/>
      <c r="B211" s="103" t="s">
        <v>218</v>
      </c>
      <c r="C211" s="61"/>
      <c r="D211" s="61"/>
      <c r="E211" s="61"/>
      <c r="F211" s="180"/>
      <c r="G211" s="180">
        <v>53500000</v>
      </c>
      <c r="H211" s="312">
        <v>53500000</v>
      </c>
      <c r="I211" s="312">
        <v>53500000</v>
      </c>
      <c r="J211" s="312">
        <v>53500000</v>
      </c>
      <c r="K211" s="312">
        <v>53500000</v>
      </c>
      <c r="L211" s="312">
        <v>53500000</v>
      </c>
    </row>
    <row r="212" spans="1:12" ht="15.6" x14ac:dyDescent="0.35">
      <c r="A212" s="44"/>
      <c r="B212" s="103" t="s">
        <v>219</v>
      </c>
      <c r="C212" s="61"/>
      <c r="D212" s="61"/>
      <c r="E212" s="61"/>
      <c r="F212" s="180"/>
      <c r="G212" s="180">
        <v>55500000</v>
      </c>
      <c r="H212" s="312">
        <v>55500000</v>
      </c>
      <c r="I212" s="312">
        <v>55500000</v>
      </c>
      <c r="J212" s="312">
        <v>55500000</v>
      </c>
      <c r="K212" s="312">
        <v>55500000</v>
      </c>
      <c r="L212" s="312">
        <v>55500000</v>
      </c>
    </row>
    <row r="213" spans="1:12" ht="15.6" x14ac:dyDescent="0.35">
      <c r="A213" s="44"/>
      <c r="B213" s="103" t="s">
        <v>220</v>
      </c>
      <c r="C213" s="61"/>
      <c r="D213" s="61"/>
      <c r="E213" s="61"/>
      <c r="F213" s="180"/>
      <c r="G213" s="180">
        <v>12400000</v>
      </c>
      <c r="H213" s="312">
        <v>12400000</v>
      </c>
      <c r="I213" s="312">
        <v>12400000</v>
      </c>
      <c r="J213" s="312">
        <v>12400000</v>
      </c>
      <c r="K213" s="312">
        <v>12400000</v>
      </c>
      <c r="L213" s="312">
        <v>12400000</v>
      </c>
    </row>
    <row r="214" spans="1:12" ht="15.6" x14ac:dyDescent="0.35">
      <c r="A214" s="44"/>
      <c r="B214" s="230" t="s">
        <v>216</v>
      </c>
      <c r="C214" s="231"/>
      <c r="D214" s="231"/>
      <c r="E214" s="232"/>
      <c r="F214" s="332"/>
      <c r="G214" s="229">
        <f>SUM(G210:G213)</f>
        <v>138300000</v>
      </c>
      <c r="H214" s="229">
        <f t="shared" ref="H214:L214" si="109">SUM(H210:H213)</f>
        <v>138300000</v>
      </c>
      <c r="I214" s="229">
        <f t="shared" si="109"/>
        <v>138300000</v>
      </c>
      <c r="J214" s="229">
        <f t="shared" si="109"/>
        <v>138300000</v>
      </c>
      <c r="K214" s="229">
        <f t="shared" si="109"/>
        <v>138300000</v>
      </c>
      <c r="L214" s="229">
        <f t="shared" si="109"/>
        <v>138300000</v>
      </c>
    </row>
    <row r="215" spans="1:12" ht="15.6" x14ac:dyDescent="0.35">
      <c r="A215" s="44"/>
      <c r="B215" s="61"/>
      <c r="C215" s="61"/>
      <c r="D215" s="61"/>
      <c r="E215" s="61"/>
      <c r="F215" s="189"/>
      <c r="G215" s="187"/>
      <c r="H215" s="187"/>
      <c r="I215" s="187"/>
      <c r="J215" s="187"/>
      <c r="K215" s="187"/>
      <c r="L215" s="187"/>
    </row>
    <row r="216" spans="1:12" ht="15.6" x14ac:dyDescent="0.35">
      <c r="A216" s="44"/>
      <c r="B216" s="196" t="s">
        <v>9</v>
      </c>
      <c r="C216" s="197"/>
      <c r="D216" s="198"/>
      <c r="E216" s="198"/>
      <c r="F216" s="199"/>
      <c r="G216" s="199"/>
      <c r="H216" s="199"/>
      <c r="I216" s="199"/>
      <c r="J216" s="199"/>
      <c r="K216" s="199"/>
      <c r="L216" s="200"/>
    </row>
    <row r="217" spans="1:12" ht="15.6" x14ac:dyDescent="0.35">
      <c r="A217" s="44"/>
      <c r="B217" s="61"/>
      <c r="C217" s="61"/>
      <c r="D217" s="61"/>
      <c r="E217" s="61"/>
      <c r="F217" s="189"/>
      <c r="G217" s="187"/>
      <c r="H217" s="187"/>
      <c r="I217" s="187"/>
      <c r="J217" s="187"/>
      <c r="K217" s="187"/>
      <c r="L217" s="187"/>
    </row>
    <row r="218" spans="1:12" ht="15.6" x14ac:dyDescent="0.35">
      <c r="A218" s="44"/>
      <c r="B218" s="203" t="s">
        <v>9</v>
      </c>
      <c r="C218" s="209"/>
      <c r="D218" s="209"/>
      <c r="E218" s="210"/>
      <c r="F218" s="211"/>
      <c r="G218" s="212">
        <f>G214+G206</f>
        <v>2477800000</v>
      </c>
      <c r="H218" s="212">
        <f>H214+H206</f>
        <v>2469127153.1470585</v>
      </c>
      <c r="I218" s="212">
        <f t="shared" ref="I218:L218" si="110">I214+I206</f>
        <v>2475342692.2221179</v>
      </c>
      <c r="J218" s="212">
        <f t="shared" si="110"/>
        <v>2554802143.7576699</v>
      </c>
      <c r="K218" s="212">
        <f t="shared" si="110"/>
        <v>2676004829.4055157</v>
      </c>
      <c r="L218" s="212">
        <f t="shared" si="110"/>
        <v>2843024848.793159</v>
      </c>
    </row>
    <row r="219" spans="1:12" ht="15.6" x14ac:dyDescent="0.35">
      <c r="A219" s="44"/>
      <c r="B219" s="203" t="s">
        <v>69</v>
      </c>
      <c r="C219" s="209"/>
      <c r="D219" s="209"/>
      <c r="E219" s="210"/>
      <c r="F219" s="211"/>
      <c r="G219" s="212"/>
      <c r="H219" s="244">
        <f>(H218-G218)/G218</f>
        <v>-3.5002207010014987E-3</v>
      </c>
      <c r="I219" s="244">
        <f>(I218-H218)/H218</f>
        <v>2.5173021434466494E-3</v>
      </c>
      <c r="J219" s="244">
        <f>(J218-I218)/I218</f>
        <v>3.2100384235776741E-2</v>
      </c>
      <c r="K219" s="244">
        <f>(K218-J218)/J218</f>
        <v>4.7441124137142639E-2</v>
      </c>
      <c r="L219" s="244">
        <f>(L218-K218)/K218</f>
        <v>6.2413945428023553E-2</v>
      </c>
    </row>
    <row r="220" spans="1:12" ht="15.6" x14ac:dyDescent="0.35">
      <c r="A220" s="44"/>
      <c r="B220" s="61"/>
      <c r="C220" s="61"/>
      <c r="D220" s="61"/>
      <c r="E220" s="61"/>
      <c r="F220" s="192"/>
      <c r="G220" s="108"/>
      <c r="H220" s="108"/>
      <c r="I220" s="108"/>
      <c r="J220" s="108"/>
      <c r="K220" s="108"/>
      <c r="L220" s="108"/>
    </row>
    <row r="221" spans="1:12" ht="15.6" x14ac:dyDescent="0.35">
      <c r="A221" s="44"/>
      <c r="B221" s="61"/>
      <c r="C221" s="61"/>
      <c r="D221" s="61"/>
      <c r="E221" s="61"/>
      <c r="F221" s="192"/>
      <c r="G221" s="110"/>
      <c r="H221" s="110"/>
      <c r="I221" s="110"/>
      <c r="J221" s="110"/>
      <c r="K221" s="110"/>
      <c r="L221" s="110"/>
    </row>
    <row r="222" spans="1:12" ht="28.8" x14ac:dyDescent="0.65">
      <c r="A222" s="44"/>
      <c r="B222" s="45" t="str">
        <f>Cover!$B$2</f>
        <v>ASOS PLC</v>
      </c>
      <c r="C222" s="45"/>
      <c r="D222" s="46"/>
      <c r="E222" s="47"/>
      <c r="F222" s="47"/>
      <c r="G222" s="47"/>
      <c r="H222" s="47"/>
      <c r="I222" s="47"/>
      <c r="J222" s="47"/>
      <c r="K222" s="47"/>
      <c r="L222" s="47"/>
    </row>
    <row r="223" spans="1:12" ht="21" x14ac:dyDescent="0.5">
      <c r="A223" s="44"/>
      <c r="B223" s="48" t="s">
        <v>229</v>
      </c>
      <c r="C223" s="49"/>
      <c r="D223" s="47"/>
      <c r="E223" s="47"/>
      <c r="F223" s="47"/>
      <c r="G223" s="47"/>
      <c r="H223" s="47"/>
      <c r="I223" s="47"/>
      <c r="J223" s="47"/>
      <c r="K223" s="47"/>
      <c r="L223" s="159" t="str">
        <f>"Currently Running: "&amp;CHOOSE(Assumptions!$B$10,Assumptions!$F$15,Assumptions!$F$16,Assumptions!$F$17)&amp;"Scenario"</f>
        <v>Currently Running: Base Scenario</v>
      </c>
    </row>
    <row r="224" spans="1:12" ht="15.6" x14ac:dyDescent="0.35">
      <c r="A224" s="44"/>
      <c r="B224" s="50"/>
      <c r="C224" s="50"/>
      <c r="D224" s="50"/>
      <c r="E224" s="50"/>
      <c r="F224" s="50"/>
      <c r="G224" s="50"/>
      <c r="H224" s="50"/>
      <c r="I224" s="50"/>
      <c r="J224" s="50"/>
      <c r="K224" s="51"/>
      <c r="L224" s="51"/>
    </row>
    <row r="225" spans="1:14" ht="15.6" x14ac:dyDescent="0.35">
      <c r="A225" s="44"/>
      <c r="B225" s="51"/>
      <c r="C225" s="51"/>
      <c r="D225" s="51"/>
      <c r="E225" s="51"/>
      <c r="F225" s="216" t="s">
        <v>361</v>
      </c>
      <c r="G225" s="217"/>
      <c r="H225" s="217"/>
      <c r="I225" s="217"/>
      <c r="J225" s="217"/>
      <c r="K225" s="217"/>
      <c r="L225" s="218"/>
    </row>
    <row r="226" spans="1:14" ht="15.6" x14ac:dyDescent="0.35">
      <c r="A226" s="44"/>
      <c r="B226" s="51"/>
      <c r="C226" s="51"/>
      <c r="D226" s="51"/>
      <c r="E226" s="51"/>
      <c r="F226" s="53">
        <f>$F$105</f>
        <v>2024</v>
      </c>
      <c r="G226" s="53">
        <f>F226+1</f>
        <v>2025</v>
      </c>
      <c r="H226" s="54">
        <f>G226+1</f>
        <v>2026</v>
      </c>
      <c r="I226" s="54">
        <f t="shared" ref="I226" si="111">H226+1</f>
        <v>2027</v>
      </c>
      <c r="J226" s="54">
        <f t="shared" ref="J226" si="112">I226+1</f>
        <v>2028</v>
      </c>
      <c r="K226" s="54">
        <f t="shared" ref="K226" si="113">J226+1</f>
        <v>2029</v>
      </c>
      <c r="L226" s="54">
        <f t="shared" ref="L226" si="114">K226+1</f>
        <v>2030</v>
      </c>
    </row>
    <row r="227" spans="1:14" ht="16.2" thickBot="1" x14ac:dyDescent="0.4">
      <c r="A227" s="44"/>
      <c r="B227" s="55" t="s">
        <v>187</v>
      </c>
      <c r="C227" s="55"/>
      <c r="D227" s="55"/>
      <c r="E227" s="55"/>
      <c r="F227" s="219" t="s">
        <v>50</v>
      </c>
      <c r="G227" s="220"/>
      <c r="H227" s="57"/>
      <c r="I227" s="57"/>
      <c r="J227" s="57"/>
      <c r="K227" s="57"/>
      <c r="L227" s="221" t="s">
        <v>37</v>
      </c>
    </row>
    <row r="228" spans="1:14" ht="15.6" x14ac:dyDescent="0.35">
      <c r="A228" s="44"/>
      <c r="B228" s="51"/>
      <c r="C228" s="51"/>
      <c r="D228" s="51"/>
      <c r="E228" s="51"/>
      <c r="F228" s="71"/>
      <c r="G228" s="71"/>
      <c r="H228" s="72"/>
      <c r="I228" s="72"/>
      <c r="J228" s="72"/>
      <c r="K228" s="72"/>
      <c r="L228" s="224"/>
    </row>
    <row r="229" spans="1:14" ht="15.6" x14ac:dyDescent="0.35">
      <c r="A229" s="44"/>
      <c r="B229" s="196" t="s">
        <v>231</v>
      </c>
      <c r="C229" s="197"/>
      <c r="D229" s="198"/>
      <c r="E229" s="198"/>
      <c r="F229" s="199"/>
      <c r="G229" s="199"/>
      <c r="H229" s="199"/>
      <c r="I229" s="199"/>
      <c r="J229" s="199"/>
      <c r="K229" s="199"/>
      <c r="L229" s="200"/>
    </row>
    <row r="230" spans="1:14" ht="15.6" x14ac:dyDescent="0.35">
      <c r="A230" s="44"/>
      <c r="B230" s="61"/>
      <c r="C230" s="61"/>
      <c r="D230" s="61"/>
      <c r="E230" s="61"/>
      <c r="F230" s="93"/>
      <c r="G230" s="108"/>
      <c r="H230" s="108"/>
      <c r="I230" s="108"/>
      <c r="J230" s="108"/>
      <c r="K230" s="108"/>
      <c r="L230" s="108"/>
      <c r="N230" t="s">
        <v>357</v>
      </c>
    </row>
    <row r="231" spans="1:14" ht="15.6" x14ac:dyDescent="0.35">
      <c r="A231" s="44"/>
      <c r="B231" s="206" t="s">
        <v>206</v>
      </c>
      <c r="C231" s="185"/>
      <c r="D231" s="185"/>
      <c r="E231" s="204"/>
      <c r="F231" s="329">
        <f t="shared" ref="F231:L231" si="115">F199</f>
        <v>68000000</v>
      </c>
      <c r="G231" s="329">
        <f t="shared" si="115"/>
        <v>57000000</v>
      </c>
      <c r="H231" s="329">
        <f t="shared" si="115"/>
        <v>55323529.411764704</v>
      </c>
      <c r="I231" s="329">
        <f t="shared" si="115"/>
        <v>53647058.823529415</v>
      </c>
      <c r="J231" s="329">
        <f t="shared" si="115"/>
        <v>53647058.823529415</v>
      </c>
      <c r="K231" s="329">
        <f t="shared" si="115"/>
        <v>54485294.117647059</v>
      </c>
      <c r="L231" s="329">
        <f t="shared" si="115"/>
        <v>56161764.705882356</v>
      </c>
    </row>
    <row r="232" spans="1:14" ht="15.6" x14ac:dyDescent="0.35">
      <c r="A232" s="44"/>
      <c r="B232" s="103" t="s">
        <v>221</v>
      </c>
      <c r="C232" s="61"/>
      <c r="D232" s="61"/>
      <c r="E232" s="61"/>
      <c r="F232" s="222"/>
      <c r="G232" s="222"/>
      <c r="H232" s="330">
        <v>2.5</v>
      </c>
      <c r="I232" s="330">
        <v>2.5</v>
      </c>
      <c r="J232" s="330">
        <v>2.5</v>
      </c>
      <c r="K232" s="330">
        <v>2.5</v>
      </c>
      <c r="L232" s="330">
        <v>2.5</v>
      </c>
    </row>
    <row r="233" spans="1:14" ht="15.6" x14ac:dyDescent="0.35">
      <c r="A233" s="44"/>
      <c r="B233" s="206" t="s">
        <v>222</v>
      </c>
      <c r="C233" s="185"/>
      <c r="D233" s="185"/>
      <c r="E233" s="204"/>
      <c r="F233" s="323">
        <f>F201</f>
        <v>0</v>
      </c>
      <c r="G233" s="323"/>
      <c r="H233" s="323">
        <f>H232*H231</f>
        <v>138308823.52941176</v>
      </c>
      <c r="I233" s="323">
        <f t="shared" ref="I233:L233" si="116">I232*I231</f>
        <v>134117647.05882354</v>
      </c>
      <c r="J233" s="323">
        <f t="shared" si="116"/>
        <v>134117647.05882354</v>
      </c>
      <c r="K233" s="323">
        <f t="shared" si="116"/>
        <v>136213235.29411766</v>
      </c>
      <c r="L233" s="323">
        <f t="shared" si="116"/>
        <v>140404411.7647059</v>
      </c>
    </row>
    <row r="234" spans="1:14" ht="15.6" x14ac:dyDescent="0.35">
      <c r="A234" s="44"/>
      <c r="B234" s="61"/>
      <c r="C234" s="61"/>
      <c r="D234" s="61"/>
      <c r="E234" s="61"/>
      <c r="F234" s="73"/>
      <c r="G234" s="106"/>
      <c r="H234" s="106"/>
      <c r="I234" s="106"/>
      <c r="J234" s="106"/>
      <c r="K234" s="106"/>
      <c r="L234" s="106"/>
    </row>
    <row r="235" spans="1:14" ht="15.6" x14ac:dyDescent="0.35">
      <c r="A235" s="44"/>
      <c r="B235" s="103" t="s">
        <v>329</v>
      </c>
      <c r="C235" s="61"/>
      <c r="D235" s="61"/>
      <c r="E235" s="61"/>
      <c r="F235" s="222"/>
      <c r="G235" s="222"/>
      <c r="H235" s="328">
        <v>0.1</v>
      </c>
      <c r="I235" s="328">
        <v>0.1</v>
      </c>
      <c r="J235" s="328">
        <v>0.1</v>
      </c>
      <c r="K235" s="328">
        <v>0.1</v>
      </c>
      <c r="L235" s="328">
        <v>0.1</v>
      </c>
    </row>
    <row r="236" spans="1:14" ht="15.6" x14ac:dyDescent="0.35">
      <c r="A236" s="44"/>
      <c r="B236" s="206" t="s">
        <v>223</v>
      </c>
      <c r="C236" s="185"/>
      <c r="D236" s="185"/>
      <c r="E236" s="204"/>
      <c r="F236" s="323">
        <f>F204</f>
        <v>0</v>
      </c>
      <c r="G236" s="323"/>
      <c r="H236" s="323">
        <f>H233*(1-H235)</f>
        <v>124477941.17647059</v>
      </c>
      <c r="I236" s="323">
        <f t="shared" ref="I236:L236" si="117">I233*(1-I235)</f>
        <v>120705882.35294119</v>
      </c>
      <c r="J236" s="323">
        <f t="shared" si="117"/>
        <v>120705882.35294119</v>
      </c>
      <c r="K236" s="323">
        <f t="shared" si="117"/>
        <v>122591911.7647059</v>
      </c>
      <c r="L236" s="323">
        <f t="shared" si="117"/>
        <v>126363970.5882353</v>
      </c>
    </row>
    <row r="237" spans="1:14" ht="15.6" x14ac:dyDescent="0.35">
      <c r="A237" s="44"/>
      <c r="B237" s="61"/>
      <c r="C237" s="61"/>
      <c r="D237" s="61"/>
      <c r="E237" s="61"/>
      <c r="F237" s="73"/>
      <c r="G237" s="106"/>
      <c r="H237" s="107"/>
      <c r="I237" s="107"/>
      <c r="J237" s="107"/>
      <c r="K237" s="107"/>
      <c r="L237" s="107"/>
    </row>
    <row r="238" spans="1:14" ht="15.6" x14ac:dyDescent="0.35">
      <c r="A238" s="44"/>
      <c r="B238" s="103" t="s">
        <v>225</v>
      </c>
      <c r="C238" s="61"/>
      <c r="D238" s="61"/>
      <c r="E238" s="61"/>
      <c r="F238" s="222"/>
      <c r="G238" s="222"/>
      <c r="H238" s="324">
        <f>Assumptions!H24</f>
        <v>3.5000000000000003E-2</v>
      </c>
      <c r="I238" s="324">
        <f>Assumptions!I24</f>
        <v>0.03</v>
      </c>
      <c r="J238" s="324">
        <f>Assumptions!J24</f>
        <v>0.03</v>
      </c>
      <c r="K238" s="324">
        <f>Assumptions!K24</f>
        <v>0.03</v>
      </c>
      <c r="L238" s="324">
        <f>Assumptions!L24</f>
        <v>0.03</v>
      </c>
    </row>
    <row r="239" spans="1:14" ht="15.6" x14ac:dyDescent="0.35">
      <c r="A239" s="44"/>
      <c r="B239" s="103" t="s">
        <v>224</v>
      </c>
      <c r="C239" s="61"/>
      <c r="D239" s="61"/>
      <c r="E239" s="61"/>
      <c r="F239" s="222"/>
      <c r="G239" s="325">
        <v>10</v>
      </c>
      <c r="H239" s="325">
        <f>G239*(1+H238)</f>
        <v>10.35</v>
      </c>
      <c r="I239" s="325">
        <f t="shared" ref="I239:L239" si="118">H239*(1+I238)</f>
        <v>10.660500000000001</v>
      </c>
      <c r="J239" s="325">
        <f t="shared" si="118"/>
        <v>10.980315000000001</v>
      </c>
      <c r="K239" s="325">
        <f t="shared" si="118"/>
        <v>11.309724450000001</v>
      </c>
      <c r="L239" s="325">
        <f t="shared" si="118"/>
        <v>11.649016183500001</v>
      </c>
    </row>
    <row r="240" spans="1:14" ht="15.6" x14ac:dyDescent="0.35">
      <c r="A240" s="44"/>
      <c r="B240" s="203" t="s">
        <v>226</v>
      </c>
      <c r="C240" s="209"/>
      <c r="D240" s="209"/>
      <c r="E240" s="209"/>
      <c r="F240" s="326"/>
      <c r="G240" s="326"/>
      <c r="H240" s="327">
        <f>H239*H236</f>
        <v>1288346691.1764705</v>
      </c>
      <c r="I240" s="327">
        <f t="shared" ref="I240:L240" si="119">I239*I236</f>
        <v>1286785058.8235295</v>
      </c>
      <c r="J240" s="327">
        <f t="shared" si="119"/>
        <v>1325388610.5882356</v>
      </c>
      <c r="K240" s="327">
        <f t="shared" si="119"/>
        <v>1386480741.857537</v>
      </c>
      <c r="L240" s="227">
        <f t="shared" si="119"/>
        <v>1472015938.393671</v>
      </c>
    </row>
    <row r="241" spans="1:12" ht="15.6" x14ac:dyDescent="0.35">
      <c r="A241" s="44"/>
      <c r="B241" s="63"/>
      <c r="C241" s="63"/>
      <c r="D241" s="63"/>
      <c r="E241" s="63"/>
      <c r="F241" s="222"/>
      <c r="G241" s="222"/>
      <c r="H241" s="223"/>
      <c r="I241" s="223"/>
      <c r="J241" s="223"/>
      <c r="K241" s="223"/>
      <c r="L241" s="223"/>
    </row>
    <row r="242" spans="1:12" ht="15.6" x14ac:dyDescent="0.35">
      <c r="A242" s="44"/>
      <c r="B242" s="103" t="s">
        <v>230</v>
      </c>
      <c r="C242" s="61"/>
      <c r="D242" s="61"/>
      <c r="E242" s="61"/>
      <c r="F242" s="222"/>
      <c r="G242" s="222"/>
      <c r="H242" s="315">
        <v>2.5000000000000001E-2</v>
      </c>
      <c r="I242" s="315">
        <v>2.5000000000000001E-2</v>
      </c>
      <c r="J242" s="315">
        <v>2.5000000000000001E-2</v>
      </c>
      <c r="K242" s="315">
        <v>2.5000000000000001E-2</v>
      </c>
      <c r="L242" s="315">
        <v>2.5000000000000001E-2</v>
      </c>
    </row>
    <row r="243" spans="1:12" ht="15.6" x14ac:dyDescent="0.35">
      <c r="A243" s="44"/>
      <c r="B243" s="103" t="s">
        <v>227</v>
      </c>
      <c r="C243" s="61"/>
      <c r="D243" s="61"/>
      <c r="E243" s="61"/>
      <c r="F243" s="222"/>
      <c r="G243" s="222"/>
      <c r="H243" s="236">
        <f>-H242*(H240)</f>
        <v>-32208667.279411763</v>
      </c>
      <c r="I243" s="236">
        <f t="shared" ref="I243:L243" si="120">-I242*(I240)</f>
        <v>-32169626.470588237</v>
      </c>
      <c r="J243" s="236">
        <f t="shared" si="120"/>
        <v>-33134715.264705893</v>
      </c>
      <c r="K243" s="236">
        <f t="shared" si="120"/>
        <v>-34662018.546438426</v>
      </c>
      <c r="L243" s="236">
        <f t="shared" si="120"/>
        <v>-36800398.45984178</v>
      </c>
    </row>
    <row r="244" spans="1:12" ht="15.6" x14ac:dyDescent="0.35">
      <c r="A244" s="44"/>
      <c r="B244" s="203" t="s">
        <v>228</v>
      </c>
      <c r="C244" s="209"/>
      <c r="D244" s="209"/>
      <c r="E244" s="210"/>
      <c r="F244" s="202"/>
      <c r="G244" s="202"/>
      <c r="H244" s="212">
        <f>H240-H243</f>
        <v>1320555358.4558823</v>
      </c>
      <c r="I244" s="212">
        <f>I240-I243</f>
        <v>1318954685.2941177</v>
      </c>
      <c r="J244" s="212">
        <f>J240-J243</f>
        <v>1358523325.8529415</v>
      </c>
      <c r="K244" s="212">
        <f>K240-K243</f>
        <v>1421142760.4039755</v>
      </c>
      <c r="L244" s="212">
        <f>L240-L243</f>
        <v>1508816336.8535128</v>
      </c>
    </row>
    <row r="245" spans="1:12" ht="15.6" x14ac:dyDescent="0.35">
      <c r="A245" s="44"/>
      <c r="B245" s="103"/>
      <c r="C245" s="63"/>
      <c r="D245" s="61"/>
      <c r="E245" s="61"/>
      <c r="F245" s="186"/>
      <c r="G245" s="186"/>
      <c r="H245" s="186"/>
      <c r="I245" s="186"/>
      <c r="J245" s="186"/>
      <c r="K245" s="186"/>
      <c r="L245" s="186"/>
    </row>
    <row r="246" spans="1:12" ht="15.6" x14ac:dyDescent="0.35">
      <c r="A246" s="44"/>
      <c r="B246" s="196" t="s">
        <v>17</v>
      </c>
      <c r="C246" s="197"/>
      <c r="D246" s="198"/>
      <c r="E246" s="198"/>
      <c r="F246" s="199"/>
      <c r="G246" s="199"/>
      <c r="H246" s="199"/>
      <c r="I246" s="199"/>
      <c r="J246" s="199"/>
      <c r="K246" s="199"/>
      <c r="L246" s="200"/>
    </row>
    <row r="247" spans="1:12" ht="15.6" x14ac:dyDescent="0.35">
      <c r="A247" s="44"/>
      <c r="B247" s="103"/>
      <c r="C247" s="61"/>
      <c r="D247" s="61"/>
      <c r="E247" s="61"/>
      <c r="F247" s="186"/>
      <c r="G247" s="186"/>
      <c r="H247" s="193"/>
      <c r="I247" s="193"/>
      <c r="J247" s="193"/>
      <c r="K247" s="193"/>
      <c r="L247" s="193"/>
    </row>
    <row r="248" spans="1:12" ht="15.6" x14ac:dyDescent="0.35">
      <c r="A248" s="44"/>
      <c r="B248" s="259" t="s">
        <v>166</v>
      </c>
      <c r="C248" s="61"/>
      <c r="D248" s="61"/>
      <c r="E248" s="61"/>
      <c r="F248" s="186"/>
      <c r="G248" s="186"/>
      <c r="H248" s="193"/>
      <c r="I248" s="193"/>
      <c r="J248" s="193"/>
      <c r="K248" s="193"/>
      <c r="L248" s="193"/>
    </row>
    <row r="249" spans="1:12" ht="15.6" x14ac:dyDescent="0.35">
      <c r="A249" s="44"/>
      <c r="B249" s="103" t="s">
        <v>172</v>
      </c>
      <c r="C249" s="61"/>
      <c r="D249" s="61"/>
      <c r="E249" s="61"/>
      <c r="F249" s="331">
        <f>ABS(F254/F251)</f>
        <v>0.18298969072164947</v>
      </c>
      <c r="G249" s="331">
        <f t="shared" ref="G249" si="121">ABS(G254/G251)</f>
        <v>0.23294253315394964</v>
      </c>
      <c r="H249" s="328">
        <v>0.2</v>
      </c>
      <c r="I249" s="328">
        <v>0.2</v>
      </c>
      <c r="J249" s="328">
        <v>0.2</v>
      </c>
      <c r="K249" s="328">
        <v>0.2</v>
      </c>
      <c r="L249" s="328">
        <v>0.2</v>
      </c>
    </row>
    <row r="250" spans="1:12" ht="15.6" x14ac:dyDescent="0.35">
      <c r="A250" s="44"/>
      <c r="B250" s="103"/>
      <c r="C250" s="61"/>
      <c r="D250" s="61"/>
      <c r="E250" s="61"/>
      <c r="F250" s="186"/>
      <c r="G250" s="186"/>
      <c r="H250" s="193"/>
      <c r="I250" s="193"/>
      <c r="J250" s="193"/>
      <c r="K250" s="193"/>
      <c r="L250" s="193"/>
    </row>
    <row r="251" spans="1:12" ht="15.6" x14ac:dyDescent="0.35">
      <c r="A251" s="44"/>
      <c r="B251" s="206" t="s">
        <v>294</v>
      </c>
      <c r="C251" s="185"/>
      <c r="D251" s="185"/>
      <c r="E251" s="204"/>
      <c r="F251" s="225">
        <v>892400000</v>
      </c>
      <c r="G251" s="225">
        <f>F255</f>
        <v>520300000</v>
      </c>
      <c r="H251" s="225">
        <f>G255</f>
        <v>402300000</v>
      </c>
      <c r="I251" s="225">
        <f t="shared" ref="I251:L251" si="122">H255</f>
        <v>325616389.75624496</v>
      </c>
      <c r="J251" s="225">
        <f t="shared" si="122"/>
        <v>325221703.22320706</v>
      </c>
      <c r="K251" s="225">
        <f t="shared" si="122"/>
        <v>334978354.31990337</v>
      </c>
      <c r="L251" s="225">
        <f t="shared" si="122"/>
        <v>350418762.8393364</v>
      </c>
    </row>
    <row r="252" spans="1:12" ht="15.6" x14ac:dyDescent="0.35">
      <c r="A252" s="44"/>
      <c r="B252" s="103" t="s">
        <v>292</v>
      </c>
      <c r="C252" s="61"/>
      <c r="D252" s="61"/>
      <c r="E252" s="61"/>
      <c r="F252" s="222"/>
      <c r="G252" s="236">
        <f>G255-G251-G253-G254</f>
        <v>1314300000</v>
      </c>
      <c r="H252" s="236">
        <f>H255-H251-H253-H254</f>
        <v>1324331748.2121272</v>
      </c>
      <c r="I252" s="236">
        <f t="shared" ref="I252:L252" si="123">I255-I251-I253-I254</f>
        <v>1383683276.7123287</v>
      </c>
      <c r="J252" s="236">
        <f t="shared" si="123"/>
        <v>1433324317.5942793</v>
      </c>
      <c r="K252" s="236">
        <f t="shared" si="123"/>
        <v>1503578839.7873893</v>
      </c>
      <c r="L252" s="236">
        <f t="shared" si="123"/>
        <v>1600518231.559622</v>
      </c>
    </row>
    <row r="253" spans="1:12" ht="15.6" x14ac:dyDescent="0.35">
      <c r="A253" s="44"/>
      <c r="B253" s="103" t="s">
        <v>44</v>
      </c>
      <c r="C253" s="61"/>
      <c r="D253" s="61"/>
      <c r="E253" s="61"/>
      <c r="F253" s="322"/>
      <c r="G253" s="236">
        <f>G11</f>
        <v>-1311100000</v>
      </c>
      <c r="H253" s="236">
        <f>-H244</f>
        <v>-1320555358.4558823</v>
      </c>
      <c r="I253" s="236">
        <f>I11</f>
        <v>-1318954685.2941177</v>
      </c>
      <c r="J253" s="236">
        <f>J11</f>
        <v>-1358523325.8529415</v>
      </c>
      <c r="K253" s="236">
        <f>K11</f>
        <v>-1421142760.4039755</v>
      </c>
      <c r="L253" s="236">
        <f>L11</f>
        <v>-1508816336.8535128</v>
      </c>
    </row>
    <row r="254" spans="1:12" ht="15.6" x14ac:dyDescent="0.35">
      <c r="A254" s="44"/>
      <c r="B254" s="103" t="s">
        <v>295</v>
      </c>
      <c r="C254" s="61"/>
      <c r="D254" s="61"/>
      <c r="E254" s="61"/>
      <c r="F254" s="180">
        <v>-163300000</v>
      </c>
      <c r="G254" s="180">
        <v>-121200000</v>
      </c>
      <c r="H254" s="236">
        <f>H251*-H249</f>
        <v>-80460000</v>
      </c>
      <c r="I254" s="236">
        <f>I251*-I249</f>
        <v>-65123277.951248996</v>
      </c>
      <c r="J254" s="236">
        <f>J251*-J249</f>
        <v>-65044340.644641414</v>
      </c>
      <c r="K254" s="236">
        <f>K251*-K249</f>
        <v>-66995670.863980681</v>
      </c>
      <c r="L254" s="236">
        <f>L251*-L249</f>
        <v>-70083752.567867279</v>
      </c>
    </row>
    <row r="255" spans="1:12" ht="15.6" x14ac:dyDescent="0.35">
      <c r="A255" s="44"/>
      <c r="B255" s="206" t="s">
        <v>293</v>
      </c>
      <c r="C255" s="185"/>
      <c r="D255" s="185"/>
      <c r="E255" s="204"/>
      <c r="F255" s="229">
        <f>F51</f>
        <v>520300000</v>
      </c>
      <c r="G255" s="229">
        <f>G51</f>
        <v>402300000</v>
      </c>
      <c r="H255" s="229">
        <f>H345</f>
        <v>325616389.75624496</v>
      </c>
      <c r="I255" s="229">
        <f t="shared" ref="I255:L255" si="124">I345</f>
        <v>325221703.22320706</v>
      </c>
      <c r="J255" s="229">
        <f t="shared" si="124"/>
        <v>334978354.31990337</v>
      </c>
      <c r="K255" s="229">
        <f t="shared" si="124"/>
        <v>350418762.8393364</v>
      </c>
      <c r="L255" s="229">
        <f t="shared" si="124"/>
        <v>372036904.97757846</v>
      </c>
    </row>
    <row r="256" spans="1:12" ht="15.6" x14ac:dyDescent="0.35">
      <c r="A256" s="44"/>
      <c r="B256" s="61"/>
      <c r="C256" s="63"/>
      <c r="D256" s="63"/>
      <c r="E256" s="63"/>
      <c r="F256" s="175"/>
      <c r="G256" s="175"/>
      <c r="H256" s="175"/>
      <c r="I256" s="175"/>
      <c r="J256" s="175"/>
      <c r="K256" s="175"/>
      <c r="L256" s="175"/>
    </row>
    <row r="257" spans="1:12" ht="15.6" x14ac:dyDescent="0.35">
      <c r="A257" s="44"/>
      <c r="B257" s="103"/>
      <c r="C257" s="63"/>
      <c r="D257" s="63"/>
      <c r="E257" s="63"/>
      <c r="F257" s="87"/>
      <c r="G257" s="87"/>
      <c r="H257" s="87"/>
      <c r="I257" s="87"/>
      <c r="J257" s="87"/>
      <c r="K257" s="87"/>
      <c r="L257" s="87"/>
    </row>
    <row r="258" spans="1:12" ht="15.6" x14ac:dyDescent="0.35">
      <c r="A258" s="44"/>
      <c r="B258" s="103"/>
      <c r="C258" s="63"/>
      <c r="D258" s="63"/>
      <c r="E258" s="63"/>
      <c r="F258" s="87"/>
      <c r="G258" s="87"/>
      <c r="H258" s="87"/>
      <c r="I258" s="87"/>
      <c r="J258" s="87"/>
      <c r="K258" s="87"/>
      <c r="L258" s="87"/>
    </row>
    <row r="259" spans="1:12" ht="15.6" x14ac:dyDescent="0.35">
      <c r="A259" s="44"/>
      <c r="B259" s="103"/>
      <c r="C259" s="63"/>
      <c r="D259" s="63"/>
      <c r="E259" s="63"/>
      <c r="F259" s="87"/>
      <c r="G259" s="87"/>
      <c r="H259" s="87"/>
      <c r="I259" s="87"/>
      <c r="J259" s="87"/>
      <c r="K259" s="87"/>
      <c r="L259" s="87"/>
    </row>
    <row r="260" spans="1:12" ht="15.6" x14ac:dyDescent="0.35">
      <c r="A260" s="44"/>
      <c r="B260" s="63"/>
      <c r="C260" s="63"/>
      <c r="D260" s="63"/>
      <c r="E260" s="63"/>
      <c r="F260" s="175"/>
      <c r="G260" s="175"/>
      <c r="H260" s="175"/>
      <c r="I260" s="175"/>
      <c r="J260" s="175"/>
      <c r="K260" s="175"/>
      <c r="L260" s="175"/>
    </row>
    <row r="261" spans="1:12" ht="28.8" x14ac:dyDescent="0.65">
      <c r="A261" s="44"/>
      <c r="B261" s="45" t="str">
        <f>Cover!$B$2</f>
        <v>ASOS PLC</v>
      </c>
      <c r="C261" s="45"/>
      <c r="D261" s="46"/>
      <c r="E261" s="47"/>
      <c r="F261" s="47"/>
      <c r="G261" s="47"/>
      <c r="H261" s="47"/>
      <c r="I261" s="47"/>
      <c r="J261" s="47"/>
      <c r="K261" s="47"/>
      <c r="L261" s="47"/>
    </row>
    <row r="262" spans="1:12" ht="21" x14ac:dyDescent="0.5">
      <c r="A262" s="44"/>
      <c r="B262" s="48" t="s">
        <v>10</v>
      </c>
      <c r="C262" s="49"/>
      <c r="D262" s="47"/>
      <c r="E262" s="47"/>
      <c r="F262" s="47"/>
      <c r="G262" s="47"/>
      <c r="H262" s="47"/>
      <c r="I262" s="47"/>
      <c r="J262" s="47"/>
      <c r="K262" s="47"/>
      <c r="L262" s="159" t="str">
        <f>"Currently Running: "&amp;CHOOSE(Assumptions!$B$10,Assumptions!$F$15,Assumptions!$F$16,Assumptions!$F$17)&amp;"Scenario"</f>
        <v>Currently Running: Base Scenario</v>
      </c>
    </row>
    <row r="263" spans="1:12" ht="15.6" x14ac:dyDescent="0.35">
      <c r="A263" s="44"/>
      <c r="B263" s="50"/>
      <c r="C263" s="50"/>
      <c r="D263" s="50"/>
      <c r="E263" s="50"/>
      <c r="F263" s="50"/>
      <c r="G263" s="50"/>
      <c r="H263" s="50"/>
      <c r="I263" s="50"/>
      <c r="J263" s="50"/>
      <c r="K263" s="51"/>
      <c r="L263" s="51"/>
    </row>
    <row r="264" spans="1:12" ht="15.6" x14ac:dyDescent="0.35">
      <c r="A264" s="44"/>
      <c r="B264" s="51"/>
      <c r="C264" s="51"/>
      <c r="D264" s="51"/>
      <c r="E264" s="51"/>
      <c r="F264" s="216" t="s">
        <v>361</v>
      </c>
      <c r="G264" s="217"/>
      <c r="H264" s="217"/>
      <c r="I264" s="217"/>
      <c r="J264" s="217"/>
      <c r="K264" s="217"/>
      <c r="L264" s="218"/>
    </row>
    <row r="265" spans="1:12" ht="15.6" x14ac:dyDescent="0.35">
      <c r="A265" s="44"/>
      <c r="B265" s="51"/>
      <c r="C265" s="51"/>
      <c r="D265" s="51"/>
      <c r="E265" s="51"/>
      <c r="F265" s="53">
        <f>$F$105</f>
        <v>2024</v>
      </c>
      <c r="G265" s="53">
        <f>F265+1</f>
        <v>2025</v>
      </c>
      <c r="H265" s="54">
        <f>G265+1</f>
        <v>2026</v>
      </c>
      <c r="I265" s="54">
        <f t="shared" ref="I265" si="125">H265+1</f>
        <v>2027</v>
      </c>
      <c r="J265" s="54">
        <f t="shared" ref="J265" si="126">I265+1</f>
        <v>2028</v>
      </c>
      <c r="K265" s="54">
        <f t="shared" ref="K265" si="127">J265+1</f>
        <v>2029</v>
      </c>
      <c r="L265" s="54">
        <f t="shared" ref="L265" si="128">K265+1</f>
        <v>2030</v>
      </c>
    </row>
    <row r="266" spans="1:12" ht="16.2" thickBot="1" x14ac:dyDescent="0.4">
      <c r="A266" s="44"/>
      <c r="B266" s="55" t="s">
        <v>187</v>
      </c>
      <c r="C266" s="55"/>
      <c r="D266" s="55"/>
      <c r="E266" s="55"/>
      <c r="F266" s="219" t="s">
        <v>50</v>
      </c>
      <c r="G266" s="220"/>
      <c r="H266" s="57"/>
      <c r="I266" s="57"/>
      <c r="J266" s="57"/>
      <c r="K266" s="57"/>
      <c r="L266" s="221" t="s">
        <v>37</v>
      </c>
    </row>
    <row r="267" spans="1:12" ht="15.6" x14ac:dyDescent="0.35">
      <c r="A267" s="44"/>
      <c r="B267" s="51"/>
      <c r="C267" s="51"/>
      <c r="D267" s="51"/>
      <c r="E267" s="51"/>
      <c r="F267" s="71"/>
      <c r="G267" s="71"/>
      <c r="H267" s="72"/>
      <c r="I267" s="72"/>
      <c r="J267" s="72"/>
      <c r="K267" s="72"/>
      <c r="L267" s="72"/>
    </row>
    <row r="268" spans="1:12" ht="15.6" x14ac:dyDescent="0.35">
      <c r="A268" s="44"/>
      <c r="B268" s="196" t="s">
        <v>232</v>
      </c>
      <c r="C268" s="197"/>
      <c r="D268" s="198"/>
      <c r="E268" s="198"/>
      <c r="F268" s="199"/>
      <c r="G268" s="199"/>
      <c r="H268" s="199"/>
      <c r="I268" s="199"/>
      <c r="J268" s="199"/>
      <c r="K268" s="199"/>
      <c r="L268" s="200"/>
    </row>
    <row r="269" spans="1:12" ht="15.6" x14ac:dyDescent="0.35">
      <c r="A269" s="44"/>
      <c r="B269" s="61"/>
      <c r="C269" s="61"/>
      <c r="D269" s="61"/>
      <c r="E269" s="61"/>
      <c r="F269" s="93"/>
      <c r="G269" s="108"/>
      <c r="H269" s="108"/>
      <c r="I269" s="108"/>
      <c r="J269" s="108"/>
      <c r="K269" s="108"/>
      <c r="L269" s="108"/>
    </row>
    <row r="270" spans="1:12" ht="15.6" x14ac:dyDescent="0.35">
      <c r="A270" s="44"/>
      <c r="B270" s="103" t="s">
        <v>111</v>
      </c>
      <c r="C270" s="61"/>
      <c r="D270" s="61"/>
      <c r="E270" s="61"/>
      <c r="F270" s="223"/>
      <c r="G270" s="223"/>
      <c r="H270" s="319">
        <f>Assumptions!H19</f>
        <v>3.5000000000000003E-2</v>
      </c>
      <c r="I270" s="319">
        <f>Assumptions!I19</f>
        <v>0.03</v>
      </c>
      <c r="J270" s="319">
        <f>Assumptions!J19</f>
        <v>0.03</v>
      </c>
      <c r="K270" s="319">
        <f>Assumptions!K19</f>
        <v>0.03</v>
      </c>
      <c r="L270" s="319">
        <f>Assumptions!L19</f>
        <v>0.03</v>
      </c>
    </row>
    <row r="271" spans="1:12" ht="15.6" x14ac:dyDescent="0.35">
      <c r="A271" s="44"/>
      <c r="B271" s="103" t="s">
        <v>360</v>
      </c>
      <c r="C271" s="103"/>
      <c r="D271" s="103"/>
      <c r="E271" s="103"/>
      <c r="F271" s="320">
        <f>F272/F231</f>
        <v>-4.7955882352941179</v>
      </c>
      <c r="G271" s="320">
        <f>G272/G231</f>
        <v>-4.6017543859649122</v>
      </c>
      <c r="H271" s="320">
        <f>G271*(1+H270)</f>
        <v>-4.7628157894736836</v>
      </c>
      <c r="I271" s="320">
        <f t="shared" ref="I271:L271" si="129">H271*(1+I270)</f>
        <v>-4.9057002631578941</v>
      </c>
      <c r="J271" s="320">
        <f t="shared" si="129"/>
        <v>-5.0528712710526307</v>
      </c>
      <c r="K271" s="320">
        <f t="shared" si="129"/>
        <v>-5.2044574091842097</v>
      </c>
      <c r="L271" s="320">
        <f t="shared" si="129"/>
        <v>-5.3605911314597359</v>
      </c>
    </row>
    <row r="272" spans="1:12" ht="15.6" x14ac:dyDescent="0.35">
      <c r="A272" s="44"/>
      <c r="B272" s="206" t="s">
        <v>438</v>
      </c>
      <c r="C272" s="185"/>
      <c r="D272" s="185"/>
      <c r="E272" s="204"/>
      <c r="F272" s="229">
        <f>F15</f>
        <v>-326100000</v>
      </c>
      <c r="G272" s="229">
        <f>G15</f>
        <v>-262300000</v>
      </c>
      <c r="H272" s="229">
        <f>H271*H231</f>
        <v>-263495779.41176465</v>
      </c>
      <c r="I272" s="229">
        <f>I271*I231</f>
        <v>-263176390.58823529</v>
      </c>
      <c r="J272" s="229">
        <f>J271*J231</f>
        <v>-271071682.30588233</v>
      </c>
      <c r="K272" s="229">
        <f>K271*K231</f>
        <v>-283566392.6621691</v>
      </c>
      <c r="L272" s="229">
        <f>L271*L231</f>
        <v>-301060257.80948138</v>
      </c>
    </row>
    <row r="273" spans="1:12" ht="15.6" x14ac:dyDescent="0.35">
      <c r="A273" s="44"/>
      <c r="B273" s="63"/>
      <c r="C273" s="63"/>
      <c r="D273" s="63"/>
      <c r="E273" s="63"/>
      <c r="F273" s="223"/>
      <c r="G273" s="223"/>
      <c r="H273" s="223"/>
      <c r="I273" s="223"/>
      <c r="J273" s="223"/>
      <c r="K273" s="223"/>
      <c r="L273" s="223"/>
    </row>
    <row r="274" spans="1:12" ht="15.6" x14ac:dyDescent="0.35">
      <c r="A274" s="44"/>
      <c r="B274" s="196" t="s">
        <v>233</v>
      </c>
      <c r="C274" s="197"/>
      <c r="D274" s="198"/>
      <c r="E274" s="198"/>
      <c r="F274" s="199"/>
      <c r="G274" s="199"/>
      <c r="H274" s="199"/>
      <c r="I274" s="199"/>
      <c r="J274" s="199"/>
      <c r="K274" s="199"/>
      <c r="L274" s="200"/>
    </row>
    <row r="275" spans="1:12" ht="15.6" x14ac:dyDescent="0.35">
      <c r="A275" s="44"/>
      <c r="B275" s="103"/>
      <c r="C275" s="63"/>
      <c r="D275" s="61"/>
      <c r="E275" s="176"/>
      <c r="F275" s="176"/>
      <c r="G275" s="188"/>
      <c r="H275" s="186"/>
      <c r="I275" s="186"/>
      <c r="J275" s="186"/>
      <c r="K275" s="186"/>
      <c r="L275" s="186"/>
    </row>
    <row r="276" spans="1:12" ht="15.6" x14ac:dyDescent="0.35">
      <c r="A276" s="44"/>
      <c r="B276" s="203" t="s">
        <v>234</v>
      </c>
      <c r="C276" s="209"/>
      <c r="D276" s="209"/>
      <c r="E276" s="210"/>
      <c r="F276" s="212">
        <f>-F16</f>
        <v>1170300000</v>
      </c>
      <c r="G276" s="212">
        <f>-G16</f>
        <v>1133200000</v>
      </c>
      <c r="H276" s="212"/>
      <c r="I276" s="212"/>
      <c r="J276" s="212"/>
      <c r="K276" s="212"/>
      <c r="L276" s="212"/>
    </row>
    <row r="277" spans="1:12" ht="15.6" x14ac:dyDescent="0.35">
      <c r="A277" s="44"/>
      <c r="B277" s="103" t="s">
        <v>235</v>
      </c>
      <c r="C277" s="63"/>
      <c r="D277" s="61"/>
      <c r="E277" s="176"/>
      <c r="F277" s="180">
        <v>-141500000</v>
      </c>
      <c r="G277" s="180">
        <v>-172500000</v>
      </c>
      <c r="H277" s="313">
        <v>0</v>
      </c>
      <c r="I277" s="313">
        <v>0</v>
      </c>
      <c r="J277" s="313">
        <v>0</v>
      </c>
      <c r="K277" s="313">
        <v>0</v>
      </c>
      <c r="L277" s="313">
        <v>0</v>
      </c>
    </row>
    <row r="278" spans="1:12" ht="15.6" x14ac:dyDescent="0.35">
      <c r="A278" s="44"/>
      <c r="B278" s="103" t="s">
        <v>236</v>
      </c>
      <c r="C278" s="63"/>
      <c r="D278" s="61"/>
      <c r="E278" s="61"/>
      <c r="F278" s="180">
        <v>-3400000</v>
      </c>
      <c r="G278" s="180">
        <v>-16600000</v>
      </c>
      <c r="H278" s="313">
        <v>0</v>
      </c>
      <c r="I278" s="313">
        <v>0</v>
      </c>
      <c r="J278" s="313">
        <v>0</v>
      </c>
      <c r="K278" s="313">
        <v>0</v>
      </c>
      <c r="L278" s="313">
        <v>0</v>
      </c>
    </row>
    <row r="279" spans="1:12" ht="15.6" x14ac:dyDescent="0.35">
      <c r="A279" s="44"/>
      <c r="B279" s="103" t="s">
        <v>437</v>
      </c>
      <c r="C279" s="63"/>
      <c r="D279" s="61"/>
      <c r="E279" s="61"/>
      <c r="F279" s="180">
        <v>-10700000</v>
      </c>
      <c r="G279" s="180">
        <v>-4500000</v>
      </c>
      <c r="H279" s="313">
        <v>0</v>
      </c>
      <c r="I279" s="313">
        <v>0</v>
      </c>
      <c r="J279" s="313">
        <v>0</v>
      </c>
      <c r="K279" s="313">
        <v>0</v>
      </c>
      <c r="L279" s="313">
        <v>0</v>
      </c>
    </row>
    <row r="280" spans="1:12" ht="15.6" x14ac:dyDescent="0.35">
      <c r="A280" s="44"/>
      <c r="B280" s="203" t="s">
        <v>237</v>
      </c>
      <c r="C280" s="209"/>
      <c r="D280" s="209"/>
      <c r="E280" s="210"/>
      <c r="F280" s="212">
        <f>SUM(F276:F279)</f>
        <v>1014700000</v>
      </c>
      <c r="G280" s="212">
        <f t="shared" ref="G280" si="130">SUM(G276:G279)</f>
        <v>939600000</v>
      </c>
      <c r="H280" s="212"/>
      <c r="I280" s="212"/>
      <c r="J280" s="212"/>
      <c r="K280" s="212"/>
      <c r="L280" s="212"/>
    </row>
    <row r="281" spans="1:12" ht="15.6" x14ac:dyDescent="0.35">
      <c r="A281" s="44"/>
      <c r="B281" s="61"/>
      <c r="C281" s="63"/>
      <c r="D281" s="61"/>
      <c r="E281" s="61"/>
      <c r="F281" s="73"/>
      <c r="G281" s="73"/>
      <c r="H281" s="194"/>
      <c r="I281" s="194"/>
      <c r="J281" s="194"/>
      <c r="K281" s="194"/>
      <c r="L281" s="194"/>
    </row>
    <row r="282" spans="1:12" ht="15.6" x14ac:dyDescent="0.35">
      <c r="A282" s="44"/>
      <c r="B282" s="103" t="s">
        <v>112</v>
      </c>
      <c r="C282" s="63"/>
      <c r="D282" s="61"/>
      <c r="E282" s="61"/>
      <c r="F282" s="188"/>
      <c r="G282" s="188"/>
      <c r="H282" s="236">
        <f>H442</f>
        <v>32655301.722517647</v>
      </c>
      <c r="I282" s="236">
        <f t="shared" ref="I282:L282" si="131">I442</f>
        <v>36610877.59881299</v>
      </c>
      <c r="J282" s="236">
        <f t="shared" si="131"/>
        <v>40634993.467596814</v>
      </c>
      <c r="K282" s="236">
        <f t="shared" si="131"/>
        <v>44819639.046127364</v>
      </c>
      <c r="L282" s="236">
        <f t="shared" si="131"/>
        <v>49234862.788686305</v>
      </c>
    </row>
    <row r="283" spans="1:12" ht="15.6" x14ac:dyDescent="0.35">
      <c r="A283" s="44"/>
      <c r="B283" s="103" t="s">
        <v>238</v>
      </c>
      <c r="C283" s="63"/>
      <c r="D283" s="61"/>
      <c r="E283" s="61"/>
      <c r="F283" s="188"/>
      <c r="G283" s="188"/>
      <c r="H283" s="236">
        <f>H469</f>
        <v>95890948.168181688</v>
      </c>
      <c r="I283" s="236">
        <f t="shared" ref="I283:L283" si="132">I469</f>
        <v>112453664.98009716</v>
      </c>
      <c r="J283" s="236">
        <f t="shared" si="132"/>
        <v>129303371.22702277</v>
      </c>
      <c r="K283" s="236">
        <f t="shared" si="132"/>
        <v>146825244.61359733</v>
      </c>
      <c r="L283" s="236">
        <f t="shared" si="132"/>
        <v>165312590.77916718</v>
      </c>
    </row>
    <row r="284" spans="1:12" ht="15.6" x14ac:dyDescent="0.35">
      <c r="A284" s="44"/>
      <c r="B284" s="103" t="s">
        <v>113</v>
      </c>
      <c r="C284" s="63"/>
      <c r="D284" s="61"/>
      <c r="E284" s="61"/>
      <c r="F284" s="188"/>
      <c r="G284" s="188"/>
      <c r="H284" s="236">
        <f>H395</f>
        <v>17210000</v>
      </c>
      <c r="I284" s="236">
        <f t="shared" ref="I284:L284" si="133">I395</f>
        <v>17210000</v>
      </c>
      <c r="J284" s="236">
        <f t="shared" si="133"/>
        <v>17210000</v>
      </c>
      <c r="K284" s="236">
        <f t="shared" si="133"/>
        <v>17210000</v>
      </c>
      <c r="L284" s="236">
        <f t="shared" si="133"/>
        <v>17210000</v>
      </c>
    </row>
    <row r="285" spans="1:12" ht="15.6" x14ac:dyDescent="0.35">
      <c r="A285" s="44"/>
      <c r="B285" s="103" t="s">
        <v>239</v>
      </c>
      <c r="C285" s="63"/>
      <c r="D285" s="61"/>
      <c r="E285" s="61"/>
      <c r="F285" s="188"/>
      <c r="G285" s="188"/>
      <c r="H285" s="193">
        <f>H445</f>
        <v>0</v>
      </c>
      <c r="I285" s="193">
        <f t="shared" ref="I285:L285" si="134">I445</f>
        <v>0</v>
      </c>
      <c r="J285" s="193">
        <f t="shared" si="134"/>
        <v>0</v>
      </c>
      <c r="K285" s="193">
        <f t="shared" si="134"/>
        <v>0</v>
      </c>
      <c r="L285" s="193">
        <f t="shared" si="134"/>
        <v>0</v>
      </c>
    </row>
    <row r="286" spans="1:12" ht="15.6" x14ac:dyDescent="0.35">
      <c r="A286" s="44"/>
      <c r="B286" s="103" t="s">
        <v>240</v>
      </c>
      <c r="C286" s="63"/>
      <c r="D286" s="61"/>
      <c r="E286" s="61"/>
      <c r="F286" s="188"/>
      <c r="G286" s="188"/>
      <c r="H286" s="193">
        <f>H479</f>
        <v>0</v>
      </c>
      <c r="I286" s="193">
        <f t="shared" ref="I286:L286" si="135">I479</f>
        <v>0</v>
      </c>
      <c r="J286" s="193">
        <f t="shared" si="135"/>
        <v>0</v>
      </c>
      <c r="K286" s="193">
        <f t="shared" si="135"/>
        <v>0</v>
      </c>
      <c r="L286" s="193">
        <f t="shared" si="135"/>
        <v>0</v>
      </c>
    </row>
    <row r="287" spans="1:12" ht="15.6" x14ac:dyDescent="0.35">
      <c r="A287" s="44"/>
      <c r="B287" s="103" t="s">
        <v>241</v>
      </c>
      <c r="C287" s="63"/>
      <c r="D287" s="61"/>
      <c r="E287" s="61"/>
      <c r="F287" s="188"/>
      <c r="G287" s="188"/>
      <c r="H287" s="193">
        <f>-H400</f>
        <v>0</v>
      </c>
      <c r="I287" s="193">
        <f t="shared" ref="I287:L287" si="136">-I400</f>
        <v>0</v>
      </c>
      <c r="J287" s="193">
        <f t="shared" si="136"/>
        <v>0</v>
      </c>
      <c r="K287" s="193">
        <f t="shared" si="136"/>
        <v>0</v>
      </c>
      <c r="L287" s="193">
        <f t="shared" si="136"/>
        <v>0</v>
      </c>
    </row>
    <row r="288" spans="1:12" ht="15.6" x14ac:dyDescent="0.35">
      <c r="A288" s="44"/>
      <c r="B288" s="103" t="s">
        <v>242</v>
      </c>
      <c r="C288" s="63"/>
      <c r="D288" s="61"/>
      <c r="E288" s="61"/>
      <c r="F288" s="188"/>
      <c r="G288" s="188"/>
      <c r="H288" s="236">
        <f>-H322</f>
        <v>29500000</v>
      </c>
      <c r="I288" s="236">
        <f t="shared" ref="I288:L288" si="137">-I322</f>
        <v>29500000</v>
      </c>
      <c r="J288" s="236">
        <f t="shared" si="137"/>
        <v>29500000</v>
      </c>
      <c r="K288" s="236">
        <f t="shared" si="137"/>
        <v>29500000</v>
      </c>
      <c r="L288" s="236">
        <f t="shared" si="137"/>
        <v>29500000</v>
      </c>
    </row>
    <row r="289" spans="1:12" ht="15.6" x14ac:dyDescent="0.35">
      <c r="A289" s="44"/>
      <c r="B289" s="103" t="s">
        <v>304</v>
      </c>
      <c r="C289" s="63"/>
      <c r="D289" s="61"/>
      <c r="E289" s="61"/>
      <c r="F289" s="188"/>
      <c r="G289" s="188"/>
      <c r="H289" s="236">
        <f>-H323</f>
        <v>53661738.188976377</v>
      </c>
      <c r="I289" s="236">
        <f t="shared" ref="I289:L289" si="138">-I323</f>
        <v>47699322.834645666</v>
      </c>
      <c r="J289" s="236">
        <f t="shared" si="138"/>
        <v>41736907.480314955</v>
      </c>
      <c r="K289" s="236">
        <f t="shared" si="138"/>
        <v>35774492.125984251</v>
      </c>
      <c r="L289" s="236">
        <f t="shared" si="138"/>
        <v>29812076.77165354</v>
      </c>
    </row>
    <row r="290" spans="1:12" ht="15.6" x14ac:dyDescent="0.35">
      <c r="A290" s="44"/>
      <c r="B290" s="103" t="s">
        <v>243</v>
      </c>
      <c r="C290" s="63"/>
      <c r="D290" s="61"/>
      <c r="E290" s="61"/>
      <c r="F290" s="188"/>
      <c r="G290" s="188"/>
      <c r="H290" s="312">
        <v>0</v>
      </c>
      <c r="I290" s="312">
        <v>0</v>
      </c>
      <c r="J290" s="312">
        <v>0</v>
      </c>
      <c r="K290" s="312">
        <v>0</v>
      </c>
      <c r="L290" s="312">
        <v>0</v>
      </c>
    </row>
    <row r="291" spans="1:12" ht="15.6" x14ac:dyDescent="0.35">
      <c r="A291" s="44"/>
      <c r="B291" s="203" t="s">
        <v>436</v>
      </c>
      <c r="C291" s="209"/>
      <c r="D291" s="209"/>
      <c r="E291" s="210"/>
      <c r="F291" s="212">
        <f>SUM(F282:F284)</f>
        <v>0</v>
      </c>
      <c r="G291" s="212">
        <f>SUM(G282:G284)</f>
        <v>0</v>
      </c>
      <c r="H291" s="212">
        <f>-SUM(H282:H290)</f>
        <v>-228917988.0796757</v>
      </c>
      <c r="I291" s="212">
        <f t="shared" ref="I291:L291" si="139">-SUM(I282:I290)</f>
        <v>-243473865.4135558</v>
      </c>
      <c r="J291" s="212">
        <f t="shared" si="139"/>
        <v>-258385272.17493457</v>
      </c>
      <c r="K291" s="212">
        <f t="shared" si="139"/>
        <v>-274129375.78570896</v>
      </c>
      <c r="L291" s="212">
        <f t="shared" si="139"/>
        <v>-291069530.33950704</v>
      </c>
    </row>
    <row r="292" spans="1:12" ht="15.6" x14ac:dyDescent="0.35">
      <c r="A292" s="44"/>
      <c r="B292" s="63"/>
      <c r="C292" s="63"/>
      <c r="D292" s="63"/>
      <c r="E292" s="63"/>
      <c r="F292" s="223"/>
      <c r="G292" s="223"/>
      <c r="H292" s="223"/>
      <c r="I292" s="223"/>
      <c r="J292" s="223"/>
      <c r="K292" s="223"/>
      <c r="L292" s="223"/>
    </row>
    <row r="293" spans="1:12" ht="15.6" x14ac:dyDescent="0.35">
      <c r="A293" s="44"/>
      <c r="B293" s="321" t="s">
        <v>111</v>
      </c>
      <c r="C293" s="63"/>
      <c r="D293" s="63"/>
      <c r="E293" s="63"/>
      <c r="F293" s="223"/>
      <c r="G293" s="223"/>
      <c r="H293" s="314">
        <f>Assumptions!H19</f>
        <v>3.5000000000000003E-2</v>
      </c>
      <c r="I293" s="314">
        <f>Assumptions!I19</f>
        <v>0.03</v>
      </c>
      <c r="J293" s="314">
        <f>Assumptions!J19</f>
        <v>0.03</v>
      </c>
      <c r="K293" s="314">
        <f>Assumptions!K19</f>
        <v>0.03</v>
      </c>
      <c r="L293" s="314">
        <f>Assumptions!L19</f>
        <v>0.03</v>
      </c>
    </row>
    <row r="294" spans="1:12" ht="15.6" x14ac:dyDescent="0.35">
      <c r="A294" s="44"/>
      <c r="B294" s="321" t="s">
        <v>276</v>
      </c>
      <c r="C294" s="63"/>
      <c r="D294" s="63"/>
      <c r="E294" s="63"/>
      <c r="F294" s="223"/>
      <c r="G294" s="223"/>
      <c r="H294" s="315">
        <v>0.01</v>
      </c>
      <c r="I294" s="315">
        <v>0.01</v>
      </c>
      <c r="J294" s="315">
        <v>0.01</v>
      </c>
      <c r="K294" s="315">
        <v>0.01</v>
      </c>
      <c r="L294" s="315">
        <v>0.01</v>
      </c>
    </row>
    <row r="295" spans="1:12" ht="15.6" x14ac:dyDescent="0.35">
      <c r="A295" s="44"/>
      <c r="B295" s="103" t="s">
        <v>358</v>
      </c>
      <c r="C295" s="61"/>
      <c r="D295" s="61"/>
      <c r="E295" s="61"/>
      <c r="F295" s="320">
        <f>ABS(F296)/F231</f>
        <v>4.5808823529411766</v>
      </c>
      <c r="G295" s="320">
        <f>ABS(G296)/G231</f>
        <v>4.4754385964912284</v>
      </c>
      <c r="H295" s="320">
        <f>G295*(1+H293)*(1-H294)</f>
        <v>4.5857581578947366</v>
      </c>
      <c r="I295" s="320">
        <f t="shared" ref="I295:L295" si="140">H295*(1+I293)*(1-I294)</f>
        <v>4.6760975936052631</v>
      </c>
      <c r="J295" s="320">
        <f t="shared" si="140"/>
        <v>4.7682167161992872</v>
      </c>
      <c r="K295" s="320">
        <f t="shared" si="140"/>
        <v>4.8621505855084131</v>
      </c>
      <c r="L295" s="320">
        <f t="shared" si="140"/>
        <v>4.9579349520429288</v>
      </c>
    </row>
    <row r="296" spans="1:12" ht="15.6" x14ac:dyDescent="0.35">
      <c r="A296" s="44"/>
      <c r="B296" s="203" t="s">
        <v>439</v>
      </c>
      <c r="C296" s="209"/>
      <c r="D296" s="209"/>
      <c r="E296" s="210"/>
      <c r="F296" s="225">
        <v>-311500000</v>
      </c>
      <c r="G296" s="225">
        <v>-255100000</v>
      </c>
      <c r="H296" s="225">
        <f>-H295*H231</f>
        <v>-253700326.32352939</v>
      </c>
      <c r="I296" s="225">
        <f>-I295*I231</f>
        <v>-250858882.66870588</v>
      </c>
      <c r="J296" s="225">
        <f>-J295*J231</f>
        <v>-255800802.65727943</v>
      </c>
      <c r="K296" s="225">
        <f>-K295*K231</f>
        <v>-264915704.69571576</v>
      </c>
      <c r="L296" s="225">
        <f>-L295*L231</f>
        <v>-278446376.20370507</v>
      </c>
    </row>
    <row r="297" spans="1:12" ht="15.6" x14ac:dyDescent="0.35">
      <c r="A297" s="44"/>
      <c r="B297" s="63"/>
      <c r="C297" s="63"/>
      <c r="D297" s="63"/>
      <c r="E297" s="63"/>
      <c r="F297" s="254"/>
      <c r="G297" s="254"/>
      <c r="H297" s="223"/>
      <c r="I297" s="223"/>
      <c r="J297" s="223"/>
      <c r="K297" s="223"/>
      <c r="L297" s="223"/>
    </row>
    <row r="298" spans="1:12" ht="15.6" x14ac:dyDescent="0.35">
      <c r="A298" s="44"/>
      <c r="B298" s="103" t="s">
        <v>359</v>
      </c>
      <c r="C298" s="61"/>
      <c r="D298" s="61"/>
      <c r="E298" s="61"/>
      <c r="F298" s="108">
        <f>ABS(F299/F10)</f>
        <v>6.555853809622135E-2</v>
      </c>
      <c r="G298" s="108">
        <f>ABS(G299/G10)</f>
        <v>6.7721365727661631E-2</v>
      </c>
      <c r="H298" s="315">
        <v>6.7721365727661631E-2</v>
      </c>
      <c r="I298" s="315">
        <v>6.7721365727661631E-2</v>
      </c>
      <c r="J298" s="315">
        <v>6.7721365727661631E-2</v>
      </c>
      <c r="K298" s="315">
        <v>6.7721365727661631E-2</v>
      </c>
      <c r="L298" s="315">
        <v>6.7721365727661631E-2</v>
      </c>
    </row>
    <row r="299" spans="1:12" ht="15.6" x14ac:dyDescent="0.35">
      <c r="A299" s="44"/>
      <c r="B299" s="203" t="s">
        <v>274</v>
      </c>
      <c r="C299" s="209"/>
      <c r="D299" s="209"/>
      <c r="E299" s="210"/>
      <c r="F299" s="317">
        <v>-190500000</v>
      </c>
      <c r="G299" s="317">
        <v>-167800000</v>
      </c>
      <c r="H299" s="212">
        <f>-H298*H10</f>
        <v>-167212662.96637192</v>
      </c>
      <c r="I299" s="212">
        <f>-I298*I10</f>
        <v>-167633587.76126862</v>
      </c>
      <c r="J299" s="212">
        <f>-J298*J10</f>
        <v>-173014690.33922714</v>
      </c>
      <c r="K299" s="212">
        <f>-K298*K10</f>
        <v>-181222701.74115971</v>
      </c>
      <c r="L299" s="212">
        <f>-L298*L10</f>
        <v>-192533525.55795142</v>
      </c>
    </row>
    <row r="300" spans="1:12" ht="15.6" x14ac:dyDescent="0.35">
      <c r="A300" s="44"/>
      <c r="B300" s="213"/>
      <c r="C300" s="213"/>
      <c r="D300" s="213"/>
      <c r="E300" s="213"/>
      <c r="F300" s="255"/>
      <c r="G300" s="255"/>
      <c r="H300" s="226"/>
      <c r="I300" s="226"/>
      <c r="J300" s="226"/>
      <c r="K300" s="226"/>
      <c r="L300" s="226"/>
    </row>
    <row r="301" spans="1:12" ht="15.6" x14ac:dyDescent="0.35">
      <c r="A301" s="44"/>
      <c r="B301" s="103" t="s">
        <v>275</v>
      </c>
      <c r="C301" s="63"/>
      <c r="D301" s="63"/>
      <c r="E301" s="63"/>
      <c r="F301" s="180">
        <v>-351500000</v>
      </c>
      <c r="G301" s="180">
        <v>-350900000</v>
      </c>
      <c r="H301" s="236">
        <f>G301*(1+Assumptions!H14)</f>
        <v>-364936000</v>
      </c>
      <c r="I301" s="236">
        <f>H301*(1+Assumptions!I14)</f>
        <v>-377708760</v>
      </c>
      <c r="J301" s="236">
        <f>I301*(1+Assumptions!J14)</f>
        <v>-389040022.80000001</v>
      </c>
      <c r="K301" s="236">
        <f>J301*(1+Assumptions!K14)</f>
        <v>-396820823.25600004</v>
      </c>
      <c r="L301" s="236">
        <f>K301*(1+Assumptions!L14)</f>
        <v>-404757239.72112006</v>
      </c>
    </row>
    <row r="302" spans="1:12" ht="15.6" x14ac:dyDescent="0.35">
      <c r="A302" s="44"/>
      <c r="B302" s="238" t="s">
        <v>277</v>
      </c>
      <c r="C302" s="239"/>
      <c r="D302" s="239"/>
      <c r="E302" s="240"/>
      <c r="F302" s="225">
        <f>(F301+F299+F296)</f>
        <v>-853500000</v>
      </c>
      <c r="G302" s="225">
        <f>(G301+G299+G296)</f>
        <v>-773800000</v>
      </c>
      <c r="H302" s="225">
        <f>(H301+H299+H296)</f>
        <v>-785848989.28990126</v>
      </c>
      <c r="I302" s="225">
        <f t="shared" ref="I302:L302" si="141">(I301+I299+I296)</f>
        <v>-796201230.42997456</v>
      </c>
      <c r="J302" s="225">
        <f t="shared" si="141"/>
        <v>-817855515.79650664</v>
      </c>
      <c r="K302" s="225">
        <f t="shared" si="141"/>
        <v>-842959229.6928755</v>
      </c>
      <c r="L302" s="225">
        <f t="shared" si="141"/>
        <v>-875737141.48277652</v>
      </c>
    </row>
    <row r="303" spans="1:12" ht="15.6" x14ac:dyDescent="0.35">
      <c r="A303" s="44"/>
      <c r="B303" s="213"/>
      <c r="C303" s="213"/>
      <c r="D303" s="213"/>
      <c r="E303" s="213"/>
      <c r="F303" s="226"/>
      <c r="G303" s="226"/>
      <c r="H303" s="226"/>
      <c r="I303" s="226"/>
      <c r="J303" s="226"/>
      <c r="K303" s="226"/>
      <c r="L303" s="226"/>
    </row>
    <row r="304" spans="1:12" ht="15.6" x14ac:dyDescent="0.35">
      <c r="A304" s="44"/>
      <c r="B304" s="316" t="s">
        <v>278</v>
      </c>
      <c r="C304" s="207"/>
      <c r="D304" s="207"/>
      <c r="E304" s="207"/>
      <c r="F304" s="318"/>
      <c r="G304" s="318"/>
      <c r="H304" s="310">
        <f>H291</f>
        <v>-228917988.0796757</v>
      </c>
      <c r="I304" s="310">
        <f>I291</f>
        <v>-243473865.4135558</v>
      </c>
      <c r="J304" s="310">
        <f>J291</f>
        <v>-258385272.17493457</v>
      </c>
      <c r="K304" s="310">
        <f>K291</f>
        <v>-274129375.78570896</v>
      </c>
      <c r="L304" s="310">
        <f>L291</f>
        <v>-291069530.33950704</v>
      </c>
    </row>
    <row r="305" spans="1:12" ht="15.6" x14ac:dyDescent="0.35">
      <c r="A305" s="44"/>
      <c r="B305" s="206" t="s">
        <v>279</v>
      </c>
      <c r="C305" s="185"/>
      <c r="D305" s="185"/>
      <c r="E305" s="204"/>
      <c r="F305" s="229"/>
      <c r="G305" s="229"/>
      <c r="H305" s="229">
        <f>SUM(H302:H304)</f>
        <v>-1014766977.3695769</v>
      </c>
      <c r="I305" s="229">
        <f t="shared" ref="I305:L305" si="142">SUM(I302:I304)</f>
        <v>-1039675095.8435304</v>
      </c>
      <c r="J305" s="229">
        <f t="shared" si="142"/>
        <v>-1076240787.9714413</v>
      </c>
      <c r="K305" s="229">
        <f t="shared" si="142"/>
        <v>-1117088605.4785845</v>
      </c>
      <c r="L305" s="229">
        <f t="shared" si="142"/>
        <v>-1166806671.8222835</v>
      </c>
    </row>
    <row r="306" spans="1:12" ht="15.6" x14ac:dyDescent="0.35">
      <c r="A306" s="44"/>
      <c r="B306" s="61"/>
      <c r="C306" s="63"/>
      <c r="D306" s="61"/>
      <c r="E306" s="61"/>
      <c r="F306" s="73"/>
      <c r="G306" s="73"/>
      <c r="H306" s="194"/>
      <c r="I306" s="194"/>
      <c r="J306" s="194"/>
      <c r="K306" s="194"/>
      <c r="L306" s="194"/>
    </row>
    <row r="307" spans="1:12" ht="15.6" x14ac:dyDescent="0.35">
      <c r="A307" s="44"/>
      <c r="B307" s="61"/>
      <c r="C307" s="63"/>
      <c r="D307" s="63"/>
      <c r="E307" s="63"/>
      <c r="F307" s="193"/>
      <c r="G307" s="193"/>
      <c r="H307" s="193"/>
      <c r="I307" s="193"/>
      <c r="J307" s="193"/>
      <c r="K307" s="193"/>
      <c r="L307" s="193"/>
    </row>
    <row r="308" spans="1:12" ht="28.8" x14ac:dyDescent="0.65">
      <c r="A308" s="44"/>
      <c r="B308" s="45" t="str">
        <f>Cover!$B$2</f>
        <v>ASOS PLC</v>
      </c>
      <c r="C308" s="45"/>
      <c r="D308" s="46"/>
      <c r="E308" s="47"/>
      <c r="F308" s="47"/>
      <c r="G308" s="47"/>
      <c r="H308" s="47"/>
      <c r="I308" s="47"/>
      <c r="J308" s="47"/>
      <c r="K308" s="47"/>
      <c r="L308" s="47"/>
    </row>
    <row r="309" spans="1:12" ht="21" x14ac:dyDescent="0.5">
      <c r="A309" s="44"/>
      <c r="B309" s="48" t="s">
        <v>172</v>
      </c>
      <c r="C309" s="49"/>
      <c r="D309" s="47"/>
      <c r="E309" s="47"/>
      <c r="F309" s="47"/>
      <c r="G309" s="47"/>
      <c r="H309" s="47"/>
      <c r="I309" s="47"/>
      <c r="J309" s="47"/>
      <c r="K309" s="47"/>
      <c r="L309" s="159" t="str">
        <f>"Currently Running: "&amp;CHOOSE(Assumptions!$B$10,Assumptions!$F$15,Assumptions!$F$16,Assumptions!$F$17)&amp;"Scenario"</f>
        <v>Currently Running: Base Scenario</v>
      </c>
    </row>
    <row r="310" spans="1:12" ht="15.6" x14ac:dyDescent="0.35">
      <c r="A310" s="44"/>
      <c r="B310" s="50"/>
      <c r="C310" s="50"/>
      <c r="D310" s="50"/>
      <c r="E310" s="50"/>
      <c r="F310" s="50"/>
      <c r="G310" s="50"/>
      <c r="H310" s="50"/>
      <c r="I310" s="50"/>
      <c r="J310" s="50"/>
      <c r="K310" s="51"/>
      <c r="L310" s="51"/>
    </row>
    <row r="311" spans="1:12" ht="15.6" x14ac:dyDescent="0.35">
      <c r="A311" s="44"/>
      <c r="B311" s="51"/>
      <c r="C311" s="51"/>
      <c r="D311" s="51"/>
      <c r="E311" s="51"/>
      <c r="F311" s="216" t="s">
        <v>361</v>
      </c>
      <c r="G311" s="217"/>
      <c r="H311" s="217"/>
      <c r="I311" s="217"/>
      <c r="J311" s="217"/>
      <c r="K311" s="217"/>
      <c r="L311" s="218"/>
    </row>
    <row r="312" spans="1:12" ht="15.6" x14ac:dyDescent="0.35">
      <c r="A312" s="44"/>
      <c r="B312" s="51"/>
      <c r="C312" s="51"/>
      <c r="D312" s="51"/>
      <c r="E312" s="51"/>
      <c r="F312" s="53">
        <f>$F$105</f>
        <v>2024</v>
      </c>
      <c r="G312" s="53">
        <f>F312+1</f>
        <v>2025</v>
      </c>
      <c r="H312" s="54">
        <f>G312+1</f>
        <v>2026</v>
      </c>
      <c r="I312" s="54">
        <f t="shared" ref="I312" si="143">H312+1</f>
        <v>2027</v>
      </c>
      <c r="J312" s="54">
        <f t="shared" ref="J312" si="144">I312+1</f>
        <v>2028</v>
      </c>
      <c r="K312" s="54">
        <f t="shared" ref="K312" si="145">J312+1</f>
        <v>2029</v>
      </c>
      <c r="L312" s="54">
        <f t="shared" ref="L312" si="146">K312+1</f>
        <v>2030</v>
      </c>
    </row>
    <row r="313" spans="1:12" ht="16.2" thickBot="1" x14ac:dyDescent="0.4">
      <c r="A313" s="44"/>
      <c r="B313" s="55" t="s">
        <v>187</v>
      </c>
      <c r="C313" s="55"/>
      <c r="D313" s="55"/>
      <c r="E313" s="55"/>
      <c r="F313" s="219" t="s">
        <v>50</v>
      </c>
      <c r="G313" s="220"/>
      <c r="H313" s="57"/>
      <c r="I313" s="57"/>
      <c r="J313" s="57"/>
      <c r="K313" s="57"/>
      <c r="L313" s="221" t="s">
        <v>37</v>
      </c>
    </row>
    <row r="314" spans="1:12" ht="15.6" x14ac:dyDescent="0.35">
      <c r="A314" s="44"/>
      <c r="B314" s="61"/>
      <c r="C314" s="61"/>
      <c r="D314" s="61"/>
      <c r="E314" s="61"/>
      <c r="F314" s="186"/>
      <c r="G314" s="186"/>
      <c r="H314" s="186"/>
      <c r="I314" s="186"/>
      <c r="J314" s="186"/>
      <c r="K314" s="186"/>
      <c r="L314" s="186"/>
    </row>
    <row r="315" spans="1:12" ht="15.6" x14ac:dyDescent="0.35">
      <c r="A315" s="44"/>
      <c r="B315" s="103" t="s">
        <v>82</v>
      </c>
      <c r="C315" s="63"/>
      <c r="D315" s="61"/>
      <c r="E315" s="176"/>
      <c r="F315" s="236">
        <f t="shared" ref="F315:L315" si="147">F61</f>
        <v>254000000</v>
      </c>
      <c r="G315" s="236">
        <f t="shared" si="147"/>
        <v>172100000</v>
      </c>
      <c r="H315" s="236">
        <f t="shared" si="147"/>
        <v>154890000</v>
      </c>
      <c r="I315" s="236">
        <f t="shared" si="147"/>
        <v>137680000</v>
      </c>
      <c r="J315" s="236">
        <f t="shared" si="147"/>
        <v>120470000</v>
      </c>
      <c r="K315" s="236">
        <f t="shared" si="147"/>
        <v>103260000</v>
      </c>
      <c r="L315" s="236">
        <f t="shared" si="147"/>
        <v>86050000</v>
      </c>
    </row>
    <row r="316" spans="1:12" ht="15.6" x14ac:dyDescent="0.35">
      <c r="A316" s="44"/>
      <c r="B316" s="103" t="s">
        <v>303</v>
      </c>
      <c r="C316" s="63"/>
      <c r="D316" s="61"/>
      <c r="E316" s="176"/>
      <c r="F316" s="106">
        <f>F317/F315</f>
        <v>0.27047244094488188</v>
      </c>
      <c r="G316" s="106">
        <f t="shared" ref="G316" si="148">G317/G315</f>
        <v>0.42242882045322488</v>
      </c>
      <c r="H316" s="295">
        <f>AVERAGE(F316,G316)</f>
        <v>0.34645063069905335</v>
      </c>
      <c r="I316" s="295">
        <f>H316</f>
        <v>0.34645063069905335</v>
      </c>
      <c r="J316" s="295">
        <f t="shared" ref="J316:K316" si="149">I316</f>
        <v>0.34645063069905335</v>
      </c>
      <c r="K316" s="295">
        <f t="shared" si="149"/>
        <v>0.34645063069905335</v>
      </c>
      <c r="L316" s="295">
        <f>K316</f>
        <v>0.34645063069905335</v>
      </c>
    </row>
    <row r="317" spans="1:12" ht="15.6" x14ac:dyDescent="0.35">
      <c r="A317" s="44"/>
      <c r="B317" s="206" t="s">
        <v>302</v>
      </c>
      <c r="C317" s="185"/>
      <c r="D317" s="185"/>
      <c r="E317" s="204"/>
      <c r="F317" s="229">
        <v>68700000</v>
      </c>
      <c r="G317" s="229">
        <v>72700000</v>
      </c>
      <c r="H317" s="229">
        <f>H316*H315</f>
        <v>53661738.188976377</v>
      </c>
      <c r="I317" s="229">
        <f t="shared" ref="I317:L317" si="150">I316*I315</f>
        <v>47699322.834645666</v>
      </c>
      <c r="J317" s="229">
        <f t="shared" si="150"/>
        <v>41736907.480314955</v>
      </c>
      <c r="K317" s="229">
        <f t="shared" si="150"/>
        <v>35774492.125984251</v>
      </c>
      <c r="L317" s="229">
        <f t="shared" si="150"/>
        <v>29812076.77165354</v>
      </c>
    </row>
    <row r="318" spans="1:12" ht="15.6" x14ac:dyDescent="0.35">
      <c r="A318" s="44"/>
      <c r="B318" s="123"/>
      <c r="C318" s="123"/>
      <c r="D318" s="123"/>
      <c r="E318" s="123"/>
      <c r="F318" s="193"/>
      <c r="G318" s="193"/>
      <c r="H318" s="194"/>
      <c r="I318" s="194"/>
      <c r="J318" s="194"/>
      <c r="K318" s="194"/>
      <c r="L318" s="194"/>
    </row>
    <row r="319" spans="1:12" ht="15.6" x14ac:dyDescent="0.35">
      <c r="A319" s="44"/>
      <c r="B319" s="206" t="s">
        <v>307</v>
      </c>
      <c r="C319" s="185"/>
      <c r="D319" s="185"/>
      <c r="E319" s="204"/>
      <c r="F319" s="212">
        <v>20500000</v>
      </c>
      <c r="G319" s="212">
        <v>29500000</v>
      </c>
      <c r="H319" s="317">
        <v>29500000</v>
      </c>
      <c r="I319" s="317">
        <v>29500000</v>
      </c>
      <c r="J319" s="317">
        <v>29500000</v>
      </c>
      <c r="K319" s="317">
        <v>29500000</v>
      </c>
      <c r="L319" s="317">
        <v>29500000</v>
      </c>
    </row>
    <row r="320" spans="1:12" ht="15.6" x14ac:dyDescent="0.35">
      <c r="A320" s="44"/>
      <c r="B320" s="123" t="s">
        <v>308</v>
      </c>
      <c r="C320" s="123"/>
      <c r="D320" s="123"/>
      <c r="E320" s="123"/>
      <c r="F320" s="193"/>
      <c r="G320" s="193"/>
      <c r="H320" s="194"/>
      <c r="I320" s="194"/>
      <c r="J320" s="194"/>
      <c r="K320" s="194"/>
      <c r="L320" s="194"/>
    </row>
    <row r="321" spans="1:12" ht="15.6" x14ac:dyDescent="0.35">
      <c r="A321" s="44"/>
      <c r="B321" s="123"/>
      <c r="C321" s="123"/>
      <c r="D321" s="123"/>
      <c r="E321" s="123"/>
      <c r="F321" s="193"/>
      <c r="G321" s="193"/>
      <c r="H321" s="194"/>
      <c r="I321" s="194"/>
      <c r="J321" s="194"/>
      <c r="K321" s="194"/>
      <c r="L321" s="194"/>
    </row>
    <row r="322" spans="1:12" ht="15.6" x14ac:dyDescent="0.35">
      <c r="A322" s="44"/>
      <c r="B322" s="103" t="s">
        <v>307</v>
      </c>
      <c r="C322" s="63"/>
      <c r="D322" s="61"/>
      <c r="E322" s="176"/>
      <c r="F322" s="236"/>
      <c r="G322" s="236">
        <f>-G319</f>
        <v>-29500000</v>
      </c>
      <c r="H322" s="236">
        <f t="shared" ref="H322:L322" si="151">-H319</f>
        <v>-29500000</v>
      </c>
      <c r="I322" s="236">
        <f t="shared" si="151"/>
        <v>-29500000</v>
      </c>
      <c r="J322" s="236">
        <f t="shared" si="151"/>
        <v>-29500000</v>
      </c>
      <c r="K322" s="236">
        <f t="shared" si="151"/>
        <v>-29500000</v>
      </c>
      <c r="L322" s="236">
        <f t="shared" si="151"/>
        <v>-29500000</v>
      </c>
    </row>
    <row r="323" spans="1:12" ht="15.6" x14ac:dyDescent="0.35">
      <c r="A323" s="44"/>
      <c r="B323" s="103" t="s">
        <v>302</v>
      </c>
      <c r="C323" s="63"/>
      <c r="D323" s="61"/>
      <c r="E323" s="176"/>
      <c r="F323" s="236">
        <f>-F317</f>
        <v>-68700000</v>
      </c>
      <c r="G323" s="236">
        <f>-G317</f>
        <v>-72700000</v>
      </c>
      <c r="H323" s="236">
        <f>-H317</f>
        <v>-53661738.188976377</v>
      </c>
      <c r="I323" s="236">
        <f t="shared" ref="I323:L323" si="152">-I317</f>
        <v>-47699322.834645666</v>
      </c>
      <c r="J323" s="236">
        <f t="shared" si="152"/>
        <v>-41736907.480314955</v>
      </c>
      <c r="K323" s="236">
        <f t="shared" si="152"/>
        <v>-35774492.125984251</v>
      </c>
      <c r="L323" s="236">
        <f t="shared" si="152"/>
        <v>-29812076.77165354</v>
      </c>
    </row>
    <row r="324" spans="1:12" ht="15.6" x14ac:dyDescent="0.35">
      <c r="A324" s="44"/>
      <c r="B324" s="206" t="s">
        <v>301</v>
      </c>
      <c r="C324" s="185"/>
      <c r="D324" s="185"/>
      <c r="E324" s="204"/>
      <c r="F324" s="225">
        <f>SUM(F322:F323)</f>
        <v>-68700000</v>
      </c>
      <c r="G324" s="225">
        <f>SUM(G322:G323)</f>
        <v>-102200000</v>
      </c>
      <c r="H324" s="225">
        <f>SUM(H322:H323)</f>
        <v>-83161738.188976377</v>
      </c>
      <c r="I324" s="225">
        <f t="shared" ref="I324" si="153">SUM(I322:I323)</f>
        <v>-77199322.834645659</v>
      </c>
      <c r="J324" s="225">
        <f t="shared" ref="J324" si="154">SUM(J322:J323)</f>
        <v>-71236907.480314955</v>
      </c>
      <c r="K324" s="225">
        <f t="shared" ref="K324" si="155">SUM(K322:K323)</f>
        <v>-65274492.125984251</v>
      </c>
      <c r="L324" s="225">
        <f t="shared" ref="L324" si="156">SUM(L322:L323)</f>
        <v>-59312076.77165354</v>
      </c>
    </row>
    <row r="325" spans="1:12" ht="15.6" x14ac:dyDescent="0.35">
      <c r="A325" s="44"/>
      <c r="B325" s="185" t="s">
        <v>311</v>
      </c>
      <c r="C325" s="185"/>
      <c r="D325" s="185"/>
      <c r="E325" s="185"/>
      <c r="F325" s="262"/>
      <c r="G325" s="262"/>
      <c r="H325" s="262">
        <f>H324-G324</f>
        <v>19038261.811023623</v>
      </c>
      <c r="I325" s="262">
        <f t="shared" ref="I325:L325" si="157">I324-H324</f>
        <v>5962415.3543307185</v>
      </c>
      <c r="J325" s="262">
        <f t="shared" si="157"/>
        <v>5962415.3543307036</v>
      </c>
      <c r="K325" s="262">
        <f t="shared" si="157"/>
        <v>5962415.3543307036</v>
      </c>
      <c r="L325" s="262">
        <f t="shared" si="157"/>
        <v>5962415.3543307111</v>
      </c>
    </row>
    <row r="326" spans="1:12" ht="15.6" x14ac:dyDescent="0.35">
      <c r="A326" s="44"/>
      <c r="B326" s="362"/>
      <c r="C326" s="205"/>
      <c r="D326" s="205"/>
      <c r="E326" s="205"/>
      <c r="F326" s="363"/>
      <c r="G326" s="363"/>
      <c r="H326" s="363"/>
      <c r="I326" s="364"/>
      <c r="J326" s="363"/>
      <c r="K326" s="363"/>
      <c r="L326" s="363"/>
    </row>
    <row r="327" spans="1:12" ht="15.6" x14ac:dyDescent="0.35">
      <c r="A327" s="44"/>
      <c r="B327" s="103" t="s">
        <v>305</v>
      </c>
      <c r="C327" s="63"/>
      <c r="D327" s="61"/>
      <c r="E327" s="176"/>
      <c r="F327" s="106"/>
      <c r="G327" s="106">
        <f>G74/G324</f>
        <v>4.3052837573385516E-2</v>
      </c>
      <c r="H327" s="295">
        <f>G327</f>
        <v>4.3052837573385516E-2</v>
      </c>
      <c r="I327" s="295">
        <f t="shared" ref="I327:L327" si="158">H327</f>
        <v>4.3052837573385516E-2</v>
      </c>
      <c r="J327" s="295">
        <f t="shared" si="158"/>
        <v>4.3052837573385516E-2</v>
      </c>
      <c r="K327" s="295">
        <f t="shared" si="158"/>
        <v>4.3052837573385516E-2</v>
      </c>
      <c r="L327" s="295">
        <f t="shared" si="158"/>
        <v>4.3052837573385516E-2</v>
      </c>
    </row>
    <row r="328" spans="1:12" ht="15.6" x14ac:dyDescent="0.35">
      <c r="A328" s="44"/>
      <c r="B328" s="103" t="s">
        <v>306</v>
      </c>
      <c r="C328" s="63"/>
      <c r="D328" s="61"/>
      <c r="E328" s="176"/>
      <c r="F328" s="106"/>
      <c r="G328" s="106">
        <f>1-G327</f>
        <v>0.95694716242661448</v>
      </c>
      <c r="H328" s="295">
        <f t="shared" ref="H328:L328" si="159">G328</f>
        <v>0.95694716242661448</v>
      </c>
      <c r="I328" s="295">
        <f t="shared" si="159"/>
        <v>0.95694716242661448</v>
      </c>
      <c r="J328" s="295">
        <f t="shared" si="159"/>
        <v>0.95694716242661448</v>
      </c>
      <c r="K328" s="295">
        <f t="shared" si="159"/>
        <v>0.95694716242661448</v>
      </c>
      <c r="L328" s="295">
        <f t="shared" si="159"/>
        <v>0.95694716242661448</v>
      </c>
    </row>
    <row r="329" spans="1:12" ht="15.6" x14ac:dyDescent="0.35">
      <c r="A329" s="44"/>
      <c r="B329" s="206" t="s">
        <v>309</v>
      </c>
      <c r="C329" s="185"/>
      <c r="D329" s="185"/>
      <c r="E329" s="204"/>
      <c r="F329" s="225"/>
      <c r="G329" s="225"/>
      <c r="H329" s="225">
        <f>H327*H324</f>
        <v>-3580348.8065704112</v>
      </c>
      <c r="I329" s="225">
        <f>I327*I324</f>
        <v>-3323649.9067753511</v>
      </c>
      <c r="J329" s="225">
        <f>J327*J324</f>
        <v>-3066951.0069802916</v>
      </c>
      <c r="K329" s="225">
        <f>K327*K324</f>
        <v>-2810252.107185232</v>
      </c>
      <c r="L329" s="225">
        <f>L327*L324</f>
        <v>-2553553.2073901719</v>
      </c>
    </row>
    <row r="330" spans="1:12" ht="15.6" x14ac:dyDescent="0.35">
      <c r="A330" s="44"/>
      <c r="B330" s="206" t="s">
        <v>310</v>
      </c>
      <c r="C330" s="185"/>
      <c r="D330" s="185"/>
      <c r="E330" s="204"/>
      <c r="F330" s="225"/>
      <c r="G330" s="225"/>
      <c r="H330" s="225">
        <f>H328*H324</f>
        <v>-79581389.382405967</v>
      </c>
      <c r="I330" s="225">
        <f>I328*I324</f>
        <v>-73875672.927870303</v>
      </c>
      <c r="J330" s="225">
        <f>J328*J324</f>
        <v>-68169956.47333467</v>
      </c>
      <c r="K330" s="225">
        <f>K328*K324</f>
        <v>-62464240.018799022</v>
      </c>
      <c r="L330" s="225">
        <f>L328*L324</f>
        <v>-56758523.564263366</v>
      </c>
    </row>
    <row r="331" spans="1:12" ht="15.6" x14ac:dyDescent="0.35">
      <c r="A331" s="44"/>
      <c r="B331" s="61"/>
      <c r="C331" s="61"/>
      <c r="D331" s="61"/>
      <c r="E331" s="61"/>
      <c r="F331" s="73"/>
      <c r="G331" s="73"/>
      <c r="H331" s="111"/>
      <c r="I331" s="111"/>
      <c r="J331" s="111"/>
      <c r="K331" s="111"/>
      <c r="L331" s="111"/>
    </row>
    <row r="332" spans="1:12" ht="15.6" x14ac:dyDescent="0.35">
      <c r="A332" s="44"/>
      <c r="B332" s="63"/>
      <c r="C332" s="63"/>
      <c r="D332" s="63"/>
      <c r="E332" s="63"/>
      <c r="F332" s="115"/>
      <c r="G332" s="112"/>
      <c r="H332" s="112"/>
      <c r="I332" s="112"/>
      <c r="J332" s="112"/>
      <c r="K332" s="112"/>
      <c r="L332" s="112"/>
    </row>
    <row r="333" spans="1:12" ht="28.8" x14ac:dyDescent="0.65">
      <c r="A333" s="44"/>
      <c r="B333" s="45" t="str">
        <f>Cover!$B$2</f>
        <v>ASOS PLC</v>
      </c>
      <c r="C333" s="45"/>
      <c r="D333" s="46"/>
      <c r="E333" s="47"/>
      <c r="F333" s="47"/>
      <c r="G333" s="47"/>
      <c r="H333" s="47"/>
      <c r="I333" s="47"/>
      <c r="J333" s="47"/>
      <c r="K333" s="47"/>
      <c r="L333" s="47"/>
    </row>
    <row r="334" spans="1:12" ht="21" x14ac:dyDescent="0.5">
      <c r="A334" s="44"/>
      <c r="B334" s="48" t="s">
        <v>16</v>
      </c>
      <c r="C334" s="49"/>
      <c r="D334" s="47"/>
      <c r="E334" s="47"/>
      <c r="F334" s="47"/>
      <c r="G334" s="47"/>
      <c r="H334" s="47"/>
      <c r="I334" s="47"/>
      <c r="J334" s="47"/>
      <c r="K334" s="47"/>
      <c r="L334" s="159" t="str">
        <f>"Currently Running: "&amp;CHOOSE(Assumptions!$B$10,Assumptions!$F$15,Assumptions!$F$16,Assumptions!$F$17)&amp;"Scenario"</f>
        <v>Currently Running: Base Scenario</v>
      </c>
    </row>
    <row r="335" spans="1:12" ht="15.6" x14ac:dyDescent="0.35">
      <c r="A335" s="44"/>
      <c r="B335" s="50"/>
      <c r="C335" s="50"/>
      <c r="D335" s="50"/>
      <c r="E335" s="50"/>
      <c r="F335" s="50"/>
      <c r="G335" s="50"/>
      <c r="H335" s="50"/>
      <c r="I335" s="50"/>
      <c r="J335" s="50"/>
      <c r="K335" s="51"/>
      <c r="L335" s="51"/>
    </row>
    <row r="336" spans="1:12" ht="15.6" x14ac:dyDescent="0.35">
      <c r="A336" s="44"/>
      <c r="B336" s="51"/>
      <c r="C336" s="51"/>
      <c r="D336" s="51"/>
      <c r="E336" s="51"/>
      <c r="F336" s="292" t="s">
        <v>361</v>
      </c>
      <c r="G336" s="293"/>
      <c r="H336" s="293"/>
      <c r="I336" s="293"/>
      <c r="J336" s="293"/>
      <c r="K336" s="293"/>
      <c r="L336" s="294"/>
    </row>
    <row r="337" spans="1:12" ht="15.6" x14ac:dyDescent="0.35">
      <c r="A337" s="44"/>
      <c r="B337" s="51"/>
      <c r="C337" s="51"/>
      <c r="D337" s="51"/>
      <c r="E337" s="51"/>
      <c r="F337" s="53">
        <f>$F$7</f>
        <v>2024</v>
      </c>
      <c r="G337" s="53">
        <f>F337+1</f>
        <v>2025</v>
      </c>
      <c r="H337" s="54">
        <f>G337+1</f>
        <v>2026</v>
      </c>
      <c r="I337" s="54">
        <f t="shared" ref="I337" si="160">H337+1</f>
        <v>2027</v>
      </c>
      <c r="J337" s="54">
        <f t="shared" ref="J337" si="161">I337+1</f>
        <v>2028</v>
      </c>
      <c r="K337" s="54">
        <f t="shared" ref="K337" si="162">J337+1</f>
        <v>2029</v>
      </c>
      <c r="L337" s="54">
        <f t="shared" ref="L337" si="163">K337+1</f>
        <v>2030</v>
      </c>
    </row>
    <row r="338" spans="1:12" ht="16.2" thickBot="1" x14ac:dyDescent="0.4">
      <c r="A338" s="44"/>
      <c r="B338" s="55" t="s">
        <v>187</v>
      </c>
      <c r="C338" s="55"/>
      <c r="D338" s="55"/>
      <c r="E338" s="55"/>
      <c r="F338" s="56" t="s">
        <v>50</v>
      </c>
      <c r="G338" s="56"/>
      <c r="H338" s="57"/>
      <c r="I338" s="57"/>
      <c r="J338" s="57"/>
      <c r="K338" s="57"/>
      <c r="L338" s="57" t="s">
        <v>37</v>
      </c>
    </row>
    <row r="339" spans="1:12" ht="15.6" x14ac:dyDescent="0.35">
      <c r="A339" s="44"/>
      <c r="B339" s="61"/>
      <c r="C339" s="61"/>
      <c r="D339" s="63"/>
      <c r="E339" s="63"/>
      <c r="F339" s="115"/>
      <c r="G339" s="112"/>
      <c r="H339" s="108"/>
      <c r="I339" s="108"/>
      <c r="J339" s="108"/>
      <c r="K339" s="108"/>
      <c r="L339" s="108"/>
    </row>
    <row r="340" spans="1:12" ht="15.6" x14ac:dyDescent="0.35">
      <c r="A340" s="44"/>
      <c r="B340" s="61" t="s">
        <v>99</v>
      </c>
      <c r="C340" s="63"/>
      <c r="D340" s="365">
        <v>365</v>
      </c>
      <c r="E340" s="63"/>
      <c r="F340" s="116"/>
      <c r="G340" s="242"/>
      <c r="H340" s="113"/>
      <c r="I340" s="113"/>
      <c r="J340" s="113"/>
      <c r="K340" s="113"/>
      <c r="L340" s="113"/>
    </row>
    <row r="341" spans="1:12" ht="15.6" x14ac:dyDescent="0.35">
      <c r="A341" s="44"/>
      <c r="B341" s="63"/>
      <c r="C341" s="63"/>
      <c r="D341" s="63"/>
      <c r="E341" s="63"/>
      <c r="F341" s="116"/>
      <c r="G341" s="109"/>
      <c r="H341" s="113"/>
      <c r="I341" s="113"/>
      <c r="J341" s="113"/>
      <c r="K341" s="113"/>
      <c r="L341" s="113"/>
    </row>
    <row r="342" spans="1:12" ht="15.6" x14ac:dyDescent="0.35">
      <c r="A342" s="44"/>
      <c r="B342" s="196" t="s">
        <v>100</v>
      </c>
      <c r="C342" s="197"/>
      <c r="D342" s="198"/>
      <c r="E342" s="198"/>
      <c r="F342" s="199"/>
      <c r="G342" s="199"/>
      <c r="H342" s="199"/>
      <c r="I342" s="199"/>
      <c r="J342" s="199"/>
      <c r="K342" s="199"/>
      <c r="L342" s="200"/>
    </row>
    <row r="343" spans="1:12" ht="15.6" x14ac:dyDescent="0.35">
      <c r="A343" s="44"/>
      <c r="B343" s="61"/>
      <c r="C343" s="61"/>
      <c r="D343" s="61"/>
      <c r="E343" s="61"/>
      <c r="F343" s="74"/>
      <c r="G343" s="106"/>
      <c r="H343" s="117"/>
      <c r="I343" s="117"/>
      <c r="J343" s="117"/>
      <c r="K343" s="117"/>
      <c r="L343" s="117"/>
    </row>
    <row r="344" spans="1:12" ht="15.6" x14ac:dyDescent="0.35">
      <c r="A344" s="44"/>
      <c r="B344" s="103" t="s">
        <v>51</v>
      </c>
      <c r="C344" s="61"/>
      <c r="D344" s="61"/>
      <c r="E344" s="61"/>
      <c r="F344" s="236">
        <f>F53</f>
        <v>53400000</v>
      </c>
      <c r="G344" s="236">
        <f>G53</f>
        <v>49200000</v>
      </c>
      <c r="H344" s="236">
        <f>H360*H357</f>
        <v>49382543.062941171</v>
      </c>
      <c r="I344" s="236">
        <f t="shared" ref="I344:L344" si="164">I360*I357</f>
        <v>49506853.84444236</v>
      </c>
      <c r="J344" s="236">
        <f t="shared" si="164"/>
        <v>51096042.8751534</v>
      </c>
      <c r="K344" s="236">
        <f t="shared" si="164"/>
        <v>53520096.588110313</v>
      </c>
      <c r="L344" s="236">
        <f t="shared" si="164"/>
        <v>56860496.975863181</v>
      </c>
    </row>
    <row r="345" spans="1:12" ht="15.6" x14ac:dyDescent="0.35">
      <c r="A345" s="44"/>
      <c r="B345" s="103" t="s">
        <v>17</v>
      </c>
      <c r="C345" s="61"/>
      <c r="D345" s="61"/>
      <c r="E345" s="61"/>
      <c r="F345" s="236">
        <f>F51</f>
        <v>520300000</v>
      </c>
      <c r="G345" s="236">
        <f>G51</f>
        <v>402300000</v>
      </c>
      <c r="H345" s="236">
        <f>H367/365*H244</f>
        <v>325616389.75624496</v>
      </c>
      <c r="I345" s="236">
        <f>I367/365*I244</f>
        <v>325221703.22320706</v>
      </c>
      <c r="J345" s="236">
        <f>J367/365*J244</f>
        <v>334978354.31990337</v>
      </c>
      <c r="K345" s="236">
        <f>K367/365*K244</f>
        <v>350418762.8393364</v>
      </c>
      <c r="L345" s="236">
        <f>L367/365*L244</f>
        <v>372036904.97757846</v>
      </c>
    </row>
    <row r="346" spans="1:12" ht="15.6" x14ac:dyDescent="0.35">
      <c r="A346" s="44"/>
      <c r="B346" s="206" t="s">
        <v>251</v>
      </c>
      <c r="C346" s="185"/>
      <c r="D346" s="185"/>
      <c r="E346" s="204"/>
      <c r="F346" s="246">
        <f>SUM(F344:F345)</f>
        <v>573700000</v>
      </c>
      <c r="G346" s="246">
        <f t="shared" ref="G346:L346" si="165">SUM(G344:G345)</f>
        <v>451500000</v>
      </c>
      <c r="H346" s="246">
        <f t="shared" si="165"/>
        <v>374998932.81918615</v>
      </c>
      <c r="I346" s="246">
        <f t="shared" si="165"/>
        <v>374728557.06764942</v>
      </c>
      <c r="J346" s="246">
        <f t="shared" si="165"/>
        <v>386074397.1950568</v>
      </c>
      <c r="K346" s="246">
        <f t="shared" si="165"/>
        <v>403938859.42744672</v>
      </c>
      <c r="L346" s="246">
        <f t="shared" si="165"/>
        <v>428897401.95344162</v>
      </c>
    </row>
    <row r="347" spans="1:12" ht="15.6" x14ac:dyDescent="0.35">
      <c r="A347" s="44"/>
      <c r="B347" s="61"/>
      <c r="C347" s="61"/>
      <c r="D347" s="61"/>
      <c r="E347" s="63"/>
      <c r="F347" s="186"/>
      <c r="G347" s="186"/>
      <c r="H347" s="186"/>
      <c r="I347" s="186"/>
      <c r="J347" s="186"/>
      <c r="K347" s="186"/>
      <c r="L347" s="186"/>
    </row>
    <row r="348" spans="1:12" ht="15.6" x14ac:dyDescent="0.35">
      <c r="A348" s="44"/>
      <c r="B348" s="103" t="s">
        <v>8</v>
      </c>
      <c r="C348" s="61"/>
      <c r="D348" s="61"/>
      <c r="E348" s="61"/>
      <c r="F348" s="236">
        <f>-F71</f>
        <v>671700000</v>
      </c>
      <c r="G348" s="236">
        <f>-G71</f>
        <v>619300000</v>
      </c>
      <c r="H348" s="236">
        <f>H362*ABS(H358)</f>
        <v>594249911.30514705</v>
      </c>
      <c r="I348" s="236">
        <f t="shared" ref="I348:L348" si="166">I362*ABS(I358)</f>
        <v>593529608.38235295</v>
      </c>
      <c r="J348" s="236">
        <f t="shared" si="166"/>
        <v>611335496.63382375</v>
      </c>
      <c r="K348" s="236">
        <f t="shared" si="166"/>
        <v>639514242.18178904</v>
      </c>
      <c r="L348" s="236">
        <f t="shared" si="166"/>
        <v>678967351.58408082</v>
      </c>
    </row>
    <row r="349" spans="1:12" ht="15.6" x14ac:dyDescent="0.35">
      <c r="A349" s="44"/>
      <c r="B349" s="206" t="s">
        <v>101</v>
      </c>
      <c r="C349" s="185"/>
      <c r="D349" s="185"/>
      <c r="E349" s="204"/>
      <c r="F349" s="246">
        <f t="shared" ref="F349:L349" si="167">SUM(F348:F348)</f>
        <v>671700000</v>
      </c>
      <c r="G349" s="246">
        <f t="shared" si="167"/>
        <v>619300000</v>
      </c>
      <c r="H349" s="246">
        <f t="shared" si="167"/>
        <v>594249911.30514705</v>
      </c>
      <c r="I349" s="246">
        <f t="shared" si="167"/>
        <v>593529608.38235295</v>
      </c>
      <c r="J349" s="246">
        <f t="shared" si="167"/>
        <v>611335496.63382375</v>
      </c>
      <c r="K349" s="246">
        <f t="shared" si="167"/>
        <v>639514242.18178904</v>
      </c>
      <c r="L349" s="246">
        <f t="shared" si="167"/>
        <v>678967351.58408082</v>
      </c>
    </row>
    <row r="350" spans="1:12" ht="15.6" x14ac:dyDescent="0.35">
      <c r="A350" s="44"/>
      <c r="B350" s="63"/>
      <c r="C350" s="63"/>
      <c r="D350" s="63"/>
      <c r="E350" s="63"/>
      <c r="F350" s="223"/>
      <c r="G350" s="223"/>
      <c r="H350" s="223"/>
      <c r="I350" s="223"/>
      <c r="J350" s="223"/>
      <c r="K350" s="223"/>
      <c r="L350" s="223"/>
    </row>
    <row r="351" spans="1:12" ht="15.6" x14ac:dyDescent="0.35">
      <c r="A351" s="44"/>
      <c r="B351" s="206" t="s">
        <v>100</v>
      </c>
      <c r="C351" s="185"/>
      <c r="D351" s="185"/>
      <c r="E351" s="204"/>
      <c r="F351" s="225">
        <f t="shared" ref="F351:L351" si="168">F346-F349</f>
        <v>-98000000</v>
      </c>
      <c r="G351" s="225">
        <f t="shared" si="168"/>
        <v>-167800000</v>
      </c>
      <c r="H351" s="225">
        <f t="shared" si="168"/>
        <v>-219250978.4859609</v>
      </c>
      <c r="I351" s="225">
        <f t="shared" si="168"/>
        <v>-218801051.31470352</v>
      </c>
      <c r="J351" s="225">
        <f t="shared" si="168"/>
        <v>-225261099.43876696</v>
      </c>
      <c r="K351" s="225">
        <f t="shared" si="168"/>
        <v>-235575382.75434232</v>
      </c>
      <c r="L351" s="225">
        <f t="shared" si="168"/>
        <v>-250069949.6306392</v>
      </c>
    </row>
    <row r="352" spans="1:12" ht="15.6" x14ac:dyDescent="0.35">
      <c r="A352" s="44"/>
      <c r="B352" s="206" t="s">
        <v>18</v>
      </c>
      <c r="C352" s="185"/>
      <c r="D352" s="185"/>
      <c r="E352" s="204"/>
      <c r="F352" s="225"/>
      <c r="G352" s="225"/>
      <c r="H352" s="225">
        <f>H351-G351</f>
        <v>-51450978.485960901</v>
      </c>
      <c r="I352" s="225">
        <f t="shared" ref="I352:L352" si="169">I351-H351</f>
        <v>449927.17125737667</v>
      </c>
      <c r="J352" s="225">
        <f t="shared" si="169"/>
        <v>-6460048.1240634322</v>
      </c>
      <c r="K352" s="225">
        <f t="shared" si="169"/>
        <v>-10314283.315575361</v>
      </c>
      <c r="L352" s="225">
        <f t="shared" si="169"/>
        <v>-14494566.876296878</v>
      </c>
    </row>
    <row r="353" spans="1:14" ht="15.6" x14ac:dyDescent="0.35">
      <c r="A353" s="44"/>
      <c r="B353" s="61"/>
      <c r="C353" s="63"/>
      <c r="D353" s="63"/>
      <c r="E353" s="63"/>
      <c r="F353" s="74"/>
      <c r="G353" s="74"/>
      <c r="H353" s="74"/>
      <c r="I353" s="74"/>
      <c r="J353" s="74"/>
      <c r="K353" s="74"/>
      <c r="L353" s="74"/>
    </row>
    <row r="354" spans="1:14" ht="15.6" x14ac:dyDescent="0.35">
      <c r="A354" s="44"/>
      <c r="B354" s="61"/>
      <c r="C354" s="61"/>
      <c r="D354" s="61"/>
      <c r="E354" s="61"/>
      <c r="F354" s="90"/>
      <c r="G354" s="91"/>
      <c r="H354" s="86"/>
      <c r="I354" s="86"/>
      <c r="J354" s="86"/>
      <c r="K354" s="86"/>
      <c r="L354" s="86"/>
    </row>
    <row r="355" spans="1:14" ht="15.6" x14ac:dyDescent="0.35">
      <c r="A355" s="44"/>
      <c r="B355" s="196" t="s">
        <v>102</v>
      </c>
      <c r="C355" s="197"/>
      <c r="D355" s="198"/>
      <c r="E355" s="198"/>
      <c r="F355" s="199"/>
      <c r="G355" s="199"/>
      <c r="H355" s="199"/>
      <c r="I355" s="199"/>
      <c r="J355" s="199"/>
      <c r="K355" s="199"/>
      <c r="L355" s="200"/>
    </row>
    <row r="356" spans="1:14" ht="15.6" x14ac:dyDescent="0.35">
      <c r="A356" s="44"/>
      <c r="B356" s="61"/>
      <c r="C356" s="61"/>
      <c r="D356" s="61"/>
      <c r="E356" s="61"/>
      <c r="F356" s="90"/>
      <c r="G356" s="91"/>
      <c r="H356" s="86"/>
      <c r="I356" s="86"/>
      <c r="J356" s="86"/>
      <c r="K356" s="86"/>
      <c r="L356" s="86"/>
    </row>
    <row r="357" spans="1:14" ht="15.6" x14ac:dyDescent="0.35">
      <c r="A357" s="44"/>
      <c r="B357" s="104" t="s">
        <v>5</v>
      </c>
      <c r="C357" s="61"/>
      <c r="D357" s="61"/>
      <c r="E357" s="61"/>
      <c r="F357" s="236">
        <f t="shared" ref="F357:L358" si="170">F10</f>
        <v>2905800000</v>
      </c>
      <c r="G357" s="236">
        <f t="shared" si="170"/>
        <v>2477800000</v>
      </c>
      <c r="H357" s="236">
        <f t="shared" si="170"/>
        <v>2469127153.1470585</v>
      </c>
      <c r="I357" s="236">
        <f t="shared" si="170"/>
        <v>2475342692.2221179</v>
      </c>
      <c r="J357" s="236">
        <f t="shared" si="170"/>
        <v>2554802143.7576699</v>
      </c>
      <c r="K357" s="236">
        <f t="shared" si="170"/>
        <v>2676004829.4055157</v>
      </c>
      <c r="L357" s="236">
        <f t="shared" si="170"/>
        <v>2843024848.793159</v>
      </c>
    </row>
    <row r="358" spans="1:14" ht="15.6" x14ac:dyDescent="0.35">
      <c r="A358" s="44"/>
      <c r="B358" s="104" t="s">
        <v>103</v>
      </c>
      <c r="C358" s="61"/>
      <c r="D358" s="61"/>
      <c r="E358" s="61"/>
      <c r="F358" s="236">
        <f t="shared" si="170"/>
        <v>-1743300000</v>
      </c>
      <c r="G358" s="236">
        <f t="shared" si="170"/>
        <v>-1311100000</v>
      </c>
      <c r="H358" s="236">
        <f t="shared" si="170"/>
        <v>-1320555358.4558823</v>
      </c>
      <c r="I358" s="236">
        <f t="shared" si="170"/>
        <v>-1318954685.2941177</v>
      </c>
      <c r="J358" s="236">
        <f t="shared" si="170"/>
        <v>-1358523325.8529415</v>
      </c>
      <c r="K358" s="236">
        <f t="shared" si="170"/>
        <v>-1421142760.4039755</v>
      </c>
      <c r="L358" s="236">
        <f t="shared" si="170"/>
        <v>-1508816336.8535128</v>
      </c>
    </row>
    <row r="359" spans="1:14" ht="15.6" x14ac:dyDescent="0.35">
      <c r="A359" s="44"/>
      <c r="B359" s="61"/>
      <c r="C359" s="61"/>
      <c r="D359" s="61"/>
      <c r="E359" s="61"/>
      <c r="F359" s="90"/>
      <c r="G359" s="91"/>
      <c r="H359" s="86"/>
      <c r="I359" s="86"/>
      <c r="J359" s="86"/>
      <c r="K359" s="86"/>
      <c r="L359" s="86"/>
    </row>
    <row r="360" spans="1:14" ht="15.6" x14ac:dyDescent="0.35">
      <c r="A360" s="44"/>
      <c r="B360" s="61" t="s">
        <v>104</v>
      </c>
      <c r="C360" s="61"/>
      <c r="D360" s="61"/>
      <c r="E360" s="61"/>
      <c r="F360" s="366">
        <f>F344/F357</f>
        <v>1.8377039025397481E-2</v>
      </c>
      <c r="G360" s="366">
        <f>G344/G357</f>
        <v>1.9856324158527727E-2</v>
      </c>
      <c r="H360" s="297">
        <v>0.02</v>
      </c>
      <c r="I360" s="297">
        <v>0.02</v>
      </c>
      <c r="J360" s="297">
        <v>0.02</v>
      </c>
      <c r="K360" s="297">
        <v>0.02</v>
      </c>
      <c r="L360" s="297">
        <v>0.02</v>
      </c>
    </row>
    <row r="361" spans="1:14" ht="15.6" x14ac:dyDescent="0.35">
      <c r="A361" s="44"/>
      <c r="B361" s="61" t="s">
        <v>105</v>
      </c>
      <c r="C361" s="61"/>
      <c r="D361" s="61"/>
      <c r="E361" s="61"/>
      <c r="F361" s="366">
        <f t="shared" ref="F361:L361" si="171">F345/ABS(F358)</f>
        <v>0.29845694946366086</v>
      </c>
      <c r="G361" s="366">
        <f t="shared" si="171"/>
        <v>0.30684158340324919</v>
      </c>
      <c r="H361" s="367">
        <f t="shared" si="171"/>
        <v>0.24657534246575344</v>
      </c>
      <c r="I361" s="367">
        <f t="shared" si="171"/>
        <v>0.24657534246575338</v>
      </c>
      <c r="J361" s="367">
        <f t="shared" si="171"/>
        <v>0.24657534246575341</v>
      </c>
      <c r="K361" s="367">
        <f t="shared" si="171"/>
        <v>0.24657534246575341</v>
      </c>
      <c r="L361" s="367">
        <f t="shared" si="171"/>
        <v>0.24657534246575341</v>
      </c>
    </row>
    <row r="362" spans="1:14" ht="15.6" x14ac:dyDescent="0.35">
      <c r="A362" s="44"/>
      <c r="B362" s="61" t="s">
        <v>106</v>
      </c>
      <c r="C362" s="44"/>
      <c r="D362" s="44"/>
      <c r="E362" s="44"/>
      <c r="F362" s="350">
        <f>F348/ABS(F358)</f>
        <v>0.38530373429702292</v>
      </c>
      <c r="G362" s="350">
        <f>G348/ABS(G358)</f>
        <v>0.47235146060559835</v>
      </c>
      <c r="H362" s="315">
        <v>0.45</v>
      </c>
      <c r="I362" s="315">
        <v>0.45</v>
      </c>
      <c r="J362" s="315">
        <v>0.45</v>
      </c>
      <c r="K362" s="315">
        <v>0.45</v>
      </c>
      <c r="L362" s="315">
        <v>0.45</v>
      </c>
      <c r="N362" t="s">
        <v>366</v>
      </c>
    </row>
    <row r="363" spans="1:14" ht="15.6" x14ac:dyDescent="0.35">
      <c r="A363" s="44"/>
      <c r="B363" s="61"/>
      <c r="C363" s="44"/>
      <c r="D363" s="44"/>
      <c r="E363" s="44"/>
      <c r="F363" s="243"/>
      <c r="G363" s="243"/>
      <c r="H363" s="145"/>
      <c r="I363" s="145"/>
      <c r="J363" s="145"/>
      <c r="K363" s="145"/>
      <c r="L363" s="145"/>
    </row>
    <row r="364" spans="1:14" ht="15.6" x14ac:dyDescent="0.35">
      <c r="A364" s="44"/>
      <c r="B364" s="196" t="s">
        <v>252</v>
      </c>
      <c r="C364" s="197"/>
      <c r="D364" s="198"/>
      <c r="E364" s="198"/>
      <c r="F364" s="199"/>
      <c r="G364" s="199"/>
      <c r="H364" s="199"/>
      <c r="I364" s="199"/>
      <c r="J364" s="199"/>
      <c r="K364" s="199"/>
      <c r="L364" s="200"/>
    </row>
    <row r="365" spans="1:14" ht="15.6" x14ac:dyDescent="0.35">
      <c r="A365" s="44"/>
      <c r="B365" s="61"/>
      <c r="C365" s="44"/>
      <c r="D365" s="44"/>
      <c r="E365" s="44"/>
      <c r="F365" s="88"/>
      <c r="G365" s="92"/>
      <c r="H365" s="89"/>
      <c r="I365" s="89"/>
      <c r="J365" s="89"/>
      <c r="K365" s="89"/>
      <c r="L365" s="89"/>
    </row>
    <row r="366" spans="1:14" ht="15.6" x14ac:dyDescent="0.35">
      <c r="A366" s="44"/>
      <c r="B366" s="61" t="s">
        <v>107</v>
      </c>
      <c r="C366" s="44"/>
      <c r="D366" s="44"/>
      <c r="E366" s="44"/>
      <c r="F366" s="368">
        <f t="shared" ref="F366:L366" si="172">F344/F357*$D$340</f>
        <v>6.7076192442700808</v>
      </c>
      <c r="G366" s="368">
        <f t="shared" si="172"/>
        <v>7.2475583178626204</v>
      </c>
      <c r="H366" s="368">
        <f t="shared" si="172"/>
        <v>7.3</v>
      </c>
      <c r="I366" s="368">
        <f t="shared" si="172"/>
        <v>7.3</v>
      </c>
      <c r="J366" s="368">
        <f t="shared" si="172"/>
        <v>7.3</v>
      </c>
      <c r="K366" s="368">
        <f t="shared" si="172"/>
        <v>7.3</v>
      </c>
      <c r="L366" s="368">
        <f t="shared" si="172"/>
        <v>7.3</v>
      </c>
    </row>
    <row r="367" spans="1:14" ht="15.6" x14ac:dyDescent="0.35">
      <c r="A367" s="44"/>
      <c r="B367" s="61" t="s">
        <v>108</v>
      </c>
      <c r="C367" s="44"/>
      <c r="D367" s="44"/>
      <c r="E367" s="44"/>
      <c r="F367" s="368">
        <f>F345/ABS(F358)*$D$340</f>
        <v>108.93678655423621</v>
      </c>
      <c r="G367" s="368">
        <f>G345/ABS(G358)*$D$340</f>
        <v>111.99717794218596</v>
      </c>
      <c r="H367" s="369">
        <v>90</v>
      </c>
      <c r="I367" s="369">
        <v>90</v>
      </c>
      <c r="J367" s="369">
        <v>90</v>
      </c>
      <c r="K367" s="369">
        <v>90</v>
      </c>
      <c r="L367" s="369">
        <v>90</v>
      </c>
    </row>
    <row r="368" spans="1:14" ht="15.6" x14ac:dyDescent="0.35">
      <c r="A368" s="44"/>
      <c r="B368" s="61" t="s">
        <v>109</v>
      </c>
      <c r="C368" s="44"/>
      <c r="D368" s="44"/>
      <c r="E368" s="44"/>
      <c r="F368" s="368">
        <f t="shared" ref="F368:L368" si="173">ABS(F348/F358)*$D$340</f>
        <v>140.63586301841337</v>
      </c>
      <c r="G368" s="368">
        <f t="shared" si="173"/>
        <v>172.40828312104341</v>
      </c>
      <c r="H368" s="368">
        <f t="shared" si="173"/>
        <v>164.25</v>
      </c>
      <c r="I368" s="368">
        <f t="shared" si="173"/>
        <v>164.25</v>
      </c>
      <c r="J368" s="368">
        <f t="shared" si="173"/>
        <v>164.25000000000003</v>
      </c>
      <c r="K368" s="368">
        <f t="shared" si="173"/>
        <v>164.25000000000003</v>
      </c>
      <c r="L368" s="368">
        <f t="shared" si="173"/>
        <v>164.25000000000003</v>
      </c>
    </row>
    <row r="369" spans="1:12" ht="15.6" x14ac:dyDescent="0.35">
      <c r="A369" s="44"/>
      <c r="B369" s="61"/>
      <c r="C369" s="44"/>
      <c r="D369" s="44"/>
      <c r="E369" s="44"/>
      <c r="F369" s="88"/>
      <c r="G369" s="92"/>
      <c r="H369" s="89"/>
      <c r="I369" s="89"/>
      <c r="J369" s="89"/>
      <c r="K369" s="89"/>
      <c r="L369" s="89"/>
    </row>
    <row r="370" spans="1:12" ht="15.6" x14ac:dyDescent="0.35">
      <c r="A370" s="44"/>
      <c r="B370" s="61" t="s">
        <v>365</v>
      </c>
      <c r="C370" s="61"/>
      <c r="D370" s="61"/>
      <c r="E370" s="61"/>
      <c r="F370" s="368">
        <f>F367+F366-F368</f>
        <v>-24.99145721990709</v>
      </c>
      <c r="G370" s="368">
        <f t="shared" ref="G370:L370" si="174">G367+G366-G368</f>
        <v>-53.163546860994828</v>
      </c>
      <c r="H370" s="368">
        <f t="shared" si="174"/>
        <v>-66.95</v>
      </c>
      <c r="I370" s="368">
        <f t="shared" si="174"/>
        <v>-66.95</v>
      </c>
      <c r="J370" s="368">
        <f t="shared" si="174"/>
        <v>-66.950000000000031</v>
      </c>
      <c r="K370" s="368">
        <f t="shared" si="174"/>
        <v>-66.950000000000031</v>
      </c>
      <c r="L370" s="368">
        <f t="shared" si="174"/>
        <v>-66.950000000000031</v>
      </c>
    </row>
    <row r="371" spans="1:12" ht="15.6" x14ac:dyDescent="0.35">
      <c r="A371" s="44"/>
      <c r="B371" s="61"/>
      <c r="C371" s="44"/>
      <c r="D371" s="44"/>
      <c r="E371" s="44"/>
      <c r="F371" s="88"/>
      <c r="G371" s="92"/>
      <c r="H371" s="89"/>
      <c r="I371" s="89"/>
      <c r="J371" s="89"/>
      <c r="K371" s="89"/>
      <c r="L371" s="89"/>
    </row>
    <row r="372" spans="1:12" ht="15.6" x14ac:dyDescent="0.35">
      <c r="A372" s="44"/>
      <c r="B372" s="44"/>
      <c r="C372" s="44"/>
      <c r="D372" s="44"/>
      <c r="E372" s="44"/>
      <c r="F372" s="88"/>
      <c r="G372" s="88"/>
      <c r="H372" s="89"/>
      <c r="I372" s="89"/>
      <c r="J372" s="89"/>
      <c r="K372" s="44"/>
      <c r="L372" s="44"/>
    </row>
    <row r="373" spans="1:12" ht="28.8" x14ac:dyDescent="0.65">
      <c r="A373" s="44"/>
      <c r="B373" s="45" t="str">
        <f>Cover!$B$2</f>
        <v>ASOS PLC</v>
      </c>
      <c r="C373" s="45"/>
      <c r="D373" s="46"/>
      <c r="E373" s="47"/>
      <c r="F373" s="47"/>
      <c r="G373" s="47"/>
      <c r="H373" s="47"/>
      <c r="I373" s="47"/>
      <c r="J373" s="47"/>
      <c r="K373" s="47"/>
      <c r="L373" s="47"/>
    </row>
    <row r="374" spans="1:12" ht="21" x14ac:dyDescent="0.5">
      <c r="A374" s="44"/>
      <c r="B374" s="48" t="s">
        <v>70</v>
      </c>
      <c r="C374" s="49"/>
      <c r="D374" s="47"/>
      <c r="E374" s="47"/>
      <c r="F374" s="47"/>
      <c r="G374" s="47"/>
      <c r="H374" s="47"/>
      <c r="I374" s="47"/>
      <c r="J374" s="47"/>
      <c r="K374" s="47"/>
      <c r="L374" s="159" t="str">
        <f>"Currently Running: "&amp;CHOOSE(Assumptions!$B$10,Assumptions!$F$15,Assumptions!$F$16,Assumptions!$F$17)&amp;"Scenario"</f>
        <v>Currently Running: Base Scenario</v>
      </c>
    </row>
    <row r="375" spans="1:12" ht="15.6" x14ac:dyDescent="0.35">
      <c r="A375" s="44"/>
      <c r="B375" s="50"/>
      <c r="C375" s="50"/>
      <c r="D375" s="50"/>
      <c r="E375" s="50"/>
      <c r="F375" s="50"/>
      <c r="G375" s="50"/>
      <c r="H375" s="50"/>
      <c r="I375" s="50"/>
      <c r="J375" s="50"/>
      <c r="K375" s="51"/>
      <c r="L375" s="51"/>
    </row>
    <row r="376" spans="1:12" ht="15.6" x14ac:dyDescent="0.35">
      <c r="A376" s="44"/>
      <c r="B376" s="51"/>
      <c r="C376" s="51"/>
      <c r="D376" s="51"/>
      <c r="E376" s="51"/>
      <c r="F376" s="292" t="s">
        <v>361</v>
      </c>
      <c r="G376" s="293"/>
      <c r="H376" s="293"/>
      <c r="I376" s="293"/>
      <c r="J376" s="293"/>
      <c r="K376" s="293"/>
      <c r="L376" s="294"/>
    </row>
    <row r="377" spans="1:12" ht="15.6" x14ac:dyDescent="0.35">
      <c r="A377" s="44"/>
      <c r="B377" s="51"/>
      <c r="C377" s="51"/>
      <c r="D377" s="51"/>
      <c r="E377" s="51"/>
      <c r="F377" s="53">
        <f>$F$7</f>
        <v>2024</v>
      </c>
      <c r="G377" s="53">
        <f>F377+1</f>
        <v>2025</v>
      </c>
      <c r="H377" s="54">
        <f>G377+1</f>
        <v>2026</v>
      </c>
      <c r="I377" s="54">
        <f t="shared" ref="I377" si="175">H377+1</f>
        <v>2027</v>
      </c>
      <c r="J377" s="54">
        <f t="shared" ref="J377" si="176">I377+1</f>
        <v>2028</v>
      </c>
      <c r="K377" s="54">
        <f t="shared" ref="K377" si="177">J377+1</f>
        <v>2029</v>
      </c>
      <c r="L377" s="54">
        <f t="shared" ref="L377" si="178">K377+1</f>
        <v>2030</v>
      </c>
    </row>
    <row r="378" spans="1:12" ht="16.2" thickBot="1" x14ac:dyDescent="0.4">
      <c r="A378" s="44"/>
      <c r="B378" s="55" t="s">
        <v>187</v>
      </c>
      <c r="C378" s="55"/>
      <c r="D378" s="55"/>
      <c r="E378" s="55"/>
      <c r="F378" s="56" t="s">
        <v>50</v>
      </c>
      <c r="G378" s="56"/>
      <c r="H378" s="57"/>
      <c r="I378" s="57"/>
      <c r="J378" s="57"/>
      <c r="K378" s="57"/>
      <c r="L378" s="57" t="s">
        <v>37</v>
      </c>
    </row>
    <row r="379" spans="1:12" ht="15.6" x14ac:dyDescent="0.35">
      <c r="A379" s="44"/>
      <c r="B379" s="51"/>
      <c r="C379" s="51"/>
      <c r="D379" s="51"/>
      <c r="E379" s="51"/>
      <c r="F379" s="71"/>
      <c r="G379" s="71"/>
      <c r="H379" s="72"/>
      <c r="I379" s="72"/>
      <c r="J379" s="72"/>
      <c r="K379" s="72"/>
      <c r="L379" s="72"/>
    </row>
    <row r="380" spans="1:12" ht="15.6" x14ac:dyDescent="0.35">
      <c r="A380" s="44"/>
      <c r="B380" s="196" t="s">
        <v>244</v>
      </c>
      <c r="C380" s="197"/>
      <c r="D380" s="198"/>
      <c r="E380" s="198"/>
      <c r="F380" s="199"/>
      <c r="G380" s="199"/>
      <c r="H380" s="199"/>
      <c r="I380" s="199"/>
      <c r="J380" s="199"/>
      <c r="K380" s="199"/>
      <c r="L380" s="200"/>
    </row>
    <row r="381" spans="1:12" ht="15.6" x14ac:dyDescent="0.35">
      <c r="A381" s="44"/>
      <c r="B381" s="51"/>
      <c r="C381" s="51"/>
      <c r="D381" s="51"/>
      <c r="E381" s="51"/>
      <c r="F381" s="71"/>
      <c r="G381" s="71"/>
      <c r="H381" s="72"/>
      <c r="I381" s="72"/>
      <c r="J381" s="72"/>
      <c r="K381" s="72"/>
      <c r="L381" s="72"/>
    </row>
    <row r="382" spans="1:12" ht="15.6" x14ac:dyDescent="0.35">
      <c r="A382" s="44"/>
      <c r="B382" s="61" t="s">
        <v>72</v>
      </c>
      <c r="C382" s="61"/>
      <c r="D382" s="61"/>
      <c r="E382" s="61"/>
      <c r="F382" s="188">
        <v>0</v>
      </c>
      <c r="G382" s="188">
        <v>0</v>
      </c>
      <c r="H382" s="313">
        <v>0</v>
      </c>
      <c r="I382" s="313">
        <v>0</v>
      </c>
      <c r="J382" s="313">
        <v>0</v>
      </c>
      <c r="K382" s="313">
        <v>0</v>
      </c>
      <c r="L382" s="313">
        <v>0</v>
      </c>
    </row>
    <row r="383" spans="1:12" ht="15.6" x14ac:dyDescent="0.35">
      <c r="A383" s="44"/>
      <c r="B383" s="63"/>
      <c r="C383" s="61"/>
      <c r="D383" s="61"/>
      <c r="E383" s="61"/>
      <c r="F383" s="73"/>
      <c r="G383" s="118"/>
      <c r="H383" s="122"/>
      <c r="I383" s="122"/>
      <c r="J383" s="122"/>
      <c r="K383" s="122"/>
      <c r="L383" s="122"/>
    </row>
    <row r="384" spans="1:12" ht="15.6" x14ac:dyDescent="0.35">
      <c r="A384" s="44"/>
      <c r="B384" s="61" t="s">
        <v>78</v>
      </c>
      <c r="C384" s="61"/>
      <c r="D384" s="61"/>
      <c r="E384" s="61"/>
      <c r="F384" s="73"/>
      <c r="G384" s="370">
        <v>10</v>
      </c>
      <c r="H384" s="122"/>
      <c r="I384" s="122"/>
      <c r="J384" s="122"/>
      <c r="K384" s="122"/>
      <c r="L384" s="122"/>
    </row>
    <row r="385" spans="1:12" ht="15.6" x14ac:dyDescent="0.35">
      <c r="A385" s="44"/>
      <c r="B385" s="61" t="s">
        <v>76</v>
      </c>
      <c r="C385" s="61"/>
      <c r="D385" s="61"/>
      <c r="E385" s="61"/>
      <c r="F385" s="73"/>
      <c r="G385" s="371" t="s">
        <v>77</v>
      </c>
      <c r="H385" s="122"/>
      <c r="I385" s="122"/>
      <c r="J385" s="122"/>
      <c r="K385" s="122"/>
      <c r="L385" s="122"/>
    </row>
    <row r="386" spans="1:12" ht="15.6" x14ac:dyDescent="0.35">
      <c r="A386" s="44"/>
      <c r="B386" s="63"/>
      <c r="C386" s="61"/>
      <c r="D386" s="61"/>
      <c r="E386" s="61"/>
      <c r="F386" s="73"/>
      <c r="G386" s="118"/>
      <c r="H386" s="122"/>
      <c r="I386" s="122"/>
      <c r="J386" s="122"/>
      <c r="K386" s="122"/>
      <c r="L386" s="122"/>
    </row>
    <row r="387" spans="1:12" ht="15.6" x14ac:dyDescent="0.35">
      <c r="A387" s="44"/>
      <c r="B387" s="61" cm="1">
        <f t="array" ref="B387:B391">TRANSPOSE(H377:L377)</f>
        <v>2026</v>
      </c>
      <c r="C387" s="186" cm="1">
        <f t="array" ref="C387:C391">TRANSPOSE(H382:L382)</f>
        <v>0</v>
      </c>
      <c r="D387" s="61"/>
      <c r="E387" s="61"/>
      <c r="F387" s="73"/>
      <c r="G387" s="118"/>
      <c r="H387" s="186">
        <f>MIN(IF($B387=H$377, 0.5*$C387/$G$384, $C387/$G$384), ($C387-SUM($G387:G387)))</f>
        <v>0</v>
      </c>
      <c r="I387" s="186">
        <f>MIN(IF($B387=I$377, 0.5*$C387/$G$384, $C387/$G$384), ($C387-SUM($G387:H387)))</f>
        <v>0</v>
      </c>
      <c r="J387" s="186">
        <f>MIN(IF($B387=J$377, 0.5*$C387/$G$384, $C387/$G$384), ($C387-SUM($G387:I387)))</f>
        <v>0</v>
      </c>
      <c r="K387" s="186">
        <f>MIN(IF($B387=K$377, 0.5*$C387/$G$384, $C387/$G$384), ($C387-SUM($G387:J387)))</f>
        <v>0</v>
      </c>
      <c r="L387" s="186">
        <f>MIN(IF($B387=L$377, 0.5*$C387/$G$384, $C387/$G$384), ($C387-SUM($G387:K387)))</f>
        <v>0</v>
      </c>
    </row>
    <row r="388" spans="1:12" ht="15.6" x14ac:dyDescent="0.35">
      <c r="A388" s="44"/>
      <c r="B388" s="61">
        <v>2027</v>
      </c>
      <c r="C388" s="186">
        <v>0</v>
      </c>
      <c r="D388" s="61"/>
      <c r="E388" s="61"/>
      <c r="F388" s="73"/>
      <c r="G388" s="118"/>
      <c r="H388" s="372"/>
      <c r="I388" s="186">
        <f>MIN(IF($B388=I$377, 0.5*$C388/$G$384, $C388/$G$384), ($C388-SUM($G388:H388)))</f>
        <v>0</v>
      </c>
      <c r="J388" s="186">
        <f>MIN(IF($B388=J$377, 0.5*$C388/$G$384, $C388/$G$384), ($C388-SUM($G388:I388)))</f>
        <v>0</v>
      </c>
      <c r="K388" s="186">
        <f>MIN(IF($B388=K$377, 0.5*$C388/$G$384, $C388/$G$384), ($C388-SUM($G388:J388)))</f>
        <v>0</v>
      </c>
      <c r="L388" s="186">
        <f>MIN(IF($B388=L$377, 0.5*$C388/$G$384, $C388/$G$384), ($C388-SUM($G388:K388)))</f>
        <v>0</v>
      </c>
    </row>
    <row r="389" spans="1:12" ht="15.6" x14ac:dyDescent="0.35">
      <c r="A389" s="44"/>
      <c r="B389" s="61">
        <v>2028</v>
      </c>
      <c r="C389" s="186">
        <v>0</v>
      </c>
      <c r="D389" s="61"/>
      <c r="E389" s="61"/>
      <c r="F389" s="73"/>
      <c r="G389" s="118"/>
      <c r="H389" s="372"/>
      <c r="I389" s="372"/>
      <c r="J389" s="186">
        <f>MIN(IF($B389=J$377, 0.5*$C389/$G$384, $C389/$G$384), ($C389-SUM($G389:I389)))</f>
        <v>0</v>
      </c>
      <c r="K389" s="186">
        <f>MIN(IF($B389=K$377, 0.5*$C389/$G$384, $C389/$G$384), ($C389-SUM($G389:J389)))</f>
        <v>0</v>
      </c>
      <c r="L389" s="186">
        <f>MIN(IF($B389=L$377, 0.5*$C389/$G$384, $C389/$G$384), ($C389-SUM($G389:K389)))</f>
        <v>0</v>
      </c>
    </row>
    <row r="390" spans="1:12" ht="15.6" x14ac:dyDescent="0.35">
      <c r="A390" s="44"/>
      <c r="B390" s="61">
        <v>2029</v>
      </c>
      <c r="C390" s="186">
        <v>0</v>
      </c>
      <c r="D390" s="61"/>
      <c r="E390" s="61"/>
      <c r="F390" s="73"/>
      <c r="G390" s="118"/>
      <c r="H390" s="372"/>
      <c r="I390" s="372"/>
      <c r="J390" s="372"/>
      <c r="K390" s="186">
        <f>MIN(IF($B390=K$377, 0.5*$C390/$G$384, $C390/$G$384), ($C390-SUM($G390:J390)))</f>
        <v>0</v>
      </c>
      <c r="L390" s="186">
        <f>MIN(IF($B390=L$377, 0.5*$C390/$G$384, $C390/$G$384), ($C390-SUM($G390:K390)))</f>
        <v>0</v>
      </c>
    </row>
    <row r="391" spans="1:12" ht="15.6" x14ac:dyDescent="0.35">
      <c r="A391" s="44"/>
      <c r="B391" s="61">
        <v>2030</v>
      </c>
      <c r="C391" s="186">
        <v>0</v>
      </c>
      <c r="D391" s="61"/>
      <c r="E391" s="61"/>
      <c r="F391" s="73"/>
      <c r="G391" s="118"/>
      <c r="H391" s="372"/>
      <c r="I391" s="372"/>
      <c r="J391" s="372"/>
      <c r="K391" s="372"/>
      <c r="L391" s="186">
        <f>MIN(IF($B391=L$377, 0.5*$C391/$G$384, $C391/$G$384), ($C391-SUM($G391:K391)))</f>
        <v>0</v>
      </c>
    </row>
    <row r="392" spans="1:12" ht="15.6" x14ac:dyDescent="0.35">
      <c r="A392" s="44"/>
      <c r="B392" s="61"/>
      <c r="C392" s="186"/>
      <c r="D392" s="61"/>
      <c r="E392" s="61"/>
      <c r="F392" s="73"/>
      <c r="G392" s="118"/>
      <c r="H392" s="186"/>
      <c r="I392" s="186"/>
      <c r="J392" s="186"/>
      <c r="K392" s="186"/>
      <c r="L392" s="186"/>
    </row>
    <row r="393" spans="1:12" ht="15.6" x14ac:dyDescent="0.35">
      <c r="A393" s="44"/>
      <c r="B393" s="103" t="s">
        <v>79</v>
      </c>
      <c r="C393" s="61"/>
      <c r="D393" s="61"/>
      <c r="E393" s="61"/>
      <c r="F393" s="73"/>
      <c r="G393" s="73"/>
      <c r="H393" s="236">
        <f>SUM(H387:H391)</f>
        <v>0</v>
      </c>
      <c r="I393" s="236">
        <f t="shared" ref="I393:L393" si="179">SUM(I387:I391)</f>
        <v>0</v>
      </c>
      <c r="J393" s="236">
        <f t="shared" si="179"/>
        <v>0</v>
      </c>
      <c r="K393" s="236">
        <f t="shared" si="179"/>
        <v>0</v>
      </c>
      <c r="L393" s="236">
        <f t="shared" si="179"/>
        <v>0</v>
      </c>
    </row>
    <row r="394" spans="1:12" ht="15.6" x14ac:dyDescent="0.35">
      <c r="A394" s="44"/>
      <c r="B394" s="103" t="s">
        <v>80</v>
      </c>
      <c r="C394" s="61"/>
      <c r="D394" s="61"/>
      <c r="E394" s="61"/>
      <c r="F394" s="73"/>
      <c r="G394" s="118"/>
      <c r="H394" s="236">
        <f>MIN(($H$397)/$G$384, ($H$397) - SUM($G394:G394))</f>
        <v>17210000</v>
      </c>
      <c r="I394" s="236">
        <f>MIN(($H$397)/$G$384, ($H$397) - SUM($G394:H394))</f>
        <v>17210000</v>
      </c>
      <c r="J394" s="236">
        <f>MIN(($H$397)/$G$384, ($H$397) - SUM($G394:I394))</f>
        <v>17210000</v>
      </c>
      <c r="K394" s="236">
        <f>MIN(($H$397)/$G$384, ($H$397) - SUM($G394:J394))</f>
        <v>17210000</v>
      </c>
      <c r="L394" s="236">
        <f>MIN(($H$397)/$G$384, ($H$397) - SUM($G394:K394))</f>
        <v>17210000</v>
      </c>
    </row>
    <row r="395" spans="1:12" ht="15.6" x14ac:dyDescent="0.35">
      <c r="A395" s="44"/>
      <c r="B395" s="206" t="s">
        <v>81</v>
      </c>
      <c r="C395" s="185"/>
      <c r="D395" s="185"/>
      <c r="E395" s="204"/>
      <c r="F395" s="246"/>
      <c r="G395" s="246"/>
      <c r="H395" s="246">
        <f>SUM(H393:H394)</f>
        <v>17210000</v>
      </c>
      <c r="I395" s="246">
        <f t="shared" ref="I395:L395" si="180">SUM(I393:I394)</f>
        <v>17210000</v>
      </c>
      <c r="J395" s="246">
        <f t="shared" si="180"/>
        <v>17210000</v>
      </c>
      <c r="K395" s="246">
        <f t="shared" si="180"/>
        <v>17210000</v>
      </c>
      <c r="L395" s="246">
        <f t="shared" si="180"/>
        <v>17210000</v>
      </c>
    </row>
    <row r="396" spans="1:12" ht="15.6" x14ac:dyDescent="0.35">
      <c r="A396" s="44"/>
      <c r="B396" s="63"/>
      <c r="C396" s="61"/>
      <c r="D396" s="61"/>
      <c r="E396" s="61"/>
      <c r="F396" s="73"/>
      <c r="G396" s="118"/>
      <c r="H396" s="122"/>
      <c r="I396" s="122"/>
      <c r="J396" s="122"/>
      <c r="K396" s="122"/>
      <c r="L396" s="122"/>
    </row>
    <row r="397" spans="1:12" ht="15.6" x14ac:dyDescent="0.35">
      <c r="A397" s="44"/>
      <c r="B397" s="238" t="s">
        <v>74</v>
      </c>
      <c r="C397" s="239"/>
      <c r="D397" s="239"/>
      <c r="E397" s="240"/>
      <c r="F397" s="237"/>
      <c r="G397" s="225"/>
      <c r="H397" s="225">
        <f>G61</f>
        <v>172100000</v>
      </c>
      <c r="I397" s="225">
        <f>H401</f>
        <v>154890000</v>
      </c>
      <c r="J397" s="225">
        <f t="shared" ref="J397:L397" si="181">I401</f>
        <v>137680000</v>
      </c>
      <c r="K397" s="225">
        <f t="shared" si="181"/>
        <v>120470000</v>
      </c>
      <c r="L397" s="225">
        <f t="shared" si="181"/>
        <v>103260000</v>
      </c>
    </row>
    <row r="398" spans="1:12" ht="15.6" x14ac:dyDescent="0.35">
      <c r="A398" s="44"/>
      <c r="B398" s="103" t="s">
        <v>72</v>
      </c>
      <c r="C398" s="63"/>
      <c r="D398" s="63"/>
      <c r="E398" s="63"/>
      <c r="F398" s="127"/>
      <c r="G398" s="127"/>
      <c r="H398" s="236">
        <f>H382</f>
        <v>0</v>
      </c>
      <c r="I398" s="236">
        <f>I382</f>
        <v>0</v>
      </c>
      <c r="J398" s="236">
        <f>J382</f>
        <v>0</v>
      </c>
      <c r="K398" s="236">
        <f>K382</f>
        <v>0</v>
      </c>
      <c r="L398" s="236">
        <f>L382</f>
        <v>0</v>
      </c>
    </row>
    <row r="399" spans="1:12" ht="15.6" x14ac:dyDescent="0.35">
      <c r="A399" s="44"/>
      <c r="B399" s="103" t="s">
        <v>73</v>
      </c>
      <c r="C399" s="61"/>
      <c r="D399" s="61"/>
      <c r="E399" s="61"/>
      <c r="F399" s="373"/>
      <c r="G399" s="373"/>
      <c r="H399" s="236">
        <f>-H395</f>
        <v>-17210000</v>
      </c>
      <c r="I399" s="236">
        <f>-I395</f>
        <v>-17210000</v>
      </c>
      <c r="J399" s="236">
        <f>-J395</f>
        <v>-17210000</v>
      </c>
      <c r="K399" s="236">
        <f>-K395</f>
        <v>-17210000</v>
      </c>
      <c r="L399" s="236">
        <f>-L395</f>
        <v>-17210000</v>
      </c>
    </row>
    <row r="400" spans="1:12" ht="15.6" x14ac:dyDescent="0.35">
      <c r="A400" s="44"/>
      <c r="B400" s="103" t="s">
        <v>254</v>
      </c>
      <c r="C400" s="61"/>
      <c r="D400" s="61"/>
      <c r="E400" s="61"/>
      <c r="F400" s="373"/>
      <c r="G400" s="373"/>
      <c r="H400" s="312">
        <v>0</v>
      </c>
      <c r="I400" s="312">
        <v>0</v>
      </c>
      <c r="J400" s="312">
        <v>0</v>
      </c>
      <c r="K400" s="312">
        <v>0</v>
      </c>
      <c r="L400" s="312">
        <v>0</v>
      </c>
    </row>
    <row r="401" spans="1:12" ht="15.6" x14ac:dyDescent="0.35">
      <c r="A401" s="44"/>
      <c r="B401" s="230" t="s">
        <v>13</v>
      </c>
      <c r="C401" s="231"/>
      <c r="D401" s="231"/>
      <c r="E401" s="232"/>
      <c r="F401" s="228"/>
      <c r="G401" s="229"/>
      <c r="H401" s="229">
        <f>SUM(H397:H399)</f>
        <v>154890000</v>
      </c>
      <c r="I401" s="229">
        <f>SUM(I397:I399)</f>
        <v>137680000</v>
      </c>
      <c r="J401" s="229">
        <f>SUM(J397:J399)</f>
        <v>120470000</v>
      </c>
      <c r="K401" s="229">
        <f>SUM(K397:K399)</f>
        <v>103260000</v>
      </c>
      <c r="L401" s="229">
        <f>SUM(L397:L399)</f>
        <v>86050000</v>
      </c>
    </row>
    <row r="402" spans="1:12" ht="15.6" x14ac:dyDescent="0.35">
      <c r="A402" s="44"/>
      <c r="B402" s="61"/>
      <c r="C402" s="61"/>
      <c r="D402" s="61"/>
      <c r="E402" s="61"/>
      <c r="F402" s="73"/>
      <c r="G402" s="93"/>
      <c r="H402" s="74"/>
      <c r="I402" s="74"/>
      <c r="J402" s="74"/>
      <c r="K402" s="74"/>
      <c r="L402" s="74"/>
    </row>
    <row r="403" spans="1:12" ht="15.6" x14ac:dyDescent="0.35">
      <c r="A403" s="44"/>
      <c r="B403" s="196" t="s">
        <v>3</v>
      </c>
      <c r="C403" s="197"/>
      <c r="D403" s="198"/>
      <c r="E403" s="198"/>
      <c r="F403" s="199"/>
      <c r="G403" s="199"/>
      <c r="H403" s="199"/>
      <c r="I403" s="199"/>
      <c r="J403" s="199"/>
      <c r="K403" s="199"/>
      <c r="L403" s="200"/>
    </row>
    <row r="404" spans="1:12" ht="15.6" x14ac:dyDescent="0.35">
      <c r="A404" s="44"/>
      <c r="B404" s="76"/>
      <c r="C404" s="63"/>
      <c r="D404" s="61"/>
      <c r="E404" s="61"/>
      <c r="F404" s="73"/>
      <c r="G404" s="73"/>
      <c r="H404" s="74"/>
      <c r="I404" s="74"/>
      <c r="J404" s="74"/>
      <c r="K404" s="74"/>
      <c r="L404" s="74"/>
    </row>
    <row r="405" spans="1:12" ht="15.6" x14ac:dyDescent="0.35">
      <c r="A405" s="44"/>
      <c r="B405" s="103" t="s">
        <v>85</v>
      </c>
      <c r="C405" s="63"/>
      <c r="D405" s="61"/>
      <c r="E405" s="61"/>
      <c r="F405" s="73"/>
      <c r="G405" s="73"/>
      <c r="H405" s="236">
        <f>H409</f>
        <v>-224500000</v>
      </c>
      <c r="I405" s="236">
        <f t="shared" ref="I405:L405" si="182">I409</f>
        <v>-199135000</v>
      </c>
      <c r="J405" s="236">
        <f t="shared" si="182"/>
        <v>-173009050</v>
      </c>
      <c r="K405" s="236">
        <f t="shared" si="182"/>
        <v>-146099321.5</v>
      </c>
      <c r="L405" s="236">
        <f t="shared" si="182"/>
        <v>-118382301.14500001</v>
      </c>
    </row>
    <row r="406" spans="1:12" ht="15.6" x14ac:dyDescent="0.35">
      <c r="A406" s="44"/>
      <c r="B406" s="103" t="s">
        <v>86</v>
      </c>
      <c r="C406" s="63"/>
      <c r="D406" s="61"/>
      <c r="E406" s="61"/>
      <c r="F406" s="73"/>
      <c r="G406" s="73"/>
      <c r="H406" s="328">
        <v>0.03</v>
      </c>
      <c r="I406" s="328">
        <v>0.03</v>
      </c>
      <c r="J406" s="328">
        <v>0.03</v>
      </c>
      <c r="K406" s="328">
        <v>0.03</v>
      </c>
      <c r="L406" s="328">
        <v>0.03</v>
      </c>
    </row>
    <row r="407" spans="1:12" ht="15.6" x14ac:dyDescent="0.35">
      <c r="A407" s="44"/>
      <c r="B407" s="230" t="s">
        <v>245</v>
      </c>
      <c r="C407" s="231"/>
      <c r="D407" s="231"/>
      <c r="E407" s="232"/>
      <c r="F407" s="229">
        <f>F411</f>
        <v>-5500000</v>
      </c>
      <c r="G407" s="229">
        <f>G411</f>
        <v>-6400000</v>
      </c>
      <c r="H407" s="229">
        <f>H405*H406</f>
        <v>-6735000</v>
      </c>
      <c r="I407" s="229">
        <f t="shared" ref="I407:L407" si="183">I405*I406</f>
        <v>-5974050</v>
      </c>
      <c r="J407" s="229">
        <f t="shared" si="183"/>
        <v>-5190271.5</v>
      </c>
      <c r="K407" s="229">
        <f t="shared" si="183"/>
        <v>-4382979.6449999996</v>
      </c>
      <c r="L407" s="229">
        <f t="shared" si="183"/>
        <v>-3551469.0343500003</v>
      </c>
    </row>
    <row r="408" spans="1:12" ht="15.6" x14ac:dyDescent="0.35">
      <c r="A408" s="44"/>
      <c r="B408" s="44"/>
      <c r="C408" s="63"/>
      <c r="D408" s="61"/>
      <c r="E408" s="61"/>
      <c r="F408" s="73"/>
      <c r="G408" s="73"/>
      <c r="H408" s="74"/>
      <c r="I408" s="74"/>
      <c r="J408" s="74"/>
      <c r="K408" s="74"/>
      <c r="L408" s="74"/>
    </row>
    <row r="409" spans="1:12" ht="15.6" x14ac:dyDescent="0.35">
      <c r="A409" s="44"/>
      <c r="B409" s="103" t="s">
        <v>83</v>
      </c>
      <c r="C409" s="61"/>
      <c r="D409" s="61"/>
      <c r="E409" s="61"/>
      <c r="F409" s="73"/>
      <c r="G409" s="73"/>
      <c r="H409" s="236">
        <f>G73+G84</f>
        <v>-224500000</v>
      </c>
      <c r="I409" s="236">
        <f>H413</f>
        <v>-199135000</v>
      </c>
      <c r="J409" s="236">
        <f t="shared" ref="J409:L409" si="184">I413</f>
        <v>-173009050</v>
      </c>
      <c r="K409" s="236">
        <f t="shared" si="184"/>
        <v>-146099321.5</v>
      </c>
      <c r="L409" s="236">
        <f t="shared" si="184"/>
        <v>-118382301.14500001</v>
      </c>
    </row>
    <row r="410" spans="1:12" ht="15.6" x14ac:dyDescent="0.35">
      <c r="A410" s="44"/>
      <c r="B410" s="103" t="s">
        <v>84</v>
      </c>
      <c r="C410" s="61"/>
      <c r="D410" s="61"/>
      <c r="E410" s="61"/>
      <c r="F410" s="180">
        <v>0</v>
      </c>
      <c r="G410" s="180">
        <v>0</v>
      </c>
      <c r="H410" s="236">
        <f>-H382</f>
        <v>0</v>
      </c>
      <c r="I410" s="236">
        <f>-I382</f>
        <v>0</v>
      </c>
      <c r="J410" s="236">
        <f>-J382</f>
        <v>0</v>
      </c>
      <c r="K410" s="236">
        <f>-K382</f>
        <v>0</v>
      </c>
      <c r="L410" s="236">
        <f>-L382</f>
        <v>0</v>
      </c>
    </row>
    <row r="411" spans="1:12" ht="15.6" x14ac:dyDescent="0.35">
      <c r="A411" s="44"/>
      <c r="B411" s="103" t="s">
        <v>87</v>
      </c>
      <c r="C411" s="63"/>
      <c r="D411" s="63"/>
      <c r="E411" s="63"/>
      <c r="F411" s="180">
        <v>-5500000</v>
      </c>
      <c r="G411" s="180">
        <v>-6400000</v>
      </c>
      <c r="H411" s="236">
        <f>H407</f>
        <v>-6735000</v>
      </c>
      <c r="I411" s="236">
        <f t="shared" ref="I411:L411" si="185">I407</f>
        <v>-5974050</v>
      </c>
      <c r="J411" s="236">
        <f t="shared" si="185"/>
        <v>-5190271.5</v>
      </c>
      <c r="K411" s="236">
        <f t="shared" si="185"/>
        <v>-4382979.6449999996</v>
      </c>
      <c r="L411" s="236">
        <f t="shared" si="185"/>
        <v>-3551469.0343500003</v>
      </c>
    </row>
    <row r="412" spans="1:12" ht="15.6" x14ac:dyDescent="0.35">
      <c r="A412" s="44"/>
      <c r="B412" s="103" t="s">
        <v>88</v>
      </c>
      <c r="C412" s="61"/>
      <c r="D412" s="61"/>
      <c r="E412" s="61"/>
      <c r="F412" s="180">
        <v>31000000</v>
      </c>
      <c r="G412" s="180">
        <v>32100000</v>
      </c>
      <c r="H412" s="312">
        <v>32100000</v>
      </c>
      <c r="I412" s="312">
        <v>32100000</v>
      </c>
      <c r="J412" s="312">
        <v>32100000</v>
      </c>
      <c r="K412" s="312">
        <v>32100000</v>
      </c>
      <c r="L412" s="312">
        <v>32100000</v>
      </c>
    </row>
    <row r="413" spans="1:12" ht="15.6" x14ac:dyDescent="0.35">
      <c r="A413" s="44"/>
      <c r="B413" s="230" t="s">
        <v>89</v>
      </c>
      <c r="C413" s="231"/>
      <c r="D413" s="231"/>
      <c r="E413" s="232"/>
      <c r="F413" s="228"/>
      <c r="G413" s="229"/>
      <c r="H413" s="229">
        <f>SUM(H409:H412)</f>
        <v>-199135000</v>
      </c>
      <c r="I413" s="229">
        <f>SUM(I409:I412)</f>
        <v>-173009050</v>
      </c>
      <c r="J413" s="229">
        <f t="shared" ref="J413:L413" si="186">SUM(J409:J412)</f>
        <v>-146099321.5</v>
      </c>
      <c r="K413" s="229">
        <f t="shared" si="186"/>
        <v>-118382301.14500001</v>
      </c>
      <c r="L413" s="229">
        <f t="shared" si="186"/>
        <v>-89833770.179350019</v>
      </c>
    </row>
    <row r="414" spans="1:12" ht="15.6" x14ac:dyDescent="0.35">
      <c r="A414" s="44"/>
      <c r="B414" s="61"/>
      <c r="C414" s="61"/>
      <c r="D414" s="61"/>
      <c r="E414" s="61"/>
      <c r="F414" s="81"/>
      <c r="G414" s="81"/>
      <c r="H414" s="173"/>
      <c r="I414" s="173"/>
      <c r="J414" s="173"/>
      <c r="K414" s="173"/>
      <c r="L414" s="173"/>
    </row>
    <row r="415" spans="1:12" ht="15.6" x14ac:dyDescent="0.35">
      <c r="A415" s="44"/>
      <c r="B415" s="61" t="s">
        <v>180</v>
      </c>
      <c r="C415" s="61"/>
      <c r="D415" s="61"/>
      <c r="E415" s="61"/>
      <c r="F415" s="236"/>
      <c r="G415" s="236"/>
      <c r="H415" s="236">
        <f>H412+H411</f>
        <v>25365000</v>
      </c>
      <c r="I415" s="236">
        <f>I412+I411</f>
        <v>26125950</v>
      </c>
      <c r="J415" s="236">
        <f t="shared" ref="J415:L415" si="187">J412+J411</f>
        <v>26909728.5</v>
      </c>
      <c r="K415" s="236">
        <f t="shared" si="187"/>
        <v>27717020.355</v>
      </c>
      <c r="L415" s="236">
        <f t="shared" si="187"/>
        <v>28548530.96565</v>
      </c>
    </row>
    <row r="416" spans="1:12" ht="15.6" x14ac:dyDescent="0.35">
      <c r="A416" s="44"/>
      <c r="B416" s="61" t="s">
        <v>153</v>
      </c>
      <c r="C416" s="61"/>
      <c r="D416" s="61"/>
      <c r="E416" s="61"/>
      <c r="F416" s="236"/>
      <c r="G416" s="236"/>
      <c r="H416" s="236">
        <f>-(I412+I411)</f>
        <v>-26125950</v>
      </c>
      <c r="I416" s="236">
        <f t="shared" ref="I416:L416" si="188">-(J412+J411)</f>
        <v>-26909728.5</v>
      </c>
      <c r="J416" s="236">
        <f t="shared" si="188"/>
        <v>-27717020.355</v>
      </c>
      <c r="K416" s="236">
        <f t="shared" si="188"/>
        <v>-28548530.96565</v>
      </c>
      <c r="L416" s="236">
        <f t="shared" si="188"/>
        <v>0</v>
      </c>
    </row>
    <row r="417" spans="1:12" ht="15.6" x14ac:dyDescent="0.35">
      <c r="A417" s="44"/>
      <c r="B417" s="61" t="s">
        <v>154</v>
      </c>
      <c r="C417" s="61"/>
      <c r="D417" s="61"/>
      <c r="E417" s="61"/>
      <c r="F417" s="236"/>
      <c r="G417" s="236"/>
      <c r="H417" s="236">
        <f>(H413-H416)</f>
        <v>-173009050</v>
      </c>
      <c r="I417" s="236">
        <f>(I413-I416)</f>
        <v>-146099321.5</v>
      </c>
      <c r="J417" s="236">
        <f>(J413-J416)</f>
        <v>-118382301.145</v>
      </c>
      <c r="K417" s="236">
        <f>(K413-K416)</f>
        <v>-89833770.179350019</v>
      </c>
      <c r="L417" s="236">
        <f>(L413-L416)</f>
        <v>-89833770.179350019</v>
      </c>
    </row>
    <row r="418" spans="1:12" ht="15.6" x14ac:dyDescent="0.35">
      <c r="A418" s="44"/>
      <c r="B418" s="61"/>
      <c r="C418" s="61"/>
      <c r="D418" s="61"/>
      <c r="E418" s="61"/>
      <c r="F418" s="81"/>
      <c r="G418" s="81"/>
      <c r="H418" s="105"/>
      <c r="I418" s="105"/>
      <c r="J418" s="105"/>
      <c r="K418" s="105"/>
      <c r="L418" s="105"/>
    </row>
    <row r="419" spans="1:12" ht="28.8" x14ac:dyDescent="0.65">
      <c r="A419" s="44"/>
      <c r="B419" s="45" t="str">
        <f>Cover!$B$2</f>
        <v>ASOS PLC</v>
      </c>
      <c r="C419" s="45"/>
      <c r="D419" s="46"/>
      <c r="E419" s="47"/>
      <c r="F419" s="47"/>
      <c r="G419" s="47"/>
      <c r="H419" s="47"/>
      <c r="I419" s="47"/>
      <c r="J419" s="47"/>
      <c r="K419" s="47"/>
      <c r="L419" s="47"/>
    </row>
    <row r="420" spans="1:12" ht="21" x14ac:dyDescent="0.5">
      <c r="A420" s="44"/>
      <c r="B420" s="48" t="s">
        <v>71</v>
      </c>
      <c r="C420" s="49"/>
      <c r="D420" s="47"/>
      <c r="E420" s="47"/>
      <c r="F420" s="47"/>
      <c r="G420" s="47"/>
      <c r="H420" s="47"/>
      <c r="I420" s="47"/>
      <c r="J420" s="47"/>
      <c r="K420" s="47"/>
      <c r="L420" s="159" t="str">
        <f>"Currently Running: "&amp;CHOOSE(Assumptions!$B$10,Assumptions!$F$15,Assumptions!$F$16,Assumptions!$F$17)&amp;"Scenario"</f>
        <v>Currently Running: Base Scenario</v>
      </c>
    </row>
    <row r="421" spans="1:12" ht="15.6" x14ac:dyDescent="0.35">
      <c r="A421" s="44"/>
      <c r="B421" s="50"/>
      <c r="C421" s="50"/>
      <c r="D421" s="50"/>
      <c r="E421" s="50"/>
      <c r="F421" s="50"/>
      <c r="G421" s="50"/>
      <c r="H421" s="50"/>
      <c r="I421" s="50"/>
      <c r="J421" s="50"/>
      <c r="K421" s="51"/>
      <c r="L421" s="51"/>
    </row>
    <row r="422" spans="1:12" ht="15.6" x14ac:dyDescent="0.35">
      <c r="A422" s="44"/>
      <c r="B422" s="51"/>
      <c r="C422" s="51"/>
      <c r="D422" s="51"/>
      <c r="E422" s="51"/>
      <c r="F422" s="216" t="s">
        <v>361</v>
      </c>
      <c r="G422" s="217"/>
      <c r="H422" s="217"/>
      <c r="I422" s="217"/>
      <c r="J422" s="217"/>
      <c r="K422" s="217"/>
      <c r="L422" s="218"/>
    </row>
    <row r="423" spans="1:12" ht="15.6" x14ac:dyDescent="0.35">
      <c r="A423" s="44"/>
      <c r="B423" s="51"/>
      <c r="C423" s="51"/>
      <c r="D423" s="51"/>
      <c r="E423" s="51"/>
      <c r="F423" s="53">
        <f>$F$7</f>
        <v>2024</v>
      </c>
      <c r="G423" s="53">
        <f>F423+1</f>
        <v>2025</v>
      </c>
      <c r="H423" s="54">
        <f>G423+1</f>
        <v>2026</v>
      </c>
      <c r="I423" s="54">
        <f t="shared" ref="I423" si="189">H423+1</f>
        <v>2027</v>
      </c>
      <c r="J423" s="54">
        <f t="shared" ref="J423" si="190">I423+1</f>
        <v>2028</v>
      </c>
      <c r="K423" s="54">
        <f t="shared" ref="K423" si="191">J423+1</f>
        <v>2029</v>
      </c>
      <c r="L423" s="54">
        <f t="shared" ref="L423" si="192">K423+1</f>
        <v>2030</v>
      </c>
    </row>
    <row r="424" spans="1:12" ht="16.2" thickBot="1" x14ac:dyDescent="0.4">
      <c r="A424" s="44"/>
      <c r="B424" s="55" t="s">
        <v>187</v>
      </c>
      <c r="C424" s="55"/>
      <c r="D424" s="55"/>
      <c r="E424" s="55"/>
      <c r="F424" s="56" t="s">
        <v>50</v>
      </c>
      <c r="G424" s="56"/>
      <c r="H424" s="57"/>
      <c r="I424" s="57"/>
      <c r="J424" s="57"/>
      <c r="K424" s="57"/>
      <c r="L424" s="57" t="s">
        <v>37</v>
      </c>
    </row>
    <row r="425" spans="1:12" ht="15.6" x14ac:dyDescent="0.35">
      <c r="A425" s="44"/>
      <c r="B425" s="51"/>
      <c r="C425" s="51"/>
      <c r="D425" s="51"/>
      <c r="E425" s="51"/>
      <c r="F425" s="119"/>
      <c r="G425" s="119"/>
      <c r="H425" s="120"/>
      <c r="I425" s="120"/>
      <c r="J425" s="120"/>
      <c r="K425" s="120"/>
      <c r="L425" s="120"/>
    </row>
    <row r="426" spans="1:12" ht="15.6" x14ac:dyDescent="0.35">
      <c r="A426" s="44"/>
      <c r="B426" s="196" t="s">
        <v>247</v>
      </c>
      <c r="C426" s="197"/>
      <c r="D426" s="198"/>
      <c r="E426" s="198"/>
      <c r="F426" s="199"/>
      <c r="G426" s="199"/>
      <c r="H426" s="199"/>
      <c r="I426" s="199"/>
      <c r="J426" s="199"/>
      <c r="K426" s="199"/>
      <c r="L426" s="200"/>
    </row>
    <row r="427" spans="1:12" ht="15.6" x14ac:dyDescent="0.35">
      <c r="A427" s="44"/>
      <c r="B427" s="51"/>
      <c r="C427" s="51"/>
      <c r="D427" s="51"/>
      <c r="E427" s="51"/>
      <c r="F427" s="233"/>
      <c r="G427" s="233"/>
      <c r="H427" s="234"/>
      <c r="I427" s="234"/>
      <c r="J427" s="234"/>
      <c r="K427" s="234"/>
      <c r="L427" s="234"/>
    </row>
    <row r="428" spans="1:12" ht="15.6" x14ac:dyDescent="0.35">
      <c r="A428" s="44"/>
      <c r="B428" s="61" t="s">
        <v>95</v>
      </c>
      <c r="C428" s="61"/>
      <c r="D428" s="61"/>
      <c r="E428" s="61"/>
      <c r="F428" s="180">
        <v>47200000</v>
      </c>
      <c r="G428" s="180">
        <v>6500000</v>
      </c>
      <c r="H428" s="181">
        <f>H429*(H206+H214)</f>
        <v>19753017.225176468</v>
      </c>
      <c r="I428" s="181">
        <f>I429*(I206+I214)</f>
        <v>19802741.537776943</v>
      </c>
      <c r="J428" s="181">
        <f>J429*(J206+J214)</f>
        <v>20438417.150061361</v>
      </c>
      <c r="K428" s="181">
        <f>K429*(K206+K214)</f>
        <v>21408038.635244127</v>
      </c>
      <c r="L428" s="181">
        <f>L429*(L206+L214)</f>
        <v>22744198.790345274</v>
      </c>
    </row>
    <row r="429" spans="1:12" ht="15.6" x14ac:dyDescent="0.35">
      <c r="A429" s="44"/>
      <c r="B429" s="61" t="s">
        <v>90</v>
      </c>
      <c r="C429" s="63"/>
      <c r="D429" s="63"/>
      <c r="E429" s="63"/>
      <c r="F429" s="106">
        <f>F428/F10</f>
        <v>1.6243375318328861E-2</v>
      </c>
      <c r="G429" s="106">
        <f>G428/G10</f>
        <v>2.6232948583420775E-3</v>
      </c>
      <c r="H429" s="315">
        <v>8.0000000000000002E-3</v>
      </c>
      <c r="I429" s="315">
        <v>8.0000000000000002E-3</v>
      </c>
      <c r="J429" s="315">
        <v>8.0000000000000002E-3</v>
      </c>
      <c r="K429" s="315">
        <v>8.0000000000000002E-3</v>
      </c>
      <c r="L429" s="315">
        <v>8.0000000000000002E-3</v>
      </c>
    </row>
    <row r="430" spans="1:12" ht="15.6" x14ac:dyDescent="0.35">
      <c r="A430" s="44"/>
      <c r="C430" s="63"/>
      <c r="D430" s="63"/>
      <c r="E430" s="63"/>
      <c r="F430" s="106"/>
      <c r="G430" s="106"/>
      <c r="H430" s="107"/>
      <c r="I430" s="107"/>
      <c r="J430" s="107"/>
      <c r="K430" s="107"/>
      <c r="L430" s="107"/>
    </row>
    <row r="431" spans="1:12" ht="15.6" x14ac:dyDescent="0.35">
      <c r="A431" s="44"/>
      <c r="B431" s="61" t="s">
        <v>75</v>
      </c>
      <c r="C431" s="61"/>
      <c r="D431" s="61"/>
      <c r="E431" s="374"/>
      <c r="F431" s="96"/>
      <c r="G431" s="375">
        <v>5</v>
      </c>
      <c r="H431" s="97"/>
      <c r="I431" s="97"/>
      <c r="J431" s="97"/>
      <c r="K431" s="97"/>
      <c r="L431" s="97"/>
    </row>
    <row r="432" spans="1:12" ht="15.6" x14ac:dyDescent="0.35">
      <c r="A432" s="44"/>
      <c r="B432" s="61" t="s">
        <v>76</v>
      </c>
      <c r="C432" s="61"/>
      <c r="D432" s="61"/>
      <c r="E432" s="376"/>
      <c r="F432" s="96"/>
      <c r="G432" s="377" t="s">
        <v>77</v>
      </c>
      <c r="H432" s="97"/>
      <c r="I432" s="97"/>
      <c r="J432" s="97"/>
      <c r="K432" s="97"/>
      <c r="L432" s="97"/>
    </row>
    <row r="433" spans="1:12" ht="15.6" x14ac:dyDescent="0.35">
      <c r="A433" s="44"/>
      <c r="B433" s="61"/>
      <c r="C433" s="61"/>
      <c r="D433" s="61"/>
      <c r="E433" s="63"/>
      <c r="F433" s="96"/>
      <c r="G433" s="96"/>
      <c r="H433" s="378"/>
      <c r="I433" s="97"/>
      <c r="J433" s="97"/>
      <c r="K433" s="97"/>
      <c r="L433" s="97"/>
    </row>
    <row r="434" spans="1:12" ht="15.6" x14ac:dyDescent="0.35">
      <c r="A434" s="44"/>
      <c r="B434" s="61" cm="1">
        <f t="array" ref="B434:B438">TRANSPOSE(H423:L423)</f>
        <v>2026</v>
      </c>
      <c r="C434" s="181" cm="1">
        <f t="array" ref="C434:C438">TRANSPOSE(H428:L428)</f>
        <v>19753017.225176468</v>
      </c>
      <c r="D434" s="61"/>
      <c r="E434" s="63"/>
      <c r="F434" s="96"/>
      <c r="G434" s="96"/>
      <c r="H434" s="181">
        <f>MIN(IF($B434=H$423, 0.5*$C434/$G$431, $C434/$G$431), ($C434-SUM($G434:G434)))</f>
        <v>1975301.7225176468</v>
      </c>
      <c r="I434" s="181">
        <f>MIN(IF($B434=I$423, 0.5*$C434/$G$431, $C434/$G$431), ($C434-SUM($G434:H434)))</f>
        <v>3950603.4450352937</v>
      </c>
      <c r="J434" s="181">
        <f>MIN(IF($B434=J$423, 0.5*$C434/$G$431, $C434/$G$431), ($C434-SUM($G434:I434)))</f>
        <v>3950603.4450352937</v>
      </c>
      <c r="K434" s="181">
        <f>MIN(IF($B434=K$423, 0.5*$C434/$G$431, $C434/$G$431), ($C434-SUM($G434:J434)))</f>
        <v>3950603.4450352937</v>
      </c>
      <c r="L434" s="181">
        <f>MIN(IF($B434=L$423, 0.5*$C434/$G$431, $C434/$G$431), ($C434-SUM($G434:K434)))</f>
        <v>3950603.4450352937</v>
      </c>
    </row>
    <row r="435" spans="1:12" ht="15.6" x14ac:dyDescent="0.35">
      <c r="A435" s="44"/>
      <c r="B435" s="61">
        <v>2027</v>
      </c>
      <c r="C435" s="181">
        <v>19802741.537776943</v>
      </c>
      <c r="D435" s="61"/>
      <c r="E435" s="63"/>
      <c r="F435" s="96"/>
      <c r="G435" s="96"/>
      <c r="H435" s="379"/>
      <c r="I435" s="181">
        <f>MIN(IF($B435=I$423, 0.5*$C435/$G$431, $C435/$G$431), ($C435-SUM($G435:H435)))</f>
        <v>1980274.1537776943</v>
      </c>
      <c r="J435" s="181">
        <f>MIN(IF($B435=J$423, 0.5*$C435/$G$431, $C435/$G$431), ($C435-SUM($G435:I435)))</f>
        <v>3960548.3075553887</v>
      </c>
      <c r="K435" s="181">
        <f>MIN(IF($B435=K$423, 0.5*$C435/$G$431, $C435/$G$431), ($C435-SUM($G435:J435)))</f>
        <v>3960548.3075553887</v>
      </c>
      <c r="L435" s="181">
        <f>MIN(IF($B435=L$423, 0.5*$C435/$G$431, $C435/$G$431), ($C435-SUM($G435:K435)))</f>
        <v>3960548.3075553887</v>
      </c>
    </row>
    <row r="436" spans="1:12" ht="15.6" x14ac:dyDescent="0.35">
      <c r="A436" s="44"/>
      <c r="B436" s="61">
        <v>2028</v>
      </c>
      <c r="C436" s="181">
        <v>20438417.150061361</v>
      </c>
      <c r="D436" s="61"/>
      <c r="E436" s="63"/>
      <c r="F436" s="96"/>
      <c r="G436" s="96"/>
      <c r="H436" s="379"/>
      <c r="I436" s="379"/>
      <c r="J436" s="181">
        <f>MIN(IF($B436=J$423, 0.5*$C436/$G$431, $C436/$G$431), ($C436-SUM($G436:I436)))</f>
        <v>2043841.7150061361</v>
      </c>
      <c r="K436" s="181">
        <f>MIN(IF($B436=K$423, 0.5*$C436/$G$431, $C436/$G$431), ($C436-SUM($G436:J436)))</f>
        <v>4087683.4300122722</v>
      </c>
      <c r="L436" s="181">
        <f>MIN(IF($B436=L$423, 0.5*$C436/$G$431, $C436/$G$431), ($C436-SUM($G436:K436)))</f>
        <v>4087683.4300122722</v>
      </c>
    </row>
    <row r="437" spans="1:12" ht="15.6" x14ac:dyDescent="0.35">
      <c r="A437" s="44"/>
      <c r="B437" s="61">
        <v>2029</v>
      </c>
      <c r="C437" s="181">
        <v>21408038.635244127</v>
      </c>
      <c r="D437" s="63"/>
      <c r="E437" s="63"/>
      <c r="F437" s="96"/>
      <c r="G437" s="96"/>
      <c r="H437" s="379"/>
      <c r="I437" s="379"/>
      <c r="J437" s="379"/>
      <c r="K437" s="181">
        <f>MIN(IF($B437=K$423, 0.5*$C437/$G$431, $C437/$G$431), ($C437-SUM($G437:J437)))</f>
        <v>2140803.8635244127</v>
      </c>
      <c r="L437" s="181">
        <f>MIN(IF($B437=L$423, 0.5*$C437/$G$431, $C437/$G$431), ($C437-SUM($G437:K437)))</f>
        <v>4281607.7270488255</v>
      </c>
    </row>
    <row r="438" spans="1:12" ht="15.6" x14ac:dyDescent="0.35">
      <c r="A438" s="44"/>
      <c r="B438" s="61">
        <v>2030</v>
      </c>
      <c r="C438" s="181">
        <v>22744198.790345274</v>
      </c>
      <c r="D438" s="61"/>
      <c r="E438" s="63"/>
      <c r="F438" s="96"/>
      <c r="G438" s="96"/>
      <c r="H438" s="379"/>
      <c r="I438" s="379"/>
      <c r="J438" s="379"/>
      <c r="K438" s="379"/>
      <c r="L438" s="181">
        <f>MIN(IF($B438=L$423, 0.5*$C438/$G$431, $C438/$G$431), ($C438-SUM($G438:K438)))</f>
        <v>2274419.8790345276</v>
      </c>
    </row>
    <row r="439" spans="1:12" ht="15.6" x14ac:dyDescent="0.35">
      <c r="A439" s="44"/>
      <c r="B439" s="61"/>
      <c r="C439" s="235"/>
      <c r="D439" s="61"/>
      <c r="E439" s="63"/>
      <c r="F439" s="96"/>
      <c r="G439" s="96"/>
      <c r="H439" s="235"/>
      <c r="I439" s="235"/>
      <c r="J439" s="235"/>
      <c r="K439" s="235"/>
      <c r="L439" s="235"/>
    </row>
    <row r="440" spans="1:12" ht="15.6" x14ac:dyDescent="0.35">
      <c r="A440" s="44"/>
      <c r="B440" s="103" t="s">
        <v>91</v>
      </c>
      <c r="C440" s="63"/>
      <c r="D440" s="61"/>
      <c r="E440" s="63"/>
      <c r="F440" s="96"/>
      <c r="G440" s="96"/>
      <c r="H440" s="236">
        <f t="shared" ref="H440:K440" si="193">SUM(H434:H438)</f>
        <v>1975301.7225176468</v>
      </c>
      <c r="I440" s="236">
        <f t="shared" si="193"/>
        <v>5930877.598812988</v>
      </c>
      <c r="J440" s="236">
        <f t="shared" si="193"/>
        <v>9954993.4675968178</v>
      </c>
      <c r="K440" s="236">
        <f t="shared" si="193"/>
        <v>14139639.046127368</v>
      </c>
      <c r="L440" s="236">
        <f>SUM(L434:L438)</f>
        <v>18554862.788686309</v>
      </c>
    </row>
    <row r="441" spans="1:12" ht="15.6" x14ac:dyDescent="0.35">
      <c r="A441" s="44"/>
      <c r="B441" s="103" t="s">
        <v>92</v>
      </c>
      <c r="C441" s="61"/>
      <c r="D441" s="61"/>
      <c r="E441" s="63"/>
      <c r="F441" s="96"/>
      <c r="G441" s="96"/>
      <c r="H441" s="236">
        <f>MIN($G$59/$G$431, ($G$59 - SUM($G$441:G441)))</f>
        <v>30680000</v>
      </c>
      <c r="I441" s="236">
        <f>MIN($G$59/$G$431, ($G$59 - SUM($G$441:H441)))</f>
        <v>30680000</v>
      </c>
      <c r="J441" s="236">
        <f>MIN($G$59/$G$431, ($G$59 - SUM($G$441:I441)))</f>
        <v>30680000</v>
      </c>
      <c r="K441" s="236">
        <f>MIN($G$59/$G$431, ($G$59 - SUM($G$441:J441)))</f>
        <v>30680000</v>
      </c>
      <c r="L441" s="236">
        <f>MIN($G$59/$G$431, ($G$59 - SUM($G$441:K441)))</f>
        <v>30680000</v>
      </c>
    </row>
    <row r="442" spans="1:12" ht="15.6" x14ac:dyDescent="0.35">
      <c r="A442" s="44"/>
      <c r="B442" s="206" t="s">
        <v>112</v>
      </c>
      <c r="C442" s="185"/>
      <c r="D442" s="185"/>
      <c r="E442" s="204"/>
      <c r="F442" s="246"/>
      <c r="G442" s="246"/>
      <c r="H442" s="246">
        <f>SUM(H440:H441)</f>
        <v>32655301.722517647</v>
      </c>
      <c r="I442" s="246">
        <f t="shared" ref="I442:L442" si="194">SUM(I440:I441)</f>
        <v>36610877.59881299</v>
      </c>
      <c r="J442" s="246">
        <f t="shared" si="194"/>
        <v>40634993.467596814</v>
      </c>
      <c r="K442" s="246">
        <f t="shared" si="194"/>
        <v>44819639.046127364</v>
      </c>
      <c r="L442" s="246">
        <f t="shared" si="194"/>
        <v>49234862.788686305</v>
      </c>
    </row>
    <row r="443" spans="1:12" ht="15.6" x14ac:dyDescent="0.35">
      <c r="A443" s="44"/>
      <c r="B443" s="63"/>
      <c r="C443" s="63"/>
      <c r="D443" s="63"/>
      <c r="E443" s="63"/>
      <c r="F443" s="223"/>
      <c r="G443" s="223"/>
      <c r="H443" s="223"/>
      <c r="I443" s="223"/>
      <c r="J443" s="223"/>
      <c r="K443" s="223"/>
      <c r="L443" s="223"/>
    </row>
    <row r="444" spans="1:12" ht="15.6" x14ac:dyDescent="0.35">
      <c r="A444" s="44"/>
      <c r="B444" s="103" t="s">
        <v>253</v>
      </c>
      <c r="C444" s="63"/>
      <c r="D444" s="61"/>
      <c r="E444" s="63"/>
      <c r="F444" s="96"/>
      <c r="G444" s="96"/>
      <c r="H444" s="312">
        <v>0</v>
      </c>
      <c r="I444" s="312">
        <v>0</v>
      </c>
      <c r="J444" s="312">
        <v>0</v>
      </c>
      <c r="K444" s="312">
        <v>0</v>
      </c>
      <c r="L444" s="312">
        <v>0</v>
      </c>
    </row>
    <row r="445" spans="1:12" ht="15.6" x14ac:dyDescent="0.35">
      <c r="A445" s="44"/>
      <c r="B445" s="206" t="s">
        <v>239</v>
      </c>
      <c r="C445" s="185"/>
      <c r="D445" s="185"/>
      <c r="E445" s="204"/>
      <c r="F445" s="246"/>
      <c r="G445" s="246"/>
      <c r="H445" s="246">
        <f>SUM(H444)</f>
        <v>0</v>
      </c>
      <c r="I445" s="246">
        <f t="shared" ref="I445:L445" si="195">SUM(I444)</f>
        <v>0</v>
      </c>
      <c r="J445" s="246">
        <f t="shared" si="195"/>
        <v>0</v>
      </c>
      <c r="K445" s="246">
        <f t="shared" si="195"/>
        <v>0</v>
      </c>
      <c r="L445" s="246">
        <f t="shared" si="195"/>
        <v>0</v>
      </c>
    </row>
    <row r="446" spans="1:12" ht="15.6" x14ac:dyDescent="0.35">
      <c r="A446" s="44"/>
      <c r="B446" s="61"/>
      <c r="C446" s="61"/>
      <c r="D446" s="61"/>
      <c r="E446" s="61"/>
      <c r="F446" s="74"/>
      <c r="G446" s="74"/>
      <c r="H446" s="121"/>
      <c r="I446" s="121"/>
      <c r="J446" s="121"/>
      <c r="K446" s="121"/>
      <c r="L446" s="121"/>
    </row>
    <row r="447" spans="1:12" ht="15.6" x14ac:dyDescent="0.35">
      <c r="A447" s="44"/>
      <c r="B447" s="61" t="s">
        <v>93</v>
      </c>
      <c r="C447" s="63"/>
      <c r="D447" s="63"/>
      <c r="E447" s="63"/>
      <c r="F447" s="236"/>
      <c r="G447" s="236"/>
      <c r="H447" s="236">
        <f>G59</f>
        <v>153400000</v>
      </c>
      <c r="I447" s="236">
        <f>H451</f>
        <v>140497715.50265881</v>
      </c>
      <c r="J447" s="236">
        <f t="shared" ref="J447:L447" si="196">I451</f>
        <v>123689579.44162276</v>
      </c>
      <c r="K447" s="236">
        <f t="shared" si="196"/>
        <v>103493003.12408732</v>
      </c>
      <c r="L447" s="236">
        <f t="shared" si="196"/>
        <v>80081402.713204086</v>
      </c>
    </row>
    <row r="448" spans="1:12" ht="15.6" x14ac:dyDescent="0.35">
      <c r="A448" s="44"/>
      <c r="B448" s="103" t="s">
        <v>15</v>
      </c>
      <c r="C448" s="63"/>
      <c r="D448" s="63"/>
      <c r="E448" s="63"/>
      <c r="F448" s="236"/>
      <c r="G448" s="236"/>
      <c r="H448" s="236">
        <f>H428</f>
        <v>19753017.225176468</v>
      </c>
      <c r="I448" s="236">
        <f>I428</f>
        <v>19802741.537776943</v>
      </c>
      <c r="J448" s="236">
        <f>J428</f>
        <v>20438417.150061361</v>
      </c>
      <c r="K448" s="236">
        <f>K428</f>
        <v>21408038.635244127</v>
      </c>
      <c r="L448" s="236">
        <f>L428</f>
        <v>22744198.790345274</v>
      </c>
    </row>
    <row r="449" spans="1:12" ht="15.6" x14ac:dyDescent="0.35">
      <c r="A449" s="44"/>
      <c r="B449" s="103" t="s">
        <v>14</v>
      </c>
      <c r="C449" s="63"/>
      <c r="D449" s="63"/>
      <c r="E449" s="63"/>
      <c r="F449" s="236"/>
      <c r="G449" s="236"/>
      <c r="H449" s="236">
        <f>-H442</f>
        <v>-32655301.722517647</v>
      </c>
      <c r="I449" s="236">
        <f>-I442</f>
        <v>-36610877.59881299</v>
      </c>
      <c r="J449" s="236">
        <f>-J442</f>
        <v>-40634993.467596814</v>
      </c>
      <c r="K449" s="236">
        <f>-K442</f>
        <v>-44819639.046127364</v>
      </c>
      <c r="L449" s="236">
        <f>-L442</f>
        <v>-49234862.788686305</v>
      </c>
    </row>
    <row r="450" spans="1:12" ht="15.6" x14ac:dyDescent="0.35">
      <c r="A450" s="44"/>
      <c r="B450" s="103" t="s">
        <v>253</v>
      </c>
      <c r="C450" s="63"/>
      <c r="D450" s="63"/>
      <c r="E450" s="63"/>
      <c r="F450" s="236"/>
      <c r="G450" s="236"/>
      <c r="H450" s="236">
        <f>-H445</f>
        <v>0</v>
      </c>
      <c r="I450" s="236">
        <f t="shared" ref="I450:L450" si="197">-I445</f>
        <v>0</v>
      </c>
      <c r="J450" s="236">
        <f t="shared" si="197"/>
        <v>0</v>
      </c>
      <c r="K450" s="236">
        <f t="shared" si="197"/>
        <v>0</v>
      </c>
      <c r="L450" s="236">
        <f t="shared" si="197"/>
        <v>0</v>
      </c>
    </row>
    <row r="451" spans="1:12" ht="15.6" x14ac:dyDescent="0.35">
      <c r="A451" s="44"/>
      <c r="B451" s="206" t="s">
        <v>246</v>
      </c>
      <c r="C451" s="185"/>
      <c r="D451" s="185"/>
      <c r="E451" s="204"/>
      <c r="F451" s="246"/>
      <c r="G451" s="246"/>
      <c r="H451" s="246">
        <f>SUM(H447:H450)</f>
        <v>140497715.50265881</v>
      </c>
      <c r="I451" s="246">
        <f t="shared" ref="I451:L451" si="198">SUM(I447:I450)</f>
        <v>123689579.44162276</v>
      </c>
      <c r="J451" s="246">
        <f t="shared" si="198"/>
        <v>103493003.12408732</v>
      </c>
      <c r="K451" s="246">
        <f t="shared" si="198"/>
        <v>80081402.713204086</v>
      </c>
      <c r="L451" s="246">
        <f t="shared" si="198"/>
        <v>53590738.714863062</v>
      </c>
    </row>
    <row r="452" spans="1:12" ht="15.6" x14ac:dyDescent="0.35">
      <c r="A452" s="44"/>
      <c r="B452" s="63"/>
      <c r="C452" s="63"/>
      <c r="D452" s="63"/>
      <c r="E452" s="63"/>
      <c r="F452" s="63"/>
      <c r="G452" s="82"/>
      <c r="H452" s="82"/>
      <c r="I452" s="82"/>
      <c r="J452" s="82"/>
      <c r="K452" s="82"/>
      <c r="L452" s="82"/>
    </row>
    <row r="453" spans="1:12" ht="15.6" x14ac:dyDescent="0.35">
      <c r="A453" s="44"/>
      <c r="B453" s="196" t="s">
        <v>248</v>
      </c>
      <c r="C453" s="197"/>
      <c r="D453" s="198"/>
      <c r="E453" s="198"/>
      <c r="F453" s="199"/>
      <c r="G453" s="199"/>
      <c r="H453" s="199"/>
      <c r="I453" s="199"/>
      <c r="J453" s="199"/>
      <c r="K453" s="199"/>
      <c r="L453" s="200"/>
    </row>
    <row r="454" spans="1:12" ht="15.6" x14ac:dyDescent="0.35">
      <c r="A454" s="44"/>
      <c r="B454" s="76"/>
      <c r="C454" s="63"/>
      <c r="D454" s="61"/>
      <c r="E454" s="61"/>
      <c r="F454" s="73"/>
      <c r="G454" s="73"/>
      <c r="H454" s="74"/>
      <c r="I454" s="74"/>
      <c r="J454" s="74"/>
      <c r="K454" s="74"/>
      <c r="L454" s="74"/>
    </row>
    <row r="455" spans="1:12" ht="15.6" x14ac:dyDescent="0.35">
      <c r="A455" s="44"/>
      <c r="B455" s="61" t="s">
        <v>249</v>
      </c>
      <c r="C455" s="63"/>
      <c r="D455" s="61"/>
      <c r="E455" s="61"/>
      <c r="F455" s="180">
        <v>98500000</v>
      </c>
      <c r="G455" s="180">
        <v>83000000</v>
      </c>
      <c r="H455" s="236">
        <f>H456*(H206+H214)</f>
        <v>82709481.681816876</v>
      </c>
      <c r="I455" s="236">
        <f>I456*(I206+I214)</f>
        <v>82917686.437337875</v>
      </c>
      <c r="J455" s="236">
        <f>J456*(J206+J214)</f>
        <v>85579376.031918079</v>
      </c>
      <c r="K455" s="236">
        <f>K456*(K206+K214)</f>
        <v>89639357.83382751</v>
      </c>
      <c r="L455" s="236">
        <f>L456*(L206+L214)</f>
        <v>95234103.821871102</v>
      </c>
    </row>
    <row r="456" spans="1:12" ht="15.6" x14ac:dyDescent="0.35">
      <c r="A456" s="44"/>
      <c r="B456" s="61" t="s">
        <v>96</v>
      </c>
      <c r="C456" s="63"/>
      <c r="D456" s="61"/>
      <c r="E456" s="61"/>
      <c r="F456" s="350">
        <f>F455/F10</f>
        <v>3.3897721797783741E-2</v>
      </c>
      <c r="G456" s="350">
        <f>G455/G10</f>
        <v>3.3497457421906532E-2</v>
      </c>
      <c r="H456" s="315">
        <v>3.3497457421906532E-2</v>
      </c>
      <c r="I456" s="315">
        <v>3.3497457421906532E-2</v>
      </c>
      <c r="J456" s="315">
        <v>3.3497457421906532E-2</v>
      </c>
      <c r="K456" s="315">
        <v>3.3497457421906532E-2</v>
      </c>
      <c r="L456" s="315">
        <v>3.3497457421906532E-2</v>
      </c>
    </row>
    <row r="457" spans="1:12" ht="15.6" x14ac:dyDescent="0.35">
      <c r="A457" s="44"/>
      <c r="B457" s="61"/>
      <c r="C457" s="61"/>
      <c r="D457" s="61"/>
      <c r="E457" s="63"/>
      <c r="F457" s="63"/>
      <c r="G457" s="116"/>
      <c r="H457" s="81"/>
      <c r="I457" s="81"/>
      <c r="J457" s="81"/>
      <c r="K457" s="81"/>
      <c r="L457" s="81"/>
    </row>
    <row r="458" spans="1:12" ht="15.6" x14ac:dyDescent="0.35">
      <c r="A458" s="44"/>
      <c r="B458" s="61" t="s">
        <v>94</v>
      </c>
      <c r="C458" s="61"/>
      <c r="D458" s="61"/>
      <c r="E458" s="63"/>
      <c r="F458" s="63"/>
      <c r="G458" s="375">
        <v>5</v>
      </c>
      <c r="H458" s="97"/>
      <c r="I458" s="97"/>
      <c r="J458" s="97"/>
      <c r="K458" s="97"/>
      <c r="L458" s="97"/>
    </row>
    <row r="459" spans="1:12" ht="15.6" x14ac:dyDescent="0.35">
      <c r="A459" s="44"/>
      <c r="B459" s="61" t="s">
        <v>76</v>
      </c>
      <c r="C459" s="63"/>
      <c r="D459" s="63"/>
      <c r="E459" s="63"/>
      <c r="F459" s="63"/>
      <c r="G459" s="377" t="s">
        <v>77</v>
      </c>
      <c r="H459" s="82"/>
      <c r="I459" s="82"/>
      <c r="J459" s="82"/>
      <c r="K459" s="82"/>
      <c r="L459" s="82"/>
    </row>
    <row r="460" spans="1:12" ht="15.6" x14ac:dyDescent="0.35">
      <c r="A460" s="44"/>
      <c r="B460" s="61"/>
      <c r="C460" s="61"/>
      <c r="D460" s="61"/>
      <c r="E460" s="61"/>
      <c r="F460" s="74"/>
      <c r="G460" s="74"/>
      <c r="H460" s="74"/>
      <c r="I460" s="74"/>
      <c r="J460" s="74"/>
      <c r="K460" s="74"/>
      <c r="L460" s="74"/>
    </row>
    <row r="461" spans="1:12" ht="15.6" x14ac:dyDescent="0.35">
      <c r="A461" s="44"/>
      <c r="B461" s="61" cm="1">
        <f t="array" ref="B461:B465">TRANSPOSE(H423:L423)</f>
        <v>2026</v>
      </c>
      <c r="C461" s="236" cm="1">
        <f t="array" ref="C461:C465">TRANSPOSE(H455:L455)</f>
        <v>82709481.681816876</v>
      </c>
      <c r="D461" s="61"/>
      <c r="E461" s="61"/>
      <c r="F461" s="74"/>
      <c r="G461" s="74"/>
      <c r="H461" s="236">
        <f>MIN(IF($B461=H$423, 0.5*$C461/$G$458, $C461/$G$431), ($C461-SUM($G461:G461)))</f>
        <v>8270948.1681816876</v>
      </c>
      <c r="I461" s="236">
        <f>MIN(IF($B461=I$423, 0.5*$C461/$G$458, $C461/$G$458), ($C461-SUM($G461:H461)))</f>
        <v>16541896.336363375</v>
      </c>
      <c r="J461" s="236">
        <f>MIN(IF($B461=J$423, 0.5*$C461/$G$458, $C461/$G$458), ($C461-SUM($G461:I461)))</f>
        <v>16541896.336363375</v>
      </c>
      <c r="K461" s="236">
        <f>MIN(IF($B461=K$423, 0.5*$C461/$G$458, $C461/$G$458), ($C461-SUM($G461:J461)))</f>
        <v>16541896.336363375</v>
      </c>
      <c r="L461" s="236">
        <f>MIN(IF($B461=L$423, 0.5*$C461/$G$458, $C461/$G$458), ($C461-SUM($G461:K461)))</f>
        <v>16541896.336363375</v>
      </c>
    </row>
    <row r="462" spans="1:12" ht="15.6" x14ac:dyDescent="0.35">
      <c r="A462" s="44"/>
      <c r="B462" s="61">
        <v>2027</v>
      </c>
      <c r="C462" s="236">
        <v>82917686.437337875</v>
      </c>
      <c r="D462" s="61"/>
      <c r="E462" s="61"/>
      <c r="F462" s="74"/>
      <c r="G462" s="74"/>
      <c r="H462" s="379"/>
      <c r="I462" s="236">
        <f>MIN(IF($B462=I$423, 0.5*$C462/$G$458, $C462/$G$458), ($C462-SUM($G462:H462)))</f>
        <v>8291768.6437337874</v>
      </c>
      <c r="J462" s="236">
        <f>MIN(IF($B462=J$423, 0.5*$C462/$G$458, $C462/$G$458), ($C462-SUM($G462:I462)))</f>
        <v>16583537.287467575</v>
      </c>
      <c r="K462" s="236">
        <f>MIN(IF($B462=K$423, 0.5*$C462/$G$458, $C462/$G$458), ($C462-SUM($G462:J462)))</f>
        <v>16583537.287467575</v>
      </c>
      <c r="L462" s="236">
        <f>MIN(IF($B462=L$423, 0.5*$C462/$G$458, $C462/$G$458), ($C462-SUM($G462:K462)))</f>
        <v>16583537.287467575</v>
      </c>
    </row>
    <row r="463" spans="1:12" ht="15.6" x14ac:dyDescent="0.35">
      <c r="A463" s="44"/>
      <c r="B463" s="61">
        <v>2028</v>
      </c>
      <c r="C463" s="236">
        <v>85579376.031918079</v>
      </c>
      <c r="D463" s="61"/>
      <c r="E463" s="61"/>
      <c r="F463" s="74"/>
      <c r="G463" s="74"/>
      <c r="H463" s="379"/>
      <c r="I463" s="379"/>
      <c r="J463" s="236">
        <f>MIN(IF($B463=J$423, 0.5*$C463/$G$458, $C463/$G$458), ($C463-SUM($G463:I463)))</f>
        <v>8557937.6031918079</v>
      </c>
      <c r="K463" s="236">
        <f>MIN(IF($B463=K$423, 0.5*$C463/$G$458, $C463/$G$458), ($C463-SUM($G463:J463)))</f>
        <v>17115875.206383616</v>
      </c>
      <c r="L463" s="236">
        <f>MIN(IF($B463=L$423, 0.5*$C463/$G$458, $C463/$G$458), ($C463-SUM($G463:K463)))</f>
        <v>17115875.206383616</v>
      </c>
    </row>
    <row r="464" spans="1:12" ht="15.6" x14ac:dyDescent="0.35">
      <c r="A464" s="44"/>
      <c r="B464" s="61">
        <v>2029</v>
      </c>
      <c r="C464" s="236">
        <v>89639357.83382751</v>
      </c>
      <c r="D464" s="61"/>
      <c r="E464" s="61"/>
      <c r="F464" s="73"/>
      <c r="G464" s="73"/>
      <c r="H464" s="379"/>
      <c r="I464" s="379"/>
      <c r="J464" s="379"/>
      <c r="K464" s="236">
        <f>MIN(IF($B464=K$423, 0.5*$C464/$G$458, $C464/$G$458), ($C464-SUM($G464:J464)))</f>
        <v>8963935.783382751</v>
      </c>
      <c r="L464" s="236">
        <f>MIN(IF($B464=L$423, 0.5*$C464/$G$458, $C464/$G$458), ($C464-SUM($G464:K464)))</f>
        <v>17927871.566765502</v>
      </c>
    </row>
    <row r="465" spans="1:12" ht="15.6" x14ac:dyDescent="0.35">
      <c r="A465" s="44"/>
      <c r="B465" s="61">
        <v>2030</v>
      </c>
      <c r="C465" s="236">
        <v>95234103.821871102</v>
      </c>
      <c r="D465" s="61"/>
      <c r="E465" s="61"/>
      <c r="F465" s="73"/>
      <c r="G465" s="73"/>
      <c r="H465" s="379"/>
      <c r="I465" s="379"/>
      <c r="J465" s="379"/>
      <c r="K465" s="379"/>
      <c r="L465" s="236">
        <f>MIN(IF($B465=L$423, 0.5*$C465/$G$458, $C465/$G$431), ($C465-SUM($G465:K465)))</f>
        <v>9523410.3821871094</v>
      </c>
    </row>
    <row r="466" spans="1:12" ht="15.6" x14ac:dyDescent="0.35">
      <c r="A466" s="44"/>
      <c r="B466" s="61"/>
      <c r="C466" s="236"/>
      <c r="D466" s="61"/>
      <c r="E466" s="61"/>
      <c r="F466" s="73"/>
      <c r="G466" s="73"/>
      <c r="H466" s="235"/>
      <c r="I466" s="235"/>
      <c r="J466" s="235"/>
      <c r="K466" s="235"/>
      <c r="L466" s="235"/>
    </row>
    <row r="467" spans="1:12" ht="15.6" x14ac:dyDescent="0.35">
      <c r="A467" s="44"/>
      <c r="B467" s="103" t="s">
        <v>97</v>
      </c>
      <c r="C467" s="63"/>
      <c r="D467" s="61"/>
      <c r="E467" s="63"/>
      <c r="F467" s="96"/>
      <c r="G467" s="96"/>
      <c r="H467" s="236">
        <f t="shared" ref="H467:K467" si="199">SUM(H461:H465)</f>
        <v>8270948.1681816876</v>
      </c>
      <c r="I467" s="236">
        <f t="shared" si="199"/>
        <v>24833664.980097163</v>
      </c>
      <c r="J467" s="236">
        <f t="shared" si="199"/>
        <v>41683371.22702276</v>
      </c>
      <c r="K467" s="236">
        <f t="shared" si="199"/>
        <v>59205244.613597319</v>
      </c>
      <c r="L467" s="236">
        <f>SUM(L461:L465)</f>
        <v>77692590.77916719</v>
      </c>
    </row>
    <row r="468" spans="1:12" ht="15.6" x14ac:dyDescent="0.35">
      <c r="A468" s="44"/>
      <c r="B468" s="103" t="s">
        <v>98</v>
      </c>
      <c r="C468" s="61"/>
      <c r="D468" s="61"/>
      <c r="E468" s="63"/>
      <c r="F468" s="96"/>
      <c r="G468" s="96"/>
      <c r="H468" s="236">
        <f>MIN($H$473/$G$458, ($H$473 - SUM($G$468:G468)))</f>
        <v>87620000</v>
      </c>
      <c r="I468" s="236">
        <f>MIN($H$473/$G$458, ($H$473 - SUM($G$468:H468)))</f>
        <v>87620000</v>
      </c>
      <c r="J468" s="236">
        <f>MIN($H$473/$G$458, ($H$473 - SUM($G$468:I468)))</f>
        <v>87620000</v>
      </c>
      <c r="K468" s="236">
        <f>MIN($H$473/$G$458, ($H$473 - SUM($G$468:J468)))</f>
        <v>87620000</v>
      </c>
      <c r="L468" s="236">
        <f>MIN($H$473/$G$458, ($H$473 - SUM($G$468:K468)))</f>
        <v>87620000</v>
      </c>
    </row>
    <row r="469" spans="1:12" ht="15.6" x14ac:dyDescent="0.35">
      <c r="A469" s="44"/>
      <c r="B469" s="206" t="s">
        <v>114</v>
      </c>
      <c r="C469" s="185"/>
      <c r="D469" s="185"/>
      <c r="E469" s="204"/>
      <c r="F469" s="246"/>
      <c r="G469" s="246"/>
      <c r="H469" s="246">
        <f>SUM(H467:H468)</f>
        <v>95890948.168181688</v>
      </c>
      <c r="I469" s="246">
        <f t="shared" ref="I469:L469" si="200">SUM(I467:I468)</f>
        <v>112453664.98009716</v>
      </c>
      <c r="J469" s="246">
        <f t="shared" si="200"/>
        <v>129303371.22702277</v>
      </c>
      <c r="K469" s="246">
        <f t="shared" si="200"/>
        <v>146825244.61359733</v>
      </c>
      <c r="L469" s="246">
        <f t="shared" si="200"/>
        <v>165312590.77916718</v>
      </c>
    </row>
    <row r="470" spans="1:12" ht="15.6" x14ac:dyDescent="0.35">
      <c r="A470" s="44"/>
      <c r="B470" s="63"/>
      <c r="C470" s="63"/>
      <c r="D470" s="63"/>
      <c r="E470" s="63"/>
      <c r="F470" s="116"/>
      <c r="G470" s="116"/>
      <c r="H470" s="82"/>
      <c r="I470" s="82"/>
      <c r="J470" s="82"/>
      <c r="K470" s="82"/>
      <c r="L470" s="82"/>
    </row>
    <row r="471" spans="1:12" ht="15.6" x14ac:dyDescent="0.35">
      <c r="A471" s="44"/>
      <c r="B471" s="103" t="s">
        <v>178</v>
      </c>
      <c r="C471" s="63"/>
      <c r="D471" s="63"/>
      <c r="E471" s="63"/>
      <c r="F471" s="63"/>
      <c r="G471" s="116"/>
      <c r="H471" s="236">
        <f>G60</f>
        <v>473600000</v>
      </c>
      <c r="I471" s="236">
        <f>H481</f>
        <v>460418533.51363516</v>
      </c>
      <c r="J471" s="236">
        <f t="shared" ref="J471:L471" si="201">I481</f>
        <v>430882554.97087586</v>
      </c>
      <c r="K471" s="236">
        <f t="shared" si="201"/>
        <v>387158559.77577114</v>
      </c>
      <c r="L471" s="236">
        <f t="shared" si="201"/>
        <v>329972672.9960013</v>
      </c>
    </row>
    <row r="472" spans="1:12" ht="15.6" x14ac:dyDescent="0.35">
      <c r="A472" s="44"/>
      <c r="B472" s="103" t="s">
        <v>176</v>
      </c>
      <c r="C472" s="63"/>
      <c r="D472" s="63"/>
      <c r="E472" s="63"/>
      <c r="F472" s="63"/>
      <c r="G472" s="116"/>
      <c r="H472" s="236">
        <v>35500000</v>
      </c>
      <c r="I472" s="236">
        <f>H472</f>
        <v>35500000</v>
      </c>
      <c r="J472" s="236">
        <f t="shared" ref="J472:L472" si="202">I472</f>
        <v>35500000</v>
      </c>
      <c r="K472" s="236">
        <f t="shared" si="202"/>
        <v>35500000</v>
      </c>
      <c r="L472" s="236">
        <f t="shared" si="202"/>
        <v>35500000</v>
      </c>
    </row>
    <row r="473" spans="1:12" ht="15.6" x14ac:dyDescent="0.35">
      <c r="A473" s="44"/>
      <c r="B473" s="230" t="s">
        <v>177</v>
      </c>
      <c r="C473" s="231"/>
      <c r="D473" s="231"/>
      <c r="E473" s="232"/>
      <c r="F473" s="241"/>
      <c r="G473" s="380"/>
      <c r="H473" s="229">
        <f>H471-H472</f>
        <v>438100000</v>
      </c>
      <c r="I473" s="229">
        <f t="shared" ref="I473:L473" si="203">I471-I472</f>
        <v>424918533.51363516</v>
      </c>
      <c r="J473" s="229">
        <f t="shared" si="203"/>
        <v>395382554.97087586</v>
      </c>
      <c r="K473" s="229">
        <f t="shared" si="203"/>
        <v>351658559.77577114</v>
      </c>
      <c r="L473" s="229">
        <f t="shared" si="203"/>
        <v>294472672.9960013</v>
      </c>
    </row>
    <row r="474" spans="1:12" ht="15.6" x14ac:dyDescent="0.35">
      <c r="A474" s="44"/>
      <c r="B474" s="63"/>
      <c r="C474" s="63"/>
      <c r="D474" s="63"/>
      <c r="E474" s="63"/>
      <c r="F474" s="223"/>
      <c r="G474" s="223"/>
      <c r="H474" s="223"/>
      <c r="I474" s="223"/>
      <c r="J474" s="223"/>
      <c r="K474" s="223"/>
      <c r="L474" s="223"/>
    </row>
    <row r="475" spans="1:12" ht="15.6" x14ac:dyDescent="0.35">
      <c r="A475" s="44"/>
      <c r="B475" s="103" t="s">
        <v>23</v>
      </c>
      <c r="C475" s="63"/>
      <c r="D475" s="63"/>
      <c r="E475" s="63"/>
      <c r="F475" s="63"/>
      <c r="G475" s="116"/>
      <c r="H475" s="236">
        <f>H455</f>
        <v>82709481.681816876</v>
      </c>
      <c r="I475" s="236">
        <f t="shared" ref="I475:L475" si="204">I455</f>
        <v>82917686.437337875</v>
      </c>
      <c r="J475" s="236">
        <f t="shared" si="204"/>
        <v>85579376.031918079</v>
      </c>
      <c r="K475" s="236">
        <f t="shared" si="204"/>
        <v>89639357.83382751</v>
      </c>
      <c r="L475" s="236">
        <f t="shared" si="204"/>
        <v>95234103.821871102</v>
      </c>
    </row>
    <row r="476" spans="1:12" ht="15.6" x14ac:dyDescent="0.35">
      <c r="A476" s="44"/>
      <c r="B476" s="103" t="s">
        <v>22</v>
      </c>
      <c r="C476" s="63"/>
      <c r="D476" s="63"/>
      <c r="E476" s="63"/>
      <c r="F476" s="63"/>
      <c r="G476" s="116"/>
      <c r="H476" s="236">
        <f>-H469</f>
        <v>-95890948.168181688</v>
      </c>
      <c r="I476" s="236">
        <f>-I469</f>
        <v>-112453664.98009716</v>
      </c>
      <c r="J476" s="236">
        <f>-J469</f>
        <v>-129303371.22702277</v>
      </c>
      <c r="K476" s="236">
        <f>-K469</f>
        <v>-146825244.61359733</v>
      </c>
      <c r="L476" s="236">
        <f>-L469</f>
        <v>-165312590.77916718</v>
      </c>
    </row>
    <row r="477" spans="1:12" ht="15.6" x14ac:dyDescent="0.35">
      <c r="A477" s="44"/>
      <c r="B477" s="206" t="s">
        <v>179</v>
      </c>
      <c r="C477" s="185"/>
      <c r="D477" s="185"/>
      <c r="E477" s="204"/>
      <c r="F477" s="241"/>
      <c r="G477" s="380"/>
      <c r="H477" s="246">
        <f>SUM(H473:H476)</f>
        <v>424918533.51363516</v>
      </c>
      <c r="I477" s="246">
        <f t="shared" ref="I477:L477" si="205">SUM(I473:I476)</f>
        <v>395382554.97087586</v>
      </c>
      <c r="J477" s="246">
        <f t="shared" si="205"/>
        <v>351658559.77577114</v>
      </c>
      <c r="K477" s="246">
        <f t="shared" si="205"/>
        <v>294472672.9960013</v>
      </c>
      <c r="L477" s="246">
        <f t="shared" si="205"/>
        <v>224394186.03870523</v>
      </c>
    </row>
    <row r="478" spans="1:12" ht="15.6" x14ac:dyDescent="0.35">
      <c r="A478" s="44"/>
      <c r="B478" s="213"/>
      <c r="C478" s="213"/>
      <c r="D478" s="213"/>
      <c r="E478" s="213"/>
      <c r="F478" s="226"/>
      <c r="G478" s="226"/>
      <c r="H478" s="226"/>
      <c r="I478" s="226"/>
      <c r="J478" s="226"/>
      <c r="K478" s="226"/>
      <c r="L478" s="226"/>
    </row>
    <row r="479" spans="1:12" ht="15.6" x14ac:dyDescent="0.35">
      <c r="A479" s="44"/>
      <c r="B479" s="103" t="s">
        <v>240</v>
      </c>
      <c r="C479" s="63"/>
      <c r="D479" s="63"/>
      <c r="E479" s="63"/>
      <c r="F479" s="63"/>
      <c r="G479" s="116"/>
      <c r="H479" s="312">
        <v>0</v>
      </c>
      <c r="I479" s="312">
        <v>0</v>
      </c>
      <c r="J479" s="312">
        <v>0</v>
      </c>
      <c r="K479" s="312">
        <v>0</v>
      </c>
      <c r="L479" s="312">
        <v>0</v>
      </c>
    </row>
    <row r="480" spans="1:12" ht="15.6" x14ac:dyDescent="0.35">
      <c r="A480" s="44"/>
      <c r="B480" s="103" t="s">
        <v>176</v>
      </c>
      <c r="C480" s="63"/>
      <c r="D480" s="63"/>
      <c r="E480" s="63"/>
      <c r="F480" s="63"/>
      <c r="G480" s="116"/>
      <c r="H480" s="236">
        <f>H472</f>
        <v>35500000</v>
      </c>
      <c r="I480" s="236">
        <f>H480-I479</f>
        <v>35500000</v>
      </c>
      <c r="J480" s="236">
        <f t="shared" ref="J480:L480" si="206">I480-J479</f>
        <v>35500000</v>
      </c>
      <c r="K480" s="236">
        <f t="shared" si="206"/>
        <v>35500000</v>
      </c>
      <c r="L480" s="236">
        <f t="shared" si="206"/>
        <v>35500000</v>
      </c>
    </row>
    <row r="481" spans="1:12" ht="15.6" x14ac:dyDescent="0.35">
      <c r="A481" s="44"/>
      <c r="B481" s="206" t="s">
        <v>250</v>
      </c>
      <c r="C481" s="185"/>
      <c r="D481" s="185"/>
      <c r="E481" s="204"/>
      <c r="F481" s="241"/>
      <c r="G481" s="380"/>
      <c r="H481" s="246">
        <f>H477+H480</f>
        <v>460418533.51363516</v>
      </c>
      <c r="I481" s="246">
        <f t="shared" ref="I481:L481" si="207">I477+I480</f>
        <v>430882554.97087586</v>
      </c>
      <c r="J481" s="246">
        <f t="shared" si="207"/>
        <v>387158559.77577114</v>
      </c>
      <c r="K481" s="246">
        <f t="shared" si="207"/>
        <v>329972672.9960013</v>
      </c>
      <c r="L481" s="246">
        <f t="shared" si="207"/>
        <v>259894186.03870523</v>
      </c>
    </row>
    <row r="482" spans="1:12" ht="15.6" x14ac:dyDescent="0.35">
      <c r="A482" s="44"/>
      <c r="B482" s="44"/>
      <c r="C482" s="44"/>
      <c r="D482" s="44"/>
      <c r="E482" s="44"/>
      <c r="F482" s="89"/>
      <c r="G482" s="89"/>
      <c r="H482" s="89"/>
      <c r="I482" s="89"/>
      <c r="J482" s="89"/>
      <c r="K482" s="89"/>
      <c r="L482" s="89"/>
    </row>
    <row r="483" spans="1:12" ht="15.6" x14ac:dyDescent="0.35">
      <c r="A483" s="44"/>
      <c r="B483" s="44"/>
      <c r="C483" s="44"/>
      <c r="D483" s="44"/>
      <c r="E483" s="44"/>
      <c r="F483" s="89"/>
      <c r="G483" s="89"/>
      <c r="H483" s="89"/>
      <c r="I483" s="89"/>
      <c r="J483" s="89"/>
      <c r="K483" s="89"/>
      <c r="L483" s="89"/>
    </row>
    <row r="484" spans="1:12" ht="28.8" x14ac:dyDescent="0.65">
      <c r="A484" s="44"/>
      <c r="B484" s="45" t="str">
        <f>Cover!$B$2</f>
        <v>ASOS PLC</v>
      </c>
      <c r="C484" s="45"/>
      <c r="D484" s="46"/>
      <c r="E484" s="47"/>
      <c r="F484" s="47"/>
      <c r="G484" s="47"/>
      <c r="H484" s="47"/>
      <c r="I484" s="47"/>
      <c r="J484" s="47"/>
      <c r="K484" s="47"/>
      <c r="L484" s="47"/>
    </row>
    <row r="485" spans="1:12" ht="21" x14ac:dyDescent="0.5">
      <c r="A485" s="44"/>
      <c r="B485" s="48" t="s">
        <v>116</v>
      </c>
      <c r="C485" s="49"/>
      <c r="D485" s="47"/>
      <c r="E485" s="47"/>
      <c r="F485" s="47"/>
      <c r="G485" s="47"/>
      <c r="H485" s="47"/>
      <c r="I485" s="47"/>
      <c r="J485" s="47"/>
      <c r="K485" s="47"/>
      <c r="L485" s="159" t="str">
        <f>"Currently Running: "&amp;CHOOSE(Assumptions!$B$10,Assumptions!$F$15,Assumptions!$F$16,Assumptions!$F$17)&amp;"Scenario"</f>
        <v>Currently Running: Base Scenario</v>
      </c>
    </row>
    <row r="486" spans="1:12" ht="15.6" x14ac:dyDescent="0.35">
      <c r="A486" s="44"/>
      <c r="B486" s="50"/>
      <c r="C486" s="50"/>
      <c r="D486" s="50"/>
      <c r="E486" s="50"/>
      <c r="F486" s="50"/>
      <c r="G486" s="50"/>
      <c r="H486" s="50"/>
      <c r="I486" s="50"/>
      <c r="J486" s="50"/>
      <c r="K486" s="51"/>
      <c r="L486" s="51"/>
    </row>
    <row r="487" spans="1:12" ht="15.6" x14ac:dyDescent="0.35">
      <c r="A487" s="44"/>
      <c r="B487" s="51"/>
      <c r="C487" s="51"/>
      <c r="D487" s="51"/>
      <c r="E487" s="51"/>
      <c r="F487" s="292" t="s">
        <v>361</v>
      </c>
      <c r="G487" s="293"/>
      <c r="H487" s="293"/>
      <c r="I487" s="293"/>
      <c r="J487" s="293"/>
      <c r="K487" s="293"/>
      <c r="L487" s="294"/>
    </row>
    <row r="488" spans="1:12" ht="15.6" x14ac:dyDescent="0.35">
      <c r="A488" s="44"/>
      <c r="B488" s="51"/>
      <c r="C488" s="51"/>
      <c r="D488" s="51"/>
      <c r="E488" s="51"/>
      <c r="F488" s="53">
        <f>$F$7</f>
        <v>2024</v>
      </c>
      <c r="G488" s="53">
        <f>F488+1</f>
        <v>2025</v>
      </c>
      <c r="H488" s="54">
        <f>G488+1</f>
        <v>2026</v>
      </c>
      <c r="I488" s="54">
        <f t="shared" ref="I488" si="208">H488+1</f>
        <v>2027</v>
      </c>
      <c r="J488" s="54">
        <f t="shared" ref="J488" si="209">I488+1</f>
        <v>2028</v>
      </c>
      <c r="K488" s="54">
        <f t="shared" ref="K488" si="210">J488+1</f>
        <v>2029</v>
      </c>
      <c r="L488" s="54">
        <f t="shared" ref="L488" si="211">K488+1</f>
        <v>2030</v>
      </c>
    </row>
    <row r="489" spans="1:12" ht="16.2" thickBot="1" x14ac:dyDescent="0.4">
      <c r="A489" s="44"/>
      <c r="B489" s="55" t="s">
        <v>187</v>
      </c>
      <c r="C489" s="55"/>
      <c r="D489" s="55"/>
      <c r="E489" s="55"/>
      <c r="F489" s="56" t="s">
        <v>50</v>
      </c>
      <c r="G489" s="56"/>
      <c r="H489" s="57"/>
      <c r="I489" s="57"/>
      <c r="J489" s="57"/>
      <c r="K489" s="57"/>
      <c r="L489" s="57" t="s">
        <v>37</v>
      </c>
    </row>
    <row r="490" spans="1:12" ht="15.6" x14ac:dyDescent="0.35">
      <c r="A490" s="44"/>
      <c r="B490" s="51"/>
      <c r="C490" s="51"/>
      <c r="D490" s="51"/>
      <c r="E490" s="51"/>
      <c r="F490" s="71"/>
      <c r="G490" s="71"/>
      <c r="H490" s="72"/>
      <c r="I490" s="72"/>
      <c r="J490" s="72"/>
      <c r="K490" s="72"/>
      <c r="L490" s="72"/>
    </row>
    <row r="491" spans="1:12" ht="15.6" x14ac:dyDescent="0.35">
      <c r="A491" s="44"/>
      <c r="B491" s="196" t="s">
        <v>255</v>
      </c>
      <c r="C491" s="197"/>
      <c r="D491" s="198"/>
      <c r="E491" s="198"/>
      <c r="F491" s="199"/>
      <c r="G491" s="199"/>
      <c r="H491" s="199"/>
      <c r="I491" s="199"/>
      <c r="J491" s="199"/>
      <c r="K491" s="199"/>
      <c r="L491" s="200"/>
    </row>
    <row r="492" spans="1:12" ht="15.6" x14ac:dyDescent="0.35">
      <c r="A492" s="44"/>
      <c r="B492" s="51"/>
      <c r="C492" s="51"/>
      <c r="D492" s="51"/>
      <c r="E492" s="51"/>
      <c r="F492" s="71"/>
      <c r="G492" s="71"/>
      <c r="H492" s="72"/>
      <c r="I492" s="72"/>
      <c r="J492" s="72"/>
      <c r="K492" s="72"/>
      <c r="L492" s="72"/>
    </row>
    <row r="493" spans="1:12" ht="15.6" x14ac:dyDescent="0.35">
      <c r="A493" s="44"/>
      <c r="B493" s="51" t="s">
        <v>352</v>
      </c>
      <c r="C493" s="51"/>
      <c r="D493" s="51"/>
      <c r="E493" s="51"/>
      <c r="F493" s="71"/>
      <c r="G493" s="71"/>
      <c r="H493" s="236">
        <f>G55</f>
        <v>318900000</v>
      </c>
      <c r="I493" s="236">
        <f>H55</f>
        <v>120299905.56847787</v>
      </c>
      <c r="J493" s="236">
        <f>I55</f>
        <v>30000000.000000015</v>
      </c>
      <c r="K493" s="236">
        <f>J55</f>
        <v>30000000.000000015</v>
      </c>
      <c r="L493" s="236">
        <f>K55</f>
        <v>30000000.000000015</v>
      </c>
    </row>
    <row r="494" spans="1:12" ht="15.6" x14ac:dyDescent="0.35">
      <c r="A494" s="44"/>
      <c r="B494" s="51" t="s">
        <v>353</v>
      </c>
      <c r="C494" s="51"/>
      <c r="D494" s="51"/>
      <c r="E494" s="51"/>
      <c r="F494" s="71"/>
      <c r="G494" s="71"/>
      <c r="H494" s="236">
        <f>H120+H127+SUM(H133:H135)</f>
        <v>-114700094.43152212</v>
      </c>
      <c r="I494" s="236">
        <f>I120+I127+SUM(I133:I135)</f>
        <v>-151223208.36987358</v>
      </c>
      <c r="J494" s="236">
        <f>J120+J127+SUM(J133:J135)</f>
        <v>-138597661.85635501</v>
      </c>
      <c r="K494" s="236">
        <f>K120+K127+SUM(K133:K135)</f>
        <v>-128793089.74624591</v>
      </c>
      <c r="L494" s="236">
        <f>L120+L127+SUM(L133:L135)</f>
        <v>-112414759.57978299</v>
      </c>
    </row>
    <row r="495" spans="1:12" ht="15.6" x14ac:dyDescent="0.35">
      <c r="A495" s="44"/>
      <c r="B495" s="51" t="s">
        <v>351</v>
      </c>
      <c r="C495" s="51"/>
      <c r="D495" s="51"/>
      <c r="E495" s="51"/>
      <c r="F495" s="71"/>
      <c r="G495" s="71"/>
      <c r="H495" s="236">
        <f>SUM(H564:H567)</f>
        <v>-80100000</v>
      </c>
      <c r="I495" s="236">
        <f t="shared" ref="I495:L495" si="212">SUM(I564:I567)</f>
        <v>0</v>
      </c>
      <c r="J495" s="236">
        <f t="shared" si="212"/>
        <v>0</v>
      </c>
      <c r="K495" s="236">
        <f>SUM(K564:K567)</f>
        <v>-269700000</v>
      </c>
      <c r="L495" s="236">
        <f t="shared" si="212"/>
        <v>0</v>
      </c>
    </row>
    <row r="496" spans="1:12" ht="15.6" x14ac:dyDescent="0.35">
      <c r="A496" s="44"/>
      <c r="B496" s="206" t="s">
        <v>354</v>
      </c>
      <c r="C496" s="185"/>
      <c r="D496" s="185"/>
      <c r="E496" s="204"/>
      <c r="F496" s="241"/>
      <c r="G496" s="380"/>
      <c r="H496" s="246">
        <f>SUM(H493:H495)</f>
        <v>124099905.56847787</v>
      </c>
      <c r="I496" s="246">
        <f t="shared" ref="I496:L496" si="213">SUM(I493:I495)</f>
        <v>-30923302.801395714</v>
      </c>
      <c r="J496" s="246">
        <f t="shared" si="213"/>
        <v>-108597661.856355</v>
      </c>
      <c r="K496" s="246">
        <f t="shared" si="213"/>
        <v>-368493089.74624586</v>
      </c>
      <c r="L496" s="246">
        <f t="shared" si="213"/>
        <v>-82414759.579782978</v>
      </c>
    </row>
    <row r="497" spans="1:12" ht="15.6" x14ac:dyDescent="0.35">
      <c r="A497" s="44"/>
      <c r="B497" s="51"/>
      <c r="C497" s="51"/>
      <c r="D497" s="51"/>
      <c r="E497" s="51"/>
      <c r="F497" s="71"/>
      <c r="G497" s="71"/>
      <c r="H497" s="72"/>
      <c r="I497" s="72"/>
      <c r="J497" s="72"/>
      <c r="K497" s="72"/>
      <c r="L497" s="72"/>
    </row>
    <row r="498" spans="1:12" ht="15.6" x14ac:dyDescent="0.35">
      <c r="A498" s="44"/>
      <c r="B498" s="51" t="s">
        <v>331</v>
      </c>
      <c r="C498" s="51"/>
      <c r="D498" s="51"/>
      <c r="E498" s="51"/>
      <c r="F498" s="71"/>
      <c r="G498" s="71"/>
      <c r="H498" s="312">
        <v>30000000</v>
      </c>
      <c r="I498" s="312">
        <v>30000000</v>
      </c>
      <c r="J498" s="312">
        <v>30000000</v>
      </c>
      <c r="K498" s="312">
        <v>30000000</v>
      </c>
      <c r="L498" s="312">
        <v>30000000</v>
      </c>
    </row>
    <row r="499" spans="1:12" ht="15.6" x14ac:dyDescent="0.35">
      <c r="A499" s="44"/>
      <c r="B499" s="206" t="s">
        <v>355</v>
      </c>
      <c r="C499" s="185"/>
      <c r="D499" s="185"/>
      <c r="E499" s="204"/>
      <c r="F499" s="241"/>
      <c r="G499" s="380"/>
      <c r="H499" s="246">
        <f>H496-H498</f>
        <v>94099905.568477869</v>
      </c>
      <c r="I499" s="246">
        <f t="shared" ref="I499:L499" si="214">I496-I498</f>
        <v>-60923302.801395714</v>
      </c>
      <c r="J499" s="246">
        <f t="shared" si="214"/>
        <v>-138597661.85635501</v>
      </c>
      <c r="K499" s="246">
        <f t="shared" si="214"/>
        <v>-398493089.74624586</v>
      </c>
      <c r="L499" s="246">
        <f t="shared" si="214"/>
        <v>-112414759.57978298</v>
      </c>
    </row>
    <row r="500" spans="1:12" ht="15.6" x14ac:dyDescent="0.35">
      <c r="A500" s="44"/>
      <c r="B500" s="51"/>
      <c r="C500" s="51"/>
      <c r="D500" s="51"/>
      <c r="E500" s="51"/>
      <c r="F500" s="71"/>
      <c r="G500" s="71"/>
      <c r="H500" s="72"/>
      <c r="I500" s="72"/>
      <c r="J500" s="72"/>
      <c r="K500" s="72"/>
      <c r="L500" s="72"/>
    </row>
    <row r="501" spans="1:12" ht="15.6" x14ac:dyDescent="0.35">
      <c r="A501" s="44"/>
      <c r="B501" s="126" t="s">
        <v>117</v>
      </c>
      <c r="C501" s="63"/>
      <c r="D501" s="63"/>
      <c r="E501" s="63"/>
      <c r="F501" s="116"/>
      <c r="G501" s="116"/>
      <c r="H501" s="116"/>
      <c r="I501" s="116"/>
      <c r="J501" s="116"/>
      <c r="K501" s="116"/>
      <c r="L501" s="116"/>
    </row>
    <row r="502" spans="1:12" ht="15.6" x14ac:dyDescent="0.35">
      <c r="A502" s="44"/>
      <c r="B502" s="61" t="s">
        <v>118</v>
      </c>
      <c r="C502" s="61"/>
      <c r="D502" s="63"/>
      <c r="E502" s="63"/>
      <c r="F502" s="116"/>
      <c r="G502" s="116"/>
      <c r="H502" s="186">
        <f>-MAX(0, MIN((SUM(H$499:H501)-H521), H$511, G514*$L$603))</f>
        <v>0</v>
      </c>
      <c r="I502" s="186">
        <f>-MAX(0, MIN((SUM(I$499:I501)-I498), I$511, H514*$L$603))</f>
        <v>0</v>
      </c>
      <c r="J502" s="186">
        <f>-MAX(0, MIN((SUM(J$499:J501)-J498), J$511, I514*$L$603))</f>
        <v>0</v>
      </c>
      <c r="K502" s="186">
        <f>-MAX(0, MIN((SUM(K$499:K501)-K498), K$511, J514*$L$603))</f>
        <v>0</v>
      </c>
      <c r="L502" s="186">
        <f>-MAX(0, MIN((SUM(L$499:L501)-L498), L$511, K514*$L$603))</f>
        <v>0</v>
      </c>
    </row>
    <row r="503" spans="1:12" ht="15.6" x14ac:dyDescent="0.35">
      <c r="A503" s="44"/>
      <c r="B503" s="61" t="s">
        <v>258</v>
      </c>
      <c r="C503" s="61"/>
      <c r="D503" s="63"/>
      <c r="E503" s="63"/>
      <c r="F503" s="116"/>
      <c r="G503" s="116"/>
      <c r="H503" s="186">
        <f>-MAX(0, MIN((SUM(H$501:H502)-H521), H$521, G525*$L$604))</f>
        <v>0</v>
      </c>
      <c r="I503" s="186">
        <f>-MAX(0, MIN((SUM(I$501:I502)-I521), I$521, H525*$L$604))</f>
        <v>0</v>
      </c>
      <c r="J503" s="186">
        <f>-MAX(0, MIN((SUM(J$501:J502)-J521), J$521, I525*$L$604))</f>
        <v>0</v>
      </c>
      <c r="K503" s="186">
        <f>-MAX(0, MIN((SUM(K$501:K502)-K521), K$521, J525*$L$604))</f>
        <v>0</v>
      </c>
      <c r="L503" s="186">
        <f>-MAX(0, MIN((SUM(L$501:L502)-L521), L$521, K525*$L$604))</f>
        <v>0</v>
      </c>
    </row>
    <row r="504" spans="1:12" ht="15.6" x14ac:dyDescent="0.35">
      <c r="A504" s="44"/>
      <c r="B504" s="61" t="s">
        <v>261</v>
      </c>
      <c r="C504" s="61"/>
      <c r="D504" s="63"/>
      <c r="E504" s="63"/>
      <c r="F504" s="116"/>
      <c r="G504" s="116"/>
      <c r="H504" s="186">
        <f>-MAX(0, MIN((SUM(H$501:H503)-H528), H$528, G531*$L$605))</f>
        <v>0</v>
      </c>
      <c r="I504" s="186">
        <f>-MAX(0, MIN((SUM(I$501:I503)-I528), I$528, H531*$L$605))</f>
        <v>0</v>
      </c>
      <c r="J504" s="186">
        <f>-MAX(0, MIN((SUM(J$501:J503)-J528), J$528, I531*$L$605))</f>
        <v>0</v>
      </c>
      <c r="K504" s="186">
        <f>-MAX(0, MIN((SUM(K$501:K503)-K528), K$528, J531*$L$605))</f>
        <v>0</v>
      </c>
      <c r="L504" s="186">
        <f>-MAX(0, MIN((SUM(L$501:L503)-L528), L$528, K531*$L$605))</f>
        <v>0</v>
      </c>
    </row>
    <row r="505" spans="1:12" ht="15.6" x14ac:dyDescent="0.35">
      <c r="A505" s="44"/>
      <c r="B505" s="61" t="s">
        <v>262</v>
      </c>
      <c r="C505" s="61"/>
      <c r="D505" s="63"/>
      <c r="E505" s="63"/>
      <c r="F505" s="116"/>
      <c r="G505" s="116"/>
      <c r="H505" s="186">
        <f>-MAX(0, MIN((SUM(H$501:H504)-H534), H$528, G537*$L$606))</f>
        <v>0</v>
      </c>
      <c r="I505" s="186">
        <f>-MAX(0, MIN((SUM(I$501:I504)-I534), I$528, H537*$L$606))</f>
        <v>0</v>
      </c>
      <c r="J505" s="186">
        <f>-MAX(0, MIN((SUM(J$501:J504)-J534), J$528, I537*$L$606))</f>
        <v>0</v>
      </c>
      <c r="K505" s="186">
        <f>-MAX(0, MIN((SUM(K$501:K504)-K534), K$528, J537*$L$606))</f>
        <v>0</v>
      </c>
      <c r="L505" s="186">
        <f>-MAX(0, MIN((SUM(L$501:L504)-L534), L$528, K537*$L$606))</f>
        <v>0</v>
      </c>
    </row>
    <row r="506" spans="1:12" ht="15.6" x14ac:dyDescent="0.35">
      <c r="A506" s="44"/>
      <c r="B506" s="61" t="s">
        <v>263</v>
      </c>
      <c r="C506" s="61"/>
      <c r="D506" s="63"/>
      <c r="E506" s="63"/>
      <c r="F506" s="116"/>
      <c r="G506" s="116"/>
      <c r="H506" s="186">
        <f>-MAX(0, MIN((SUM(H$501:H505)-H540), H$540, G543*$L$607))</f>
        <v>0</v>
      </c>
      <c r="I506" s="186">
        <f>-MAX(0, MIN((SUM(I$501:I505)-I540), I$540, H543*$L$607))</f>
        <v>0</v>
      </c>
      <c r="J506" s="186">
        <f>-MAX(0, MIN((SUM(J$501:J505)-J540), J$540, I543*$L$607))</f>
        <v>0</v>
      </c>
      <c r="K506" s="186">
        <f>-MAX(0, MIN((SUM(K$501:K505)-K540), K$540, J543*$L$607))</f>
        <v>0</v>
      </c>
      <c r="L506" s="186">
        <f>-MAX(0, MIN((SUM(L$501:L505)-L540), L$540, K543*$L$607))</f>
        <v>0</v>
      </c>
    </row>
    <row r="507" spans="1:12" ht="15.6" x14ac:dyDescent="0.35">
      <c r="A507" s="44"/>
      <c r="B507" s="61"/>
      <c r="C507" s="61"/>
      <c r="D507" s="63"/>
      <c r="E507" s="63"/>
      <c r="F507" s="116"/>
      <c r="G507" s="116"/>
      <c r="H507" s="97"/>
      <c r="I507" s="97"/>
      <c r="J507" s="97"/>
      <c r="K507" s="97"/>
      <c r="L507" s="97"/>
    </row>
    <row r="508" spans="1:12" ht="15.6" x14ac:dyDescent="0.35">
      <c r="A508" s="44"/>
      <c r="B508" s="196" t="s">
        <v>19</v>
      </c>
      <c r="C508" s="197"/>
      <c r="D508" s="198"/>
      <c r="E508" s="198"/>
      <c r="F508" s="199"/>
      <c r="G508" s="199"/>
      <c r="H508" s="199"/>
      <c r="I508" s="199"/>
      <c r="J508" s="199"/>
      <c r="K508" s="199"/>
      <c r="L508" s="200"/>
    </row>
    <row r="509" spans="1:12" ht="15.6" x14ac:dyDescent="0.35">
      <c r="A509" s="44"/>
      <c r="B509" s="61"/>
      <c r="C509" s="61"/>
      <c r="D509" s="61"/>
      <c r="E509" s="61"/>
      <c r="F509" s="73"/>
      <c r="G509" s="93"/>
      <c r="H509" s="97"/>
      <c r="I509" s="97"/>
      <c r="J509" s="97"/>
      <c r="K509" s="97"/>
      <c r="L509" s="97"/>
    </row>
    <row r="510" spans="1:12" ht="15.6" x14ac:dyDescent="0.35">
      <c r="A510" s="44"/>
      <c r="B510" s="128" t="s">
        <v>256</v>
      </c>
      <c r="C510" s="61"/>
      <c r="D510" s="61"/>
      <c r="E510" s="61"/>
      <c r="F510" s="73"/>
      <c r="G510" s="93"/>
      <c r="H510" s="97"/>
      <c r="I510" s="97"/>
      <c r="J510" s="97"/>
      <c r="K510" s="97"/>
      <c r="L510" s="97"/>
    </row>
    <row r="511" spans="1:12" ht="15.6" x14ac:dyDescent="0.35">
      <c r="A511" s="44"/>
      <c r="B511" s="61" t="s">
        <v>119</v>
      </c>
      <c r="C511" s="61"/>
      <c r="D511" s="61"/>
      <c r="E511" s="61"/>
      <c r="F511" s="73"/>
      <c r="G511" s="93"/>
      <c r="H511" s="236">
        <f>G514</f>
        <v>0</v>
      </c>
      <c r="I511" s="236">
        <f>H514</f>
        <v>0</v>
      </c>
      <c r="J511" s="236">
        <f t="shared" ref="J511:L511" si="215">I514</f>
        <v>60923302.801395714</v>
      </c>
      <c r="K511" s="236">
        <f t="shared" si="215"/>
        <v>87500000</v>
      </c>
      <c r="L511" s="236">
        <f t="shared" si="215"/>
        <v>87500000</v>
      </c>
    </row>
    <row r="512" spans="1:12" ht="15.6" x14ac:dyDescent="0.35">
      <c r="A512" s="44"/>
      <c r="B512" s="103" t="s">
        <v>120</v>
      </c>
      <c r="C512" s="63"/>
      <c r="D512" s="63"/>
      <c r="E512" s="63"/>
      <c r="F512" s="116"/>
      <c r="G512" s="116"/>
      <c r="H512" s="236">
        <f>MIN(MAX(0, -H499), H517-H511)</f>
        <v>0</v>
      </c>
      <c r="I512" s="236">
        <f>MIN(MAX(0, -I499), I517-I511)</f>
        <v>60923302.801395714</v>
      </c>
      <c r="J512" s="236">
        <f t="shared" ref="J512:L512" si="216">MIN(MAX(0, -J499), J517-J511)</f>
        <v>26576697.198604286</v>
      </c>
      <c r="K512" s="236">
        <f t="shared" si="216"/>
        <v>0</v>
      </c>
      <c r="L512" s="236">
        <f t="shared" si="216"/>
        <v>0</v>
      </c>
    </row>
    <row r="513" spans="1:12" ht="15.6" x14ac:dyDescent="0.35">
      <c r="A513" s="44"/>
      <c r="B513" s="103" t="s">
        <v>121</v>
      </c>
      <c r="C513" s="63"/>
      <c r="D513" s="63"/>
      <c r="E513" s="63"/>
      <c r="F513" s="116"/>
      <c r="G513" s="116"/>
      <c r="H513" s="236">
        <f>H502</f>
        <v>0</v>
      </c>
      <c r="I513" s="236">
        <f>I502</f>
        <v>0</v>
      </c>
      <c r="J513" s="236">
        <f t="shared" ref="J513:L513" si="217">J502</f>
        <v>0</v>
      </c>
      <c r="K513" s="236">
        <f t="shared" si="217"/>
        <v>0</v>
      </c>
      <c r="L513" s="236">
        <f t="shared" si="217"/>
        <v>0</v>
      </c>
    </row>
    <row r="514" spans="1:12" ht="15.6" x14ac:dyDescent="0.35">
      <c r="A514" s="44"/>
      <c r="B514" s="206" t="s">
        <v>122</v>
      </c>
      <c r="C514" s="185"/>
      <c r="D514" s="185"/>
      <c r="E514" s="204"/>
      <c r="F514" s="241"/>
      <c r="G514" s="380"/>
      <c r="H514" s="246">
        <f>SUM(H511:H513)</f>
        <v>0</v>
      </c>
      <c r="I514" s="246">
        <f t="shared" ref="I514:L514" si="218">SUM(I511:I513)</f>
        <v>60923302.801395714</v>
      </c>
      <c r="J514" s="246">
        <f t="shared" si="218"/>
        <v>87500000</v>
      </c>
      <c r="K514" s="246">
        <f t="shared" si="218"/>
        <v>87500000</v>
      </c>
      <c r="L514" s="246">
        <f t="shared" si="218"/>
        <v>87500000</v>
      </c>
    </row>
    <row r="515" spans="1:12" ht="15.6" x14ac:dyDescent="0.35">
      <c r="A515" s="44"/>
      <c r="B515" s="61"/>
      <c r="C515" s="63"/>
      <c r="D515" s="61"/>
      <c r="E515" s="61"/>
      <c r="F515" s="61"/>
      <c r="G515" s="248"/>
      <c r="H515" s="249"/>
      <c r="I515" s="116"/>
      <c r="J515" s="116"/>
      <c r="K515" s="116"/>
      <c r="L515" s="116"/>
    </row>
    <row r="516" spans="1:12" ht="15.6" customHeight="1" x14ac:dyDescent="0.35">
      <c r="A516" s="44"/>
      <c r="B516" s="128" t="s">
        <v>257</v>
      </c>
      <c r="C516" s="61"/>
      <c r="D516" s="61"/>
      <c r="E516" s="61"/>
      <c r="F516" s="61"/>
      <c r="G516" s="61"/>
      <c r="H516" s="61"/>
      <c r="I516" s="61"/>
      <c r="J516" s="61"/>
      <c r="K516" s="61"/>
      <c r="L516" s="61"/>
    </row>
    <row r="517" spans="1:12" ht="15.6" customHeight="1" x14ac:dyDescent="0.35">
      <c r="A517" s="44"/>
      <c r="B517" s="61" t="s">
        <v>123</v>
      </c>
      <c r="C517" s="63"/>
      <c r="D517" s="61"/>
      <c r="E517" s="61"/>
      <c r="F517" s="61"/>
      <c r="G517" s="312">
        <v>87500000</v>
      </c>
      <c r="H517" s="236">
        <f>G517</f>
        <v>87500000</v>
      </c>
      <c r="I517" s="236">
        <f t="shared" ref="I517:L517" si="219">H517</f>
        <v>87500000</v>
      </c>
      <c r="J517" s="236">
        <f t="shared" si="219"/>
        <v>87500000</v>
      </c>
      <c r="K517" s="236">
        <f t="shared" si="219"/>
        <v>87500000</v>
      </c>
      <c r="L517" s="236">
        <f t="shared" si="219"/>
        <v>87500000</v>
      </c>
    </row>
    <row r="518" spans="1:12" ht="15.6" customHeight="1" x14ac:dyDescent="0.35">
      <c r="A518" s="44"/>
      <c r="B518" s="61" t="s">
        <v>124</v>
      </c>
      <c r="C518" s="61"/>
      <c r="D518" s="61"/>
      <c r="E518" s="61"/>
      <c r="F518" s="61"/>
      <c r="G518" s="236">
        <f>G517-G514</f>
        <v>87500000</v>
      </c>
      <c r="H518" s="236">
        <f>H517-H514</f>
        <v>87500000</v>
      </c>
      <c r="I518" s="236">
        <f t="shared" ref="I518:L518" si="220">I517-I514</f>
        <v>26576697.198604286</v>
      </c>
      <c r="J518" s="236">
        <f t="shared" si="220"/>
        <v>0</v>
      </c>
      <c r="K518" s="236">
        <f t="shared" si="220"/>
        <v>0</v>
      </c>
      <c r="L518" s="236">
        <f t="shared" si="220"/>
        <v>0</v>
      </c>
    </row>
    <row r="519" spans="1:12" ht="15.6" customHeight="1" x14ac:dyDescent="0.35">
      <c r="A519" s="44"/>
      <c r="B519" s="61"/>
      <c r="C519" s="61"/>
      <c r="D519" s="61"/>
      <c r="E519" s="61"/>
      <c r="F519" s="61"/>
      <c r="G519" s="236"/>
      <c r="H519" s="236"/>
      <c r="I519" s="236"/>
      <c r="J519" s="236"/>
      <c r="K519" s="236"/>
      <c r="L519" s="236"/>
    </row>
    <row r="520" spans="1:12" ht="15.6" customHeight="1" x14ac:dyDescent="0.35">
      <c r="A520" s="44"/>
      <c r="B520" s="128" t="s">
        <v>258</v>
      </c>
      <c r="C520" s="61"/>
      <c r="D520" s="61"/>
      <c r="E520" s="61"/>
      <c r="F520" s="73"/>
      <c r="G520" s="93"/>
      <c r="H520" s="97"/>
      <c r="I520" s="97"/>
      <c r="J520" s="97"/>
      <c r="K520" s="97"/>
      <c r="L520" s="97"/>
    </row>
    <row r="521" spans="1:12" ht="15.6" customHeight="1" x14ac:dyDescent="0.35">
      <c r="A521" s="44"/>
      <c r="B521" s="61" t="s">
        <v>119</v>
      </c>
      <c r="C521" s="61"/>
      <c r="D521" s="61"/>
      <c r="E521" s="61"/>
      <c r="F521" s="73"/>
      <c r="G521" s="93"/>
      <c r="H521" s="236">
        <f>G525</f>
        <v>153800000</v>
      </c>
      <c r="I521" s="236">
        <f>H525</f>
        <v>150000000</v>
      </c>
      <c r="J521" s="236">
        <f t="shared" ref="J521:L521" si="221">I521</f>
        <v>150000000</v>
      </c>
      <c r="K521" s="236">
        <f t="shared" si="221"/>
        <v>150000000</v>
      </c>
      <c r="L521" s="236">
        <f t="shared" si="221"/>
        <v>150000000</v>
      </c>
    </row>
    <row r="522" spans="1:12" ht="15.6" customHeight="1" x14ac:dyDescent="0.35">
      <c r="A522" s="44"/>
      <c r="B522" s="103" t="s">
        <v>330</v>
      </c>
      <c r="C522" s="61"/>
      <c r="D522" s="61"/>
      <c r="E522" s="61"/>
      <c r="F522" s="73"/>
      <c r="G522" s="93"/>
      <c r="H522" s="312">
        <v>150000000</v>
      </c>
      <c r="I522" s="312">
        <v>0</v>
      </c>
      <c r="J522" s="312">
        <v>0</v>
      </c>
      <c r="K522" s="312">
        <v>0</v>
      </c>
      <c r="L522" s="312">
        <v>0</v>
      </c>
    </row>
    <row r="523" spans="1:12" ht="15.6" customHeight="1" x14ac:dyDescent="0.35">
      <c r="A523" s="44"/>
      <c r="B523" s="103" t="s">
        <v>259</v>
      </c>
      <c r="C523" s="63"/>
      <c r="D523" s="63"/>
      <c r="E523" s="63"/>
      <c r="F523" s="116"/>
      <c r="G523" s="116"/>
      <c r="H523" s="312">
        <v>-153800000</v>
      </c>
      <c r="I523" s="312">
        <f t="shared" ref="I523:L523" si="222">I564</f>
        <v>0</v>
      </c>
      <c r="J523" s="312">
        <f t="shared" si="222"/>
        <v>0</v>
      </c>
      <c r="K523" s="312">
        <f t="shared" si="222"/>
        <v>0</v>
      </c>
      <c r="L523" s="312">
        <f t="shared" si="222"/>
        <v>0</v>
      </c>
    </row>
    <row r="524" spans="1:12" ht="15.6" customHeight="1" x14ac:dyDescent="0.35">
      <c r="A524" s="44"/>
      <c r="B524" s="103" t="s">
        <v>260</v>
      </c>
      <c r="C524" s="63"/>
      <c r="D524" s="63"/>
      <c r="E524" s="63"/>
      <c r="F524" s="116"/>
      <c r="G524" s="116"/>
      <c r="H524" s="312">
        <v>0</v>
      </c>
      <c r="I524" s="312">
        <v>0</v>
      </c>
      <c r="J524" s="312">
        <v>0</v>
      </c>
      <c r="K524" s="312">
        <v>0</v>
      </c>
      <c r="L524" s="312">
        <v>0</v>
      </c>
    </row>
    <row r="525" spans="1:12" ht="15.6" customHeight="1" x14ac:dyDescent="0.35">
      <c r="A525" s="44"/>
      <c r="B525" s="206" t="s">
        <v>122</v>
      </c>
      <c r="C525" s="185"/>
      <c r="D525" s="185"/>
      <c r="E525" s="204"/>
      <c r="F525" s="241"/>
      <c r="G525" s="256">
        <v>153800000</v>
      </c>
      <c r="H525" s="246">
        <f>SUM(H521:H524)</f>
        <v>150000000</v>
      </c>
      <c r="I525" s="246">
        <f t="shared" ref="I525:L525" si="223">SUM(I521:I524)</f>
        <v>150000000</v>
      </c>
      <c r="J525" s="246">
        <f t="shared" si="223"/>
        <v>150000000</v>
      </c>
      <c r="K525" s="246">
        <f t="shared" si="223"/>
        <v>150000000</v>
      </c>
      <c r="L525" s="246">
        <f t="shared" si="223"/>
        <v>150000000</v>
      </c>
    </row>
    <row r="526" spans="1:12" ht="15.6" customHeight="1" x14ac:dyDescent="0.35">
      <c r="A526" s="44"/>
      <c r="B526" s="61"/>
      <c r="C526" s="61"/>
      <c r="D526" s="61"/>
      <c r="E526" s="61"/>
      <c r="F526" s="61"/>
      <c r="G526" s="236"/>
      <c r="H526" s="236"/>
      <c r="I526" s="236"/>
      <c r="J526" s="236"/>
      <c r="K526" s="236"/>
      <c r="L526" s="236"/>
    </row>
    <row r="527" spans="1:12" ht="15.6" customHeight="1" x14ac:dyDescent="0.35">
      <c r="A527" s="44"/>
      <c r="B527" s="128" t="s">
        <v>261</v>
      </c>
      <c r="C527" s="61"/>
      <c r="D527" s="61"/>
      <c r="E527" s="61"/>
      <c r="F527" s="73"/>
      <c r="G527" s="93"/>
      <c r="H527" s="97"/>
      <c r="I527" s="97"/>
      <c r="J527" s="97"/>
      <c r="K527" s="97"/>
      <c r="L527" s="97"/>
    </row>
    <row r="528" spans="1:12" ht="15.6" customHeight="1" x14ac:dyDescent="0.35">
      <c r="A528" s="44"/>
      <c r="B528" s="61" t="s">
        <v>119</v>
      </c>
      <c r="C528" s="61"/>
      <c r="D528" s="61"/>
      <c r="E528" s="61"/>
      <c r="F528" s="73"/>
      <c r="G528" s="93"/>
      <c r="H528" s="236">
        <f>G531</f>
        <v>6500000</v>
      </c>
      <c r="I528" s="236">
        <f>H531</f>
        <v>0</v>
      </c>
      <c r="J528" s="236">
        <f t="shared" ref="J528:L528" si="224">I531</f>
        <v>0</v>
      </c>
      <c r="K528" s="236">
        <f t="shared" si="224"/>
        <v>0</v>
      </c>
      <c r="L528" s="236">
        <f t="shared" si="224"/>
        <v>0</v>
      </c>
    </row>
    <row r="529" spans="1:12" ht="15.6" customHeight="1" x14ac:dyDescent="0.35">
      <c r="A529" s="44"/>
      <c r="B529" s="103" t="s">
        <v>259</v>
      </c>
      <c r="C529" s="63"/>
      <c r="D529" s="63"/>
      <c r="E529" s="63"/>
      <c r="F529" s="116"/>
      <c r="G529" s="116"/>
      <c r="H529" s="382">
        <f>H565</f>
        <v>-6500000</v>
      </c>
      <c r="I529" s="382">
        <f t="shared" ref="I529:L529" si="225">I565</f>
        <v>0</v>
      </c>
      <c r="J529" s="382">
        <f t="shared" si="225"/>
        <v>0</v>
      </c>
      <c r="K529" s="382">
        <f t="shared" si="225"/>
        <v>0</v>
      </c>
      <c r="L529" s="382">
        <f t="shared" si="225"/>
        <v>0</v>
      </c>
    </row>
    <row r="530" spans="1:12" ht="15.6" customHeight="1" x14ac:dyDescent="0.35">
      <c r="A530" s="44"/>
      <c r="B530" s="103" t="s">
        <v>260</v>
      </c>
      <c r="C530" s="63"/>
      <c r="D530" s="63"/>
      <c r="E530" s="63"/>
      <c r="F530" s="116"/>
      <c r="G530" s="116"/>
      <c r="H530" s="312">
        <v>0</v>
      </c>
      <c r="I530" s="312">
        <v>0</v>
      </c>
      <c r="J530" s="312">
        <v>0</v>
      </c>
      <c r="K530" s="312">
        <v>0</v>
      </c>
      <c r="L530" s="312">
        <v>0</v>
      </c>
    </row>
    <row r="531" spans="1:12" ht="15.6" customHeight="1" x14ac:dyDescent="0.35">
      <c r="A531" s="44"/>
      <c r="B531" s="206" t="s">
        <v>122</v>
      </c>
      <c r="C531" s="185"/>
      <c r="D531" s="185"/>
      <c r="E531" s="204"/>
      <c r="F531" s="241"/>
      <c r="G531" s="256">
        <v>6500000</v>
      </c>
      <c r="H531" s="246">
        <f>SUM(H528:H530)</f>
        <v>0</v>
      </c>
      <c r="I531" s="246">
        <f t="shared" ref="I531:L531" si="226">SUM(I528:I530)</f>
        <v>0</v>
      </c>
      <c r="J531" s="246">
        <f t="shared" si="226"/>
        <v>0</v>
      </c>
      <c r="K531" s="246">
        <f t="shared" si="226"/>
        <v>0</v>
      </c>
      <c r="L531" s="246">
        <f t="shared" si="226"/>
        <v>0</v>
      </c>
    </row>
    <row r="532" spans="1:12" ht="15.6" customHeight="1" x14ac:dyDescent="0.35">
      <c r="A532" s="44"/>
      <c r="B532" s="61"/>
      <c r="C532" s="61"/>
      <c r="D532" s="61"/>
      <c r="E532" s="61"/>
      <c r="F532" s="61"/>
      <c r="G532" s="236"/>
      <c r="H532" s="236"/>
      <c r="I532" s="236"/>
      <c r="J532" s="236"/>
      <c r="K532" s="236"/>
      <c r="L532" s="236"/>
    </row>
    <row r="533" spans="1:12" ht="15.6" customHeight="1" x14ac:dyDescent="0.35">
      <c r="A533" s="44"/>
      <c r="B533" s="128" t="s">
        <v>262</v>
      </c>
      <c r="C533" s="61"/>
      <c r="D533" s="61"/>
      <c r="E533" s="61"/>
      <c r="F533" s="73"/>
      <c r="G533" s="93"/>
      <c r="H533" s="97"/>
      <c r="I533" s="97"/>
      <c r="J533" s="97"/>
      <c r="K533" s="97"/>
      <c r="L533" s="97"/>
    </row>
    <row r="534" spans="1:12" ht="15.6" customHeight="1" x14ac:dyDescent="0.35">
      <c r="A534" s="44"/>
      <c r="B534" s="61" t="s">
        <v>119</v>
      </c>
      <c r="C534" s="61"/>
      <c r="D534" s="61"/>
      <c r="E534" s="61"/>
      <c r="F534" s="73"/>
      <c r="G534" s="93"/>
      <c r="H534" s="236">
        <f>G537</f>
        <v>73600000</v>
      </c>
      <c r="I534" s="236">
        <f>H537</f>
        <v>0</v>
      </c>
      <c r="J534" s="236">
        <f t="shared" ref="J534:L534" si="227">I537</f>
        <v>0</v>
      </c>
      <c r="K534" s="236">
        <f t="shared" si="227"/>
        <v>0</v>
      </c>
      <c r="L534" s="236">
        <f t="shared" si="227"/>
        <v>0</v>
      </c>
    </row>
    <row r="535" spans="1:12" ht="15.6" customHeight="1" x14ac:dyDescent="0.35">
      <c r="A535" s="44"/>
      <c r="B535" s="103" t="s">
        <v>259</v>
      </c>
      <c r="C535" s="63"/>
      <c r="D535" s="63"/>
      <c r="E535" s="63"/>
      <c r="F535" s="116"/>
      <c r="G535" s="116"/>
      <c r="H535" s="382">
        <f>H566</f>
        <v>-73600000</v>
      </c>
      <c r="I535" s="382">
        <f t="shared" ref="I535:L535" si="228">I566</f>
        <v>0</v>
      </c>
      <c r="J535" s="382">
        <f t="shared" si="228"/>
        <v>0</v>
      </c>
      <c r="K535" s="382">
        <f t="shared" si="228"/>
        <v>0</v>
      </c>
      <c r="L535" s="382">
        <f t="shared" si="228"/>
        <v>0</v>
      </c>
    </row>
    <row r="536" spans="1:12" ht="15.6" customHeight="1" x14ac:dyDescent="0.35">
      <c r="A536" s="44"/>
      <c r="B536" s="103" t="s">
        <v>260</v>
      </c>
      <c r="C536" s="63"/>
      <c r="D536" s="63"/>
      <c r="E536" s="63"/>
      <c r="F536" s="116"/>
      <c r="G536" s="116"/>
      <c r="H536" s="312">
        <v>0</v>
      </c>
      <c r="I536" s="312">
        <v>0</v>
      </c>
      <c r="J536" s="312">
        <v>0</v>
      </c>
      <c r="K536" s="312">
        <v>0</v>
      </c>
      <c r="L536" s="312">
        <v>0</v>
      </c>
    </row>
    <row r="537" spans="1:12" ht="15.6" customHeight="1" x14ac:dyDescent="0.35">
      <c r="A537" s="44"/>
      <c r="B537" s="206" t="s">
        <v>122</v>
      </c>
      <c r="C537" s="185"/>
      <c r="D537" s="185"/>
      <c r="E537" s="204"/>
      <c r="F537" s="241"/>
      <c r="G537" s="256">
        <v>73600000</v>
      </c>
      <c r="H537" s="246">
        <f>SUM(H534:H536)</f>
        <v>0</v>
      </c>
      <c r="I537" s="246">
        <f t="shared" ref="I537:L537" si="229">SUM(I534:I536)</f>
        <v>0</v>
      </c>
      <c r="J537" s="246">
        <f t="shared" si="229"/>
        <v>0</v>
      </c>
      <c r="K537" s="246">
        <f t="shared" si="229"/>
        <v>0</v>
      </c>
      <c r="L537" s="246">
        <f t="shared" si="229"/>
        <v>0</v>
      </c>
    </row>
    <row r="538" spans="1:12" ht="15.6" customHeight="1" x14ac:dyDescent="0.35">
      <c r="A538" s="44"/>
      <c r="B538" s="61"/>
      <c r="C538" s="61"/>
      <c r="D538" s="61"/>
      <c r="E538" s="61"/>
      <c r="F538" s="61"/>
      <c r="G538" s="236"/>
      <c r="H538" s="236"/>
      <c r="I538" s="236"/>
      <c r="J538" s="236"/>
      <c r="K538" s="236"/>
      <c r="L538" s="236"/>
    </row>
    <row r="539" spans="1:12" ht="15.6" customHeight="1" x14ac:dyDescent="0.35">
      <c r="A539" s="44"/>
      <c r="B539" s="128" t="s">
        <v>263</v>
      </c>
      <c r="C539" s="61"/>
      <c r="D539" s="61"/>
      <c r="E539" s="61"/>
      <c r="F539" s="73"/>
      <c r="G539" s="93"/>
      <c r="H539" s="97"/>
      <c r="I539" s="97"/>
      <c r="J539" s="97"/>
      <c r="K539" s="97"/>
      <c r="L539" s="97"/>
    </row>
    <row r="540" spans="1:12" ht="15.6" customHeight="1" x14ac:dyDescent="0.35">
      <c r="A540" s="44"/>
      <c r="B540" s="61" t="s">
        <v>119</v>
      </c>
      <c r="C540" s="61"/>
      <c r="D540" s="61"/>
      <c r="E540" s="61"/>
      <c r="F540" s="73"/>
      <c r="G540" s="93"/>
      <c r="H540" s="236">
        <f>G543</f>
        <v>269700000</v>
      </c>
      <c r="I540" s="236">
        <f>H543</f>
        <v>269700000</v>
      </c>
      <c r="J540" s="236">
        <f t="shared" ref="J540:L540" si="230">I543</f>
        <v>269700000</v>
      </c>
      <c r="K540" s="236">
        <f t="shared" si="230"/>
        <v>269700000</v>
      </c>
      <c r="L540" s="236">
        <f t="shared" si="230"/>
        <v>0</v>
      </c>
    </row>
    <row r="541" spans="1:12" ht="15.6" customHeight="1" x14ac:dyDescent="0.35">
      <c r="A541" s="44"/>
      <c r="B541" s="103" t="s">
        <v>259</v>
      </c>
      <c r="C541" s="63"/>
      <c r="D541" s="63"/>
      <c r="E541" s="63"/>
      <c r="F541" s="116"/>
      <c r="G541" s="116"/>
      <c r="H541" s="382">
        <f>H567</f>
        <v>0</v>
      </c>
      <c r="I541" s="382">
        <f t="shared" ref="I541:L541" si="231">I567</f>
        <v>0</v>
      </c>
      <c r="J541" s="382">
        <f t="shared" si="231"/>
        <v>0</v>
      </c>
      <c r="K541" s="382">
        <f t="shared" si="231"/>
        <v>-269700000</v>
      </c>
      <c r="L541" s="382">
        <f t="shared" si="231"/>
        <v>0</v>
      </c>
    </row>
    <row r="542" spans="1:12" ht="15.6" customHeight="1" x14ac:dyDescent="0.35">
      <c r="A542" s="44"/>
      <c r="B542" s="103" t="s">
        <v>260</v>
      </c>
      <c r="C542" s="63"/>
      <c r="D542" s="63"/>
      <c r="E542" s="63"/>
      <c r="F542" s="116"/>
      <c r="G542" s="116"/>
      <c r="H542" s="312">
        <v>0</v>
      </c>
      <c r="I542" s="312">
        <v>0</v>
      </c>
      <c r="J542" s="312">
        <v>0</v>
      </c>
      <c r="K542" s="312">
        <v>0</v>
      </c>
      <c r="L542" s="312">
        <v>0</v>
      </c>
    </row>
    <row r="543" spans="1:12" ht="15.6" customHeight="1" x14ac:dyDescent="0.35">
      <c r="A543" s="44"/>
      <c r="B543" s="206" t="s">
        <v>122</v>
      </c>
      <c r="C543" s="185"/>
      <c r="D543" s="185"/>
      <c r="E543" s="204"/>
      <c r="F543" s="241"/>
      <c r="G543" s="256">
        <v>269700000</v>
      </c>
      <c r="H543" s="246">
        <f>SUM(H540:H542)</f>
        <v>269700000</v>
      </c>
      <c r="I543" s="246">
        <f t="shared" ref="I543:L543" si="232">SUM(I540:I542)</f>
        <v>269700000</v>
      </c>
      <c r="J543" s="246">
        <f t="shared" si="232"/>
        <v>269700000</v>
      </c>
      <c r="K543" s="246">
        <f t="shared" si="232"/>
        <v>0</v>
      </c>
      <c r="L543" s="246">
        <f t="shared" si="232"/>
        <v>0</v>
      </c>
    </row>
    <row r="544" spans="1:12" ht="15.6" customHeight="1" x14ac:dyDescent="0.35">
      <c r="A544" s="44"/>
      <c r="B544" s="63"/>
      <c r="C544" s="63"/>
      <c r="D544" s="63"/>
      <c r="E544" s="63"/>
      <c r="F544" s="223"/>
      <c r="G544" s="254"/>
      <c r="H544" s="223"/>
      <c r="I544" s="223"/>
      <c r="J544" s="223"/>
      <c r="K544" s="223"/>
      <c r="L544" s="223"/>
    </row>
    <row r="545" spans="1:12" ht="15.6" customHeight="1" x14ac:dyDescent="0.35">
      <c r="A545" s="44"/>
      <c r="B545" s="128" t="s">
        <v>345</v>
      </c>
      <c r="C545" s="63"/>
      <c r="D545" s="63"/>
      <c r="E545" s="63"/>
      <c r="F545" s="223"/>
      <c r="G545" s="254"/>
      <c r="H545" s="223"/>
      <c r="I545" s="223"/>
      <c r="J545" s="223"/>
      <c r="K545" s="223"/>
      <c r="L545" s="223"/>
    </row>
    <row r="546" spans="1:12" ht="15.6" customHeight="1" x14ac:dyDescent="0.35">
      <c r="A546" s="44"/>
      <c r="B546" s="61" t="s">
        <v>346</v>
      </c>
      <c r="C546" s="61"/>
      <c r="D546" s="61"/>
      <c r="E546" s="61"/>
      <c r="F546" s="236"/>
      <c r="G546" s="180"/>
      <c r="H546" s="236">
        <f>H499+H512+H522-H524-H530-H536-H542</f>
        <v>244099905.56847787</v>
      </c>
      <c r="I546" s="236">
        <f t="shared" ref="I546:L546" si="233">I499+I512+I522-I524-I530-I536-I542</f>
        <v>0</v>
      </c>
      <c r="J546" s="236">
        <f t="shared" si="233"/>
        <v>-112020964.65775073</v>
      </c>
      <c r="K546" s="236">
        <f t="shared" si="233"/>
        <v>-398493089.74624586</v>
      </c>
      <c r="L546" s="236">
        <f t="shared" si="233"/>
        <v>-112414759.57978298</v>
      </c>
    </row>
    <row r="547" spans="1:12" ht="15.6" customHeight="1" x14ac:dyDescent="0.35">
      <c r="A547" s="44"/>
      <c r="B547" s="61" t="s">
        <v>347</v>
      </c>
      <c r="C547" s="61"/>
      <c r="D547" s="61"/>
      <c r="E547" s="61"/>
      <c r="F547" s="236"/>
      <c r="G547" s="180"/>
      <c r="H547" s="236">
        <f>MAX(-H546, 0)</f>
        <v>0</v>
      </c>
      <c r="I547" s="236">
        <f t="shared" ref="I547:L547" si="234">MAX(-I546, 0)</f>
        <v>0</v>
      </c>
      <c r="J547" s="236">
        <f t="shared" si="234"/>
        <v>112020964.65775073</v>
      </c>
      <c r="K547" s="236">
        <f t="shared" si="234"/>
        <v>398493089.74624586</v>
      </c>
      <c r="L547" s="236">
        <f t="shared" si="234"/>
        <v>112414759.57978298</v>
      </c>
    </row>
    <row r="548" spans="1:12" ht="15.6" customHeight="1" x14ac:dyDescent="0.35">
      <c r="A548" s="44"/>
      <c r="B548" s="63"/>
      <c r="C548" s="63"/>
      <c r="D548" s="63"/>
      <c r="E548" s="63"/>
      <c r="F548" s="223"/>
      <c r="G548" s="254"/>
      <c r="H548" s="223"/>
      <c r="I548" s="223"/>
      <c r="J548" s="223"/>
      <c r="K548" s="223"/>
      <c r="L548" s="223"/>
    </row>
    <row r="549" spans="1:12" ht="15.6" customHeight="1" x14ac:dyDescent="0.35">
      <c r="A549" s="44"/>
      <c r="B549" s="128" t="s">
        <v>347</v>
      </c>
      <c r="C549" s="61"/>
      <c r="D549" s="61"/>
      <c r="E549" s="61"/>
      <c r="F549" s="73"/>
      <c r="G549" s="93"/>
      <c r="H549" s="97"/>
      <c r="I549" s="97"/>
      <c r="J549" s="97"/>
      <c r="K549" s="97"/>
      <c r="L549" s="97"/>
    </row>
    <row r="550" spans="1:12" ht="15.6" customHeight="1" x14ac:dyDescent="0.35">
      <c r="A550" s="44"/>
      <c r="B550" s="61" t="s">
        <v>119</v>
      </c>
      <c r="C550" s="61"/>
      <c r="D550" s="61"/>
      <c r="E550" s="61"/>
      <c r="F550" s="73"/>
      <c r="G550" s="93"/>
      <c r="H550" s="236">
        <f>G553</f>
        <v>0</v>
      </c>
      <c r="I550" s="236">
        <f>H553</f>
        <v>0</v>
      </c>
      <c r="J550" s="236">
        <f t="shared" ref="J550" si="235">I553</f>
        <v>0</v>
      </c>
      <c r="K550" s="236">
        <f t="shared" ref="K550" si="236">J553</f>
        <v>112020964.65775073</v>
      </c>
      <c r="L550" s="236">
        <f t="shared" ref="L550" si="237">K553</f>
        <v>510514054.40399659</v>
      </c>
    </row>
    <row r="551" spans="1:12" ht="15.6" customHeight="1" x14ac:dyDescent="0.35">
      <c r="A551" s="44"/>
      <c r="B551" s="103" t="s">
        <v>300</v>
      </c>
      <c r="C551" s="63"/>
      <c r="D551" s="63"/>
      <c r="E551" s="63"/>
      <c r="F551" s="116"/>
      <c r="G551" s="116"/>
      <c r="H551" s="382">
        <f>H547</f>
        <v>0</v>
      </c>
      <c r="I551" s="382">
        <f t="shared" ref="I551:L551" si="238">I547</f>
        <v>0</v>
      </c>
      <c r="J551" s="382">
        <f t="shared" si="238"/>
        <v>112020964.65775073</v>
      </c>
      <c r="K551" s="382">
        <f t="shared" si="238"/>
        <v>398493089.74624586</v>
      </c>
      <c r="L551" s="382">
        <f t="shared" si="238"/>
        <v>112414759.57978298</v>
      </c>
    </row>
    <row r="552" spans="1:12" ht="15.6" customHeight="1" x14ac:dyDescent="0.35">
      <c r="A552" s="44"/>
      <c r="B552" s="103" t="s">
        <v>349</v>
      </c>
      <c r="C552" s="63"/>
      <c r="D552" s="63"/>
      <c r="E552" s="63"/>
      <c r="F552" s="116"/>
      <c r="G552" s="116"/>
      <c r="H552" s="312">
        <v>0</v>
      </c>
      <c r="I552" s="312">
        <v>0</v>
      </c>
      <c r="J552" s="312">
        <v>0</v>
      </c>
      <c r="K552" s="312">
        <v>0</v>
      </c>
      <c r="L552" s="312">
        <v>0</v>
      </c>
    </row>
    <row r="553" spans="1:12" ht="15.6" customHeight="1" x14ac:dyDescent="0.35">
      <c r="A553" s="44"/>
      <c r="B553" s="206" t="s">
        <v>122</v>
      </c>
      <c r="C553" s="185"/>
      <c r="D553" s="185"/>
      <c r="E553" s="204"/>
      <c r="F553" s="241"/>
      <c r="G553" s="256">
        <v>0</v>
      </c>
      <c r="H553" s="246">
        <f>SUM(H550:H552)</f>
        <v>0</v>
      </c>
      <c r="I553" s="246">
        <f t="shared" ref="I553:L553" si="239">SUM(I550:I552)</f>
        <v>0</v>
      </c>
      <c r="J553" s="246">
        <f t="shared" si="239"/>
        <v>112020964.65775073</v>
      </c>
      <c r="K553" s="246">
        <f t="shared" si="239"/>
        <v>510514054.40399659</v>
      </c>
      <c r="L553" s="246">
        <f t="shared" si="239"/>
        <v>622928813.98377955</v>
      </c>
    </row>
    <row r="554" spans="1:12" ht="15.6" customHeight="1" x14ac:dyDescent="0.35">
      <c r="A554" s="44"/>
      <c r="B554" s="63"/>
      <c r="C554" s="63"/>
      <c r="D554" s="63"/>
      <c r="E554" s="63"/>
      <c r="F554" s="223"/>
      <c r="G554" s="254"/>
      <c r="H554" s="223"/>
      <c r="I554" s="223"/>
      <c r="J554" s="223"/>
      <c r="K554" s="223"/>
      <c r="L554" s="223"/>
    </row>
    <row r="555" spans="1:12" ht="15.6" customHeight="1" x14ac:dyDescent="0.35">
      <c r="A555" s="44"/>
      <c r="B555" s="128" t="s">
        <v>299</v>
      </c>
      <c r="C555" s="61"/>
      <c r="D555" s="61"/>
      <c r="E555" s="61"/>
      <c r="F555" s="73"/>
      <c r="G555" s="93"/>
      <c r="H555" s="97"/>
      <c r="I555" s="97"/>
      <c r="J555" s="97"/>
      <c r="K555" s="97"/>
      <c r="L555" s="97"/>
    </row>
    <row r="556" spans="1:12" ht="15.6" customHeight="1" x14ac:dyDescent="0.35">
      <c r="A556" s="44"/>
      <c r="B556" s="61" t="s">
        <v>119</v>
      </c>
      <c r="C556" s="61"/>
      <c r="D556" s="61"/>
      <c r="E556" s="61"/>
      <c r="F556" s="73"/>
      <c r="G556" s="93"/>
      <c r="H556" s="236">
        <f>SUM(H521,H528,H511,H534,H540)</f>
        <v>503600000</v>
      </c>
      <c r="I556" s="236">
        <f>H560</f>
        <v>419700000</v>
      </c>
      <c r="J556" s="236">
        <f t="shared" ref="J556:L556" si="240">I560</f>
        <v>480623302.80139571</v>
      </c>
      <c r="K556" s="236">
        <f t="shared" si="240"/>
        <v>619220964.65775073</v>
      </c>
      <c r="L556" s="236">
        <f t="shared" si="240"/>
        <v>748014054.40399659</v>
      </c>
    </row>
    <row r="557" spans="1:12" ht="15.6" customHeight="1" x14ac:dyDescent="0.35">
      <c r="A557" s="44"/>
      <c r="B557" s="103" t="s">
        <v>300</v>
      </c>
      <c r="C557" s="61"/>
      <c r="D557" s="61"/>
      <c r="E557" s="61"/>
      <c r="F557" s="73"/>
      <c r="G557" s="93"/>
      <c r="H557" s="236">
        <f>H512+H522+H551</f>
        <v>150000000</v>
      </c>
      <c r="I557" s="236">
        <f>I512+I522+I551</f>
        <v>60923302.801395714</v>
      </c>
      <c r="J557" s="236">
        <f t="shared" ref="J557:L557" si="241">J512+J522+J551</f>
        <v>138597661.85635501</v>
      </c>
      <c r="K557" s="236">
        <f t="shared" si="241"/>
        <v>398493089.74624586</v>
      </c>
      <c r="L557" s="236">
        <f t="shared" si="241"/>
        <v>112414759.57978298</v>
      </c>
    </row>
    <row r="558" spans="1:12" ht="15.6" customHeight="1" x14ac:dyDescent="0.35">
      <c r="A558" s="44"/>
      <c r="B558" s="103" t="s">
        <v>259</v>
      </c>
      <c r="C558" s="63"/>
      <c r="D558" s="63"/>
      <c r="E558" s="63"/>
      <c r="F558" s="116"/>
      <c r="G558" s="116"/>
      <c r="H558" s="382">
        <f>H513+H523+H529+H535+H541+H552</f>
        <v>-233900000</v>
      </c>
      <c r="I558" s="382">
        <f t="shared" ref="I558:L558" si="242">I513+I523+I529+I535+I541+I552</f>
        <v>0</v>
      </c>
      <c r="J558" s="382">
        <f t="shared" si="242"/>
        <v>0</v>
      </c>
      <c r="K558" s="382">
        <f t="shared" si="242"/>
        <v>-269700000</v>
      </c>
      <c r="L558" s="382">
        <f t="shared" si="242"/>
        <v>0</v>
      </c>
    </row>
    <row r="559" spans="1:12" ht="15.6" customHeight="1" x14ac:dyDescent="0.35">
      <c r="A559" s="44"/>
      <c r="B559" s="103" t="s">
        <v>260</v>
      </c>
      <c r="C559" s="63"/>
      <c r="D559" s="63"/>
      <c r="E559" s="63"/>
      <c r="F559" s="116"/>
      <c r="G559" s="116"/>
      <c r="H559" s="180">
        <f>H524+H530+H536+H542</f>
        <v>0</v>
      </c>
      <c r="I559" s="180">
        <f t="shared" ref="I559:L559" si="243">I524+I530+I536+I542</f>
        <v>0</v>
      </c>
      <c r="J559" s="180">
        <f t="shared" si="243"/>
        <v>0</v>
      </c>
      <c r="K559" s="180">
        <f t="shared" si="243"/>
        <v>0</v>
      </c>
      <c r="L559" s="180">
        <f t="shared" si="243"/>
        <v>0</v>
      </c>
    </row>
    <row r="560" spans="1:12" ht="15.6" customHeight="1" x14ac:dyDescent="0.35">
      <c r="A560" s="44"/>
      <c r="B560" s="206" t="s">
        <v>122</v>
      </c>
      <c r="C560" s="185"/>
      <c r="D560" s="185"/>
      <c r="E560" s="204"/>
      <c r="F560" s="241"/>
      <c r="G560" s="256">
        <v>263700000</v>
      </c>
      <c r="H560" s="246">
        <f>SUM(H556:H559)</f>
        <v>419700000</v>
      </c>
      <c r="I560" s="246">
        <f t="shared" ref="I560:L560" si="244">SUM(I556:I559)</f>
        <v>480623302.80139571</v>
      </c>
      <c r="J560" s="246">
        <f t="shared" si="244"/>
        <v>619220964.65775073</v>
      </c>
      <c r="K560" s="246">
        <f t="shared" si="244"/>
        <v>748014054.40399659</v>
      </c>
      <c r="L560" s="246">
        <f t="shared" si="244"/>
        <v>860428813.98377955</v>
      </c>
    </row>
    <row r="561" spans="1:12" ht="15.6" customHeight="1" x14ac:dyDescent="0.35">
      <c r="A561" s="44"/>
      <c r="B561" s="63"/>
      <c r="C561" s="63"/>
      <c r="D561" s="63"/>
      <c r="E561" s="63"/>
      <c r="F561" s="223"/>
      <c r="G561" s="254"/>
      <c r="H561" s="223"/>
      <c r="I561" s="223"/>
      <c r="J561" s="223"/>
      <c r="K561" s="223"/>
      <c r="L561" s="223"/>
    </row>
    <row r="562" spans="1:12" ht="15.6" customHeight="1" x14ac:dyDescent="0.35">
      <c r="A562" s="44"/>
      <c r="B562" s="196" t="s">
        <v>273</v>
      </c>
      <c r="C562" s="197"/>
      <c r="D562" s="198"/>
      <c r="E562" s="198"/>
      <c r="F562" s="199"/>
      <c r="G562" s="199"/>
      <c r="H562" s="199"/>
      <c r="I562" s="199"/>
      <c r="J562" s="199"/>
      <c r="K562" s="199"/>
      <c r="L562" s="200"/>
    </row>
    <row r="563" spans="1:12" ht="15.6" customHeight="1" x14ac:dyDescent="0.35">
      <c r="A563" s="44"/>
      <c r="B563" s="61"/>
      <c r="C563" s="61"/>
      <c r="D563" s="61"/>
      <c r="E563" s="61"/>
      <c r="F563" s="61"/>
      <c r="G563" s="236"/>
      <c r="H563" s="236"/>
      <c r="I563" s="236"/>
      <c r="J563" s="236"/>
      <c r="K563" s="236"/>
      <c r="L563" s="236"/>
    </row>
    <row r="564" spans="1:12" ht="15.6" customHeight="1" x14ac:dyDescent="0.35">
      <c r="A564" s="44"/>
      <c r="B564" s="61" t="s">
        <v>258</v>
      </c>
      <c r="C564" s="61"/>
      <c r="D564" s="63"/>
      <c r="E564" s="63"/>
      <c r="F564" s="116"/>
      <c r="G564" s="116"/>
      <c r="H564" s="312">
        <v>0</v>
      </c>
      <c r="I564" s="312">
        <v>0</v>
      </c>
      <c r="J564" s="312">
        <v>0</v>
      </c>
      <c r="K564" s="312">
        <v>0</v>
      </c>
      <c r="L564" s="312">
        <v>0</v>
      </c>
    </row>
    <row r="565" spans="1:12" ht="15.6" customHeight="1" x14ac:dyDescent="0.35">
      <c r="A565" s="44"/>
      <c r="B565" s="61" t="s">
        <v>261</v>
      </c>
      <c r="C565" s="61"/>
      <c r="D565" s="63"/>
      <c r="E565" s="63"/>
      <c r="F565" s="116"/>
      <c r="G565" s="116"/>
      <c r="H565" s="312">
        <v>-6500000</v>
      </c>
      <c r="I565" s="312">
        <v>0</v>
      </c>
      <c r="J565" s="312">
        <v>0</v>
      </c>
      <c r="K565" s="312">
        <v>0</v>
      </c>
      <c r="L565" s="312">
        <v>0</v>
      </c>
    </row>
    <row r="566" spans="1:12" ht="15.6" customHeight="1" x14ac:dyDescent="0.35">
      <c r="A566" s="44"/>
      <c r="B566" s="61" t="s">
        <v>262</v>
      </c>
      <c r="C566" s="61"/>
      <c r="D566" s="63"/>
      <c r="E566" s="63"/>
      <c r="F566" s="116"/>
      <c r="G566" s="116"/>
      <c r="H566" s="312">
        <v>-73600000</v>
      </c>
      <c r="I566" s="312">
        <v>0</v>
      </c>
      <c r="J566" s="312">
        <v>0</v>
      </c>
      <c r="K566" s="312">
        <v>0</v>
      </c>
      <c r="L566" s="312">
        <v>0</v>
      </c>
    </row>
    <row r="567" spans="1:12" ht="15.6" customHeight="1" x14ac:dyDescent="0.35">
      <c r="A567" s="44"/>
      <c r="B567" s="61" t="s">
        <v>263</v>
      </c>
      <c r="C567" s="61"/>
      <c r="D567" s="63"/>
      <c r="E567" s="63"/>
      <c r="F567" s="116"/>
      <c r="G567" s="116"/>
      <c r="H567" s="312">
        <v>0</v>
      </c>
      <c r="I567" s="312">
        <v>0</v>
      </c>
      <c r="J567" s="312"/>
      <c r="K567" s="312">
        <v>-269700000</v>
      </c>
      <c r="L567" s="312">
        <v>0</v>
      </c>
    </row>
    <row r="568" spans="1:12" ht="15.6" customHeight="1" x14ac:dyDescent="0.35">
      <c r="A568" s="44"/>
      <c r="B568" s="61"/>
      <c r="C568" s="61"/>
      <c r="D568" s="61"/>
      <c r="E568" s="61"/>
      <c r="F568" s="61"/>
      <c r="G568" s="236"/>
      <c r="H568" s="236"/>
      <c r="I568" s="236"/>
      <c r="J568" s="236"/>
      <c r="K568" s="236"/>
      <c r="L568" s="236"/>
    </row>
    <row r="569" spans="1:12" ht="15.6" x14ac:dyDescent="0.35">
      <c r="A569" s="44"/>
      <c r="B569" s="196" t="s">
        <v>136</v>
      </c>
      <c r="C569" s="197"/>
      <c r="D569" s="198"/>
      <c r="E569" s="198"/>
      <c r="F569" s="199"/>
      <c r="G569" s="199"/>
      <c r="H569" s="199"/>
      <c r="I569" s="199"/>
      <c r="J569" s="199"/>
      <c r="K569" s="199"/>
      <c r="L569" s="200"/>
    </row>
    <row r="570" spans="1:12" ht="15.6" x14ac:dyDescent="0.35">
      <c r="A570" s="44"/>
      <c r="B570" s="61"/>
      <c r="C570" s="61"/>
      <c r="D570" s="61"/>
      <c r="E570" s="61"/>
      <c r="F570" s="61"/>
      <c r="G570" s="99"/>
      <c r="H570" s="74"/>
      <c r="I570" s="74"/>
      <c r="J570" s="74"/>
      <c r="K570" s="74"/>
      <c r="L570" s="74"/>
    </row>
    <row r="571" spans="1:12" ht="15.6" x14ac:dyDescent="0.35">
      <c r="A571" s="44"/>
      <c r="B571" s="61" t="s">
        <v>132</v>
      </c>
      <c r="C571" s="61"/>
      <c r="D571" s="61"/>
      <c r="E571" s="61"/>
      <c r="F571" s="61"/>
      <c r="G571" s="99"/>
      <c r="H571" s="383">
        <v>4.2000000000000003E-2</v>
      </c>
      <c r="I571" s="383">
        <v>4.5999999999999999E-2</v>
      </c>
      <c r="J571" s="383">
        <v>0.05</v>
      </c>
      <c r="K571" s="383">
        <v>0.05</v>
      </c>
      <c r="L571" s="383">
        <v>4.7E-2</v>
      </c>
    </row>
    <row r="572" spans="1:12" ht="15.6" x14ac:dyDescent="0.35">
      <c r="A572" s="44"/>
      <c r="B572" s="61" t="s">
        <v>11</v>
      </c>
      <c r="C572" s="61"/>
      <c r="D572" s="61"/>
      <c r="E572" s="61"/>
      <c r="F572" s="61"/>
      <c r="G572" s="99"/>
      <c r="H572" s="384">
        <v>0.01</v>
      </c>
      <c r="I572" s="385">
        <f>H572</f>
        <v>0.01</v>
      </c>
      <c r="J572" s="385">
        <f t="shared" ref="J572:L572" si="245">I572</f>
        <v>0.01</v>
      </c>
      <c r="K572" s="385">
        <f t="shared" si="245"/>
        <v>0.01</v>
      </c>
      <c r="L572" s="385">
        <f t="shared" si="245"/>
        <v>0.01</v>
      </c>
    </row>
    <row r="573" spans="1:12" ht="15.6" x14ac:dyDescent="0.35">
      <c r="A573" s="44"/>
      <c r="B573" s="61" t="s">
        <v>137</v>
      </c>
      <c r="C573" s="61"/>
      <c r="D573" s="61"/>
      <c r="E573" s="61"/>
      <c r="F573" s="61"/>
      <c r="G573" s="99"/>
      <c r="H573" s="386">
        <v>5.0000000000000001E-3</v>
      </c>
      <c r="I573" s="387">
        <f>H573</f>
        <v>5.0000000000000001E-3</v>
      </c>
      <c r="J573" s="387">
        <f t="shared" ref="J573:L573" si="246">I573</f>
        <v>5.0000000000000001E-3</v>
      </c>
      <c r="K573" s="387">
        <f t="shared" si="246"/>
        <v>5.0000000000000001E-3</v>
      </c>
      <c r="L573" s="387">
        <f t="shared" si="246"/>
        <v>5.0000000000000001E-3</v>
      </c>
    </row>
    <row r="574" spans="1:12" ht="15.6" x14ac:dyDescent="0.35">
      <c r="A574" s="44"/>
      <c r="B574" s="61"/>
      <c r="C574" s="61"/>
      <c r="D574" s="61"/>
      <c r="E574" s="61"/>
      <c r="F574" s="61"/>
      <c r="G574" s="99"/>
      <c r="H574" s="388"/>
      <c r="I574" s="388"/>
      <c r="J574" s="388"/>
      <c r="K574" s="388"/>
      <c r="L574" s="388"/>
    </row>
    <row r="575" spans="1:12" ht="15.6" x14ac:dyDescent="0.35">
      <c r="A575" s="44"/>
      <c r="B575" s="61" t="s">
        <v>118</v>
      </c>
      <c r="C575" s="61"/>
      <c r="D575" s="61"/>
      <c r="E575" s="61"/>
      <c r="F575" s="61"/>
      <c r="G575" s="99"/>
      <c r="H575" s="139">
        <f>H$571+($G$603+$F$603)*($G$603&lt;&gt;0)</f>
        <v>9.1999999999999998E-2</v>
      </c>
      <c r="I575" s="139">
        <f>I$571+($G$603+$F$603)*($G$603&lt;&gt;0)</f>
        <v>9.6000000000000002E-2</v>
      </c>
      <c r="J575" s="139">
        <f>J$571+($G$603+$F$603)*($G$603&lt;&gt;0)</f>
        <v>0.1</v>
      </c>
      <c r="K575" s="139">
        <f>K$571+($G$603+$F$603)*($G$603&lt;&gt;0)</f>
        <v>0.1</v>
      </c>
      <c r="L575" s="139">
        <f>L$571+($G$603+$F$603)*($G$603&lt;&gt;0)</f>
        <v>9.7000000000000003E-2</v>
      </c>
    </row>
    <row r="576" spans="1:12" ht="15.6" x14ac:dyDescent="0.35">
      <c r="A576" s="44"/>
      <c r="B576" s="61" t="s">
        <v>264</v>
      </c>
      <c r="C576" s="61"/>
      <c r="D576" s="61"/>
      <c r="E576" s="61"/>
      <c r="F576" s="61"/>
      <c r="G576" s="99"/>
      <c r="H576" s="139">
        <f>H$571+($G$604+$F$604)*($G$604&lt;&gt;0)</f>
        <v>0.11200000000000002</v>
      </c>
      <c r="I576" s="139">
        <f>I$571+($G$604+$F$604)*($G$604&lt;&gt;0)</f>
        <v>0.11600000000000001</v>
      </c>
      <c r="J576" s="139">
        <f>J$571+($G$604+$F$604)*($G$604&lt;&gt;0)</f>
        <v>0.12000000000000001</v>
      </c>
      <c r="K576" s="139">
        <f>K$571+($G$604+$F$604)*($G$604&lt;&gt;0)</f>
        <v>0.12000000000000001</v>
      </c>
      <c r="L576" s="139">
        <f>L$571+($G$604+$F$604)*($G$604&lt;&gt;0)</f>
        <v>0.11700000000000001</v>
      </c>
    </row>
    <row r="577" spans="1:12" ht="15.6" x14ac:dyDescent="0.35">
      <c r="A577" s="44"/>
      <c r="B577" s="61" t="s">
        <v>261</v>
      </c>
      <c r="C577" s="61"/>
      <c r="D577" s="61"/>
      <c r="E577" s="61"/>
      <c r="F577" s="61"/>
      <c r="G577" s="99"/>
      <c r="H577" s="389">
        <f>$F$605+($G$605+H571)*($G$605&lt;&gt;0)</f>
        <v>6.5000000000000002E-2</v>
      </c>
      <c r="I577" s="389">
        <f>$F$605+($G$605+I571)*($G$605&lt;&gt;0)</f>
        <v>6.5000000000000002E-2</v>
      </c>
      <c r="J577" s="389">
        <f>$F$605+($G$605+J571)*($G$605&lt;&gt;0)</f>
        <v>6.5000000000000002E-2</v>
      </c>
      <c r="K577" s="389">
        <f>$F$605+($G$605+K571)*($G$605&lt;&gt;0)</f>
        <v>6.5000000000000002E-2</v>
      </c>
      <c r="L577" s="389">
        <f>$F$605+($G$605+L571)*($G$605&lt;&gt;0)</f>
        <v>6.5000000000000002E-2</v>
      </c>
    </row>
    <row r="578" spans="1:12" ht="15.6" x14ac:dyDescent="0.35">
      <c r="A578" s="44"/>
      <c r="B578" s="61" t="s">
        <v>266</v>
      </c>
      <c r="C578" s="61"/>
      <c r="D578" s="61"/>
      <c r="E578" s="61"/>
      <c r="F578" s="61"/>
      <c r="G578" s="99"/>
      <c r="H578" s="139">
        <f>(H571+$G$606)*($G$606&lt;&gt;0) +$F$606</f>
        <v>7.4999999999999997E-3</v>
      </c>
      <c r="I578" s="139">
        <f>(I571+$G$606)*($G$606&lt;&gt;0) +$F$606</f>
        <v>7.4999999999999997E-3</v>
      </c>
      <c r="J578" s="139">
        <f>(J571+$G$606)*($G$606&lt;&gt;0) +$F$606</f>
        <v>7.4999999999999997E-3</v>
      </c>
      <c r="K578" s="139">
        <f>(K571+$G$606)*($G$606&lt;&gt;0) +$F$606</f>
        <v>7.4999999999999997E-3</v>
      </c>
      <c r="L578" s="139">
        <f>(L571+$G$606)*($G$606&lt;&gt;0) +$F$606</f>
        <v>7.4999999999999997E-3</v>
      </c>
    </row>
    <row r="579" spans="1:12" ht="15.6" x14ac:dyDescent="0.35">
      <c r="A579" s="44"/>
      <c r="B579" s="61" t="s">
        <v>267</v>
      </c>
      <c r="C579" s="61"/>
      <c r="D579" s="61"/>
      <c r="E579" s="61"/>
      <c r="F579" s="61"/>
      <c r="G579" s="99"/>
      <c r="H579" s="139">
        <f>(H571+$G$607)*($G$607&lt;&gt;0) +$F$607</f>
        <v>0.11</v>
      </c>
      <c r="I579" s="139">
        <f>(I571+$G$607)*($G$607&lt;&gt;0) +$F$607</f>
        <v>0.11</v>
      </c>
      <c r="J579" s="139">
        <f>(J571+$G$607)*($G$607&lt;&gt;0) +$F$607</f>
        <v>0.11</v>
      </c>
      <c r="K579" s="139">
        <f>(K571+$G$607)*($G$607&lt;&gt;0) +$F$607</f>
        <v>0.11</v>
      </c>
      <c r="L579" s="139">
        <f>(L571+$G$607)*($G$607&lt;&gt;0) +$F$607</f>
        <v>0.11</v>
      </c>
    </row>
    <row r="580" spans="1:12" ht="15.6" x14ac:dyDescent="0.35">
      <c r="A580" s="44"/>
      <c r="B580" s="61"/>
      <c r="C580" s="61"/>
      <c r="D580" s="61"/>
      <c r="E580" s="61"/>
      <c r="F580" s="61"/>
      <c r="G580" s="99"/>
      <c r="H580" s="139"/>
      <c r="I580" s="139"/>
      <c r="J580" s="139"/>
      <c r="K580" s="139"/>
      <c r="L580" s="139"/>
    </row>
    <row r="581" spans="1:12" ht="15.6" x14ac:dyDescent="0.35">
      <c r="A581" s="44"/>
      <c r="B581" s="196" t="s">
        <v>290</v>
      </c>
      <c r="C581" s="197"/>
      <c r="D581" s="198"/>
      <c r="E581" s="198"/>
      <c r="F581" s="199"/>
      <c r="G581" s="199"/>
      <c r="H581" s="199"/>
      <c r="I581" s="199"/>
      <c r="J581" s="199"/>
      <c r="K581" s="199"/>
      <c r="L581" s="200"/>
    </row>
    <row r="582" spans="1:12" ht="15.6" x14ac:dyDescent="0.35">
      <c r="A582" s="44"/>
      <c r="B582" s="61"/>
      <c r="C582" s="61"/>
      <c r="D582" s="61"/>
      <c r="E582" s="61"/>
      <c r="F582" s="61"/>
      <c r="G582" s="99"/>
      <c r="H582" s="139"/>
      <c r="I582" s="139"/>
      <c r="J582" s="139"/>
      <c r="K582" s="139"/>
      <c r="L582" s="139"/>
    </row>
    <row r="583" spans="1:12" ht="15.6" x14ac:dyDescent="0.35">
      <c r="A583" s="44"/>
      <c r="B583" s="61" t="s">
        <v>137</v>
      </c>
      <c r="C583" s="61"/>
      <c r="D583" s="61"/>
      <c r="E583" s="61"/>
      <c r="F583" s="61"/>
      <c r="G583" s="99"/>
      <c r="H583" s="236">
        <f>G518*H573</f>
        <v>437500</v>
      </c>
      <c r="I583" s="236">
        <f>H518*I573</f>
        <v>437500</v>
      </c>
      <c r="J583" s="236">
        <f>I518*J573</f>
        <v>132883.48599302143</v>
      </c>
      <c r="K583" s="236">
        <f>J518*K573</f>
        <v>0</v>
      </c>
      <c r="L583" s="236">
        <f>K518*L573</f>
        <v>0</v>
      </c>
    </row>
    <row r="584" spans="1:12" ht="15.6" x14ac:dyDescent="0.35">
      <c r="A584" s="44"/>
      <c r="B584" s="61"/>
      <c r="C584" s="61"/>
      <c r="D584" s="61"/>
      <c r="E584" s="61"/>
      <c r="F584" s="61"/>
      <c r="G584" s="99"/>
      <c r="H584" s="139"/>
      <c r="I584" s="139"/>
      <c r="J584" s="139"/>
      <c r="K584" s="139"/>
      <c r="L584" s="139"/>
    </row>
    <row r="585" spans="1:12" ht="15.6" x14ac:dyDescent="0.35">
      <c r="A585" s="44"/>
      <c r="B585" s="61" t="s">
        <v>118</v>
      </c>
      <c r="C585" s="61"/>
      <c r="D585" s="61"/>
      <c r="E585" s="61"/>
      <c r="F585" s="61"/>
      <c r="G585" s="99"/>
      <c r="H585" s="236">
        <f>H511*H575</f>
        <v>0</v>
      </c>
      <c r="I585" s="236">
        <f>I511*I575</f>
        <v>0</v>
      </c>
      <c r="J585" s="236">
        <f>J511*J575</f>
        <v>6092330.280139572</v>
      </c>
      <c r="K585" s="236">
        <f>K511*K575</f>
        <v>8750000</v>
      </c>
      <c r="L585" s="236">
        <f>L511*L575</f>
        <v>8487500</v>
      </c>
    </row>
    <row r="586" spans="1:12" ht="15.6" x14ac:dyDescent="0.35">
      <c r="A586" s="44"/>
      <c r="B586" s="61" t="s">
        <v>258</v>
      </c>
      <c r="C586" s="61"/>
      <c r="D586" s="61"/>
      <c r="E586" s="61"/>
      <c r="F586" s="61"/>
      <c r="G586" s="99"/>
      <c r="H586" s="236">
        <f>H521*H576</f>
        <v>17225600.000000004</v>
      </c>
      <c r="I586" s="236">
        <f>I521*I576</f>
        <v>17400000</v>
      </c>
      <c r="J586" s="236">
        <f>J521*J576</f>
        <v>18000000</v>
      </c>
      <c r="K586" s="236">
        <f>K521*K576</f>
        <v>18000000</v>
      </c>
      <c r="L586" s="236">
        <f>L521*L576</f>
        <v>17550000</v>
      </c>
    </row>
    <row r="587" spans="1:12" ht="15.6" x14ac:dyDescent="0.35">
      <c r="A587" s="44"/>
      <c r="B587" s="61" t="s">
        <v>261</v>
      </c>
      <c r="C587" s="61"/>
      <c r="D587" s="61"/>
      <c r="E587" s="61"/>
      <c r="F587" s="61"/>
      <c r="G587" s="99"/>
      <c r="H587" s="236">
        <f>H528*H577</f>
        <v>422500</v>
      </c>
      <c r="I587" s="236">
        <f>I528*I577</f>
        <v>0</v>
      </c>
      <c r="J587" s="236">
        <f>J528*J577</f>
        <v>0</v>
      </c>
      <c r="K587" s="236">
        <f>K528*K577</f>
        <v>0</v>
      </c>
      <c r="L587" s="236">
        <f>L528*L577</f>
        <v>0</v>
      </c>
    </row>
    <row r="588" spans="1:12" ht="15.6" x14ac:dyDescent="0.35">
      <c r="A588" s="44"/>
      <c r="B588" s="61" t="s">
        <v>262</v>
      </c>
      <c r="C588" s="61"/>
      <c r="D588" s="61"/>
      <c r="E588" s="61"/>
      <c r="F588" s="61"/>
      <c r="G588" s="99"/>
      <c r="H588" s="236">
        <f>H534*H578</f>
        <v>552000</v>
      </c>
      <c r="I588" s="236">
        <f>I534*I578</f>
        <v>0</v>
      </c>
      <c r="J588" s="236">
        <f>J534*J578</f>
        <v>0</v>
      </c>
      <c r="K588" s="236">
        <f>K534*K578</f>
        <v>0</v>
      </c>
      <c r="L588" s="236">
        <f>L534*L578</f>
        <v>0</v>
      </c>
    </row>
    <row r="589" spans="1:12" ht="15.6" x14ac:dyDescent="0.35">
      <c r="A589" s="44"/>
      <c r="B589" s="61" t="s">
        <v>263</v>
      </c>
      <c r="C589" s="61"/>
      <c r="D589" s="61"/>
      <c r="E589" s="61"/>
      <c r="F589" s="61"/>
      <c r="G589" s="99"/>
      <c r="H589" s="236">
        <f>H540*H579</f>
        <v>29667000</v>
      </c>
      <c r="I589" s="236">
        <f>I540*I579</f>
        <v>29667000</v>
      </c>
      <c r="J589" s="236">
        <f>J540*J579</f>
        <v>29667000</v>
      </c>
      <c r="K589" s="236">
        <f>K540*K579</f>
        <v>29667000</v>
      </c>
      <c r="L589" s="236">
        <f>L540*L579</f>
        <v>0</v>
      </c>
    </row>
    <row r="590" spans="1:12" ht="15.6" x14ac:dyDescent="0.35">
      <c r="A590" s="44"/>
      <c r="B590" s="61" t="s">
        <v>348</v>
      </c>
      <c r="C590" s="61"/>
      <c r="D590" s="61"/>
      <c r="E590" s="61"/>
      <c r="F590" s="61"/>
      <c r="G590" s="99"/>
      <c r="H590" s="236">
        <f>G553*($G$608+H571)</f>
        <v>0</v>
      </c>
      <c r="I590" s="236">
        <f>H553*($G$608+I571)</f>
        <v>0</v>
      </c>
      <c r="J590" s="236">
        <f>I553*($G$608+J571)</f>
        <v>0</v>
      </c>
      <c r="K590" s="236">
        <f>J553*($G$608+K571)</f>
        <v>13442515.758930089</v>
      </c>
      <c r="L590" s="236">
        <f>K553*($G$608+L571)</f>
        <v>59730144.365267605</v>
      </c>
    </row>
    <row r="591" spans="1:12" ht="15.6" x14ac:dyDescent="0.35">
      <c r="A591" s="44"/>
      <c r="B591" s="61"/>
      <c r="C591" s="61"/>
      <c r="D591" s="61"/>
      <c r="E591" s="61"/>
      <c r="F591" s="61"/>
      <c r="G591" s="99"/>
      <c r="H591" s="139"/>
      <c r="I591" s="139"/>
      <c r="J591" s="139"/>
      <c r="K591" s="139"/>
      <c r="L591" s="139"/>
    </row>
    <row r="592" spans="1:12" ht="15.6" x14ac:dyDescent="0.35">
      <c r="A592" s="44"/>
      <c r="B592" s="238" t="s">
        <v>270</v>
      </c>
      <c r="C592" s="239"/>
      <c r="D592" s="239"/>
      <c r="E592" s="240"/>
      <c r="F592" s="237"/>
      <c r="G592" s="250"/>
      <c r="H592" s="225">
        <f>H583+SUMPRODUCT(H$585:H$590,$H$603:$H$608)</f>
        <v>17663100.000000004</v>
      </c>
      <c r="I592" s="225">
        <f>I583+SUMPRODUCT(I$585:I$590,$H$603:$H$608)</f>
        <v>17837500</v>
      </c>
      <c r="J592" s="225">
        <f>J583+SUMPRODUCT(J$585:J$590,$H$603:$H$608)</f>
        <v>24225213.766132593</v>
      </c>
      <c r="K592" s="225">
        <f>K583+SUMPRODUCT(K$585:K$590,$H$603:$H$608)</f>
        <v>26750000</v>
      </c>
      <c r="L592" s="225">
        <f>L583+SUMPRODUCT(L$585:L$590,$H$603:$H$608)</f>
        <v>26037500</v>
      </c>
    </row>
    <row r="593" spans="1:12" ht="15.6" x14ac:dyDescent="0.35">
      <c r="A593" s="44"/>
      <c r="B593" s="238" t="s">
        <v>272</v>
      </c>
      <c r="C593" s="239"/>
      <c r="D593" s="239"/>
      <c r="E593" s="240"/>
      <c r="F593" s="237"/>
      <c r="G593" s="250"/>
      <c r="H593" s="225">
        <f>SUM(H$585:H$590)+H583-SUMPRODUCT(H$585:H$590,$J603:$J608)</f>
        <v>18085600</v>
      </c>
      <c r="I593" s="225">
        <f>SUM(I$585:I$590)+I583-SUMPRODUCT(I$585:I$590,$J603:$J608)</f>
        <v>17837500</v>
      </c>
      <c r="J593" s="225">
        <f>SUM(J$585:J$590)+J583-SUMPRODUCT(J$585:J$590,$J603:$J608)</f>
        <v>24225213.766132593</v>
      </c>
      <c r="K593" s="225">
        <f>SUM(K$585:K$590)+K583-SUMPRODUCT(K$585:K$590,$J603:$J608)</f>
        <v>40192515.758930087</v>
      </c>
      <c r="L593" s="225">
        <f>SUM(L$585:L$590)+L583-SUMPRODUCT(L$585:L$590,$J603:$J608)</f>
        <v>85767644.365267605</v>
      </c>
    </row>
    <row r="594" spans="1:12" ht="15.6" x14ac:dyDescent="0.35">
      <c r="A594" s="44"/>
      <c r="B594" s="238" t="s">
        <v>271</v>
      </c>
      <c r="C594" s="239"/>
      <c r="D594" s="239"/>
      <c r="E594" s="240"/>
      <c r="F594" s="237"/>
      <c r="G594" s="250"/>
      <c r="H594" s="225">
        <f>H583+SUM(H585:H590)</f>
        <v>48304600</v>
      </c>
      <c r="I594" s="225">
        <f t="shared" ref="I594:L594" si="247">I583+SUM(I585:I590)</f>
        <v>47504500</v>
      </c>
      <c r="J594" s="225">
        <f t="shared" si="247"/>
        <v>53892213.766132593</v>
      </c>
      <c r="K594" s="225">
        <f t="shared" si="247"/>
        <v>69859515.758930087</v>
      </c>
      <c r="L594" s="225">
        <f t="shared" si="247"/>
        <v>85767644.365267605</v>
      </c>
    </row>
    <row r="595" spans="1:12" ht="15.6" x14ac:dyDescent="0.35">
      <c r="A595" s="44"/>
      <c r="B595" s="61"/>
      <c r="C595" s="61"/>
      <c r="D595" s="61"/>
      <c r="E595" s="61"/>
      <c r="F595" s="61"/>
      <c r="G595" s="99"/>
      <c r="H595" s="139"/>
      <c r="I595" s="139"/>
      <c r="J595" s="139"/>
      <c r="K595" s="139"/>
      <c r="L595" s="139"/>
    </row>
    <row r="596" spans="1:12" ht="15.6" x14ac:dyDescent="0.35">
      <c r="A596" s="44"/>
      <c r="B596" s="238" t="s">
        <v>291</v>
      </c>
      <c r="C596" s="239"/>
      <c r="D596" s="239"/>
      <c r="E596" s="240"/>
      <c r="F596" s="237"/>
      <c r="G596" s="250"/>
      <c r="H596" s="225">
        <f>MAX(H572*(G55), 0)</f>
        <v>3189000</v>
      </c>
      <c r="I596" s="225">
        <f>MAX(I572*(H55), 0)</f>
        <v>1202999.0556847786</v>
      </c>
      <c r="J596" s="225">
        <f>MAX(J572*(I55), 0)</f>
        <v>300000.00000000017</v>
      </c>
      <c r="K596" s="225">
        <f>MAX(K572*(J55), 0)</f>
        <v>300000.00000000017</v>
      </c>
      <c r="L596" s="225">
        <f>MAX(L572*(K55), 0)</f>
        <v>300000.00000000017</v>
      </c>
    </row>
    <row r="597" spans="1:12" ht="15.6" x14ac:dyDescent="0.35">
      <c r="A597" s="44"/>
      <c r="B597" s="61"/>
      <c r="C597" s="61"/>
      <c r="D597" s="61"/>
      <c r="E597" s="61"/>
      <c r="F597" s="61"/>
      <c r="G597" s="99"/>
      <c r="H597" s="139"/>
      <c r="I597" s="139"/>
      <c r="J597" s="139"/>
      <c r="K597" s="139"/>
      <c r="L597" s="139"/>
    </row>
    <row r="598" spans="1:12" ht="15.6" x14ac:dyDescent="0.35">
      <c r="A598" s="44"/>
      <c r="B598" s="196" t="s">
        <v>125</v>
      </c>
      <c r="C598" s="197"/>
      <c r="D598" s="198"/>
      <c r="E598" s="198"/>
      <c r="F598" s="199"/>
      <c r="G598" s="199"/>
      <c r="H598" s="199"/>
      <c r="I598" s="199"/>
      <c r="J598" s="199"/>
      <c r="K598" s="199"/>
      <c r="L598" s="200"/>
    </row>
    <row r="599" spans="1:12" ht="15.6" x14ac:dyDescent="0.35">
      <c r="A599" s="44"/>
      <c r="B599" s="76"/>
      <c r="C599" s="76"/>
      <c r="D599" s="76"/>
      <c r="E599" s="76"/>
      <c r="F599" s="76"/>
      <c r="G599" s="98"/>
      <c r="H599" s="98"/>
      <c r="I599" s="98"/>
      <c r="J599" s="98"/>
      <c r="K599" s="98"/>
      <c r="L599" s="98"/>
    </row>
    <row r="600" spans="1:12" ht="15.6" x14ac:dyDescent="0.35">
      <c r="A600" s="44"/>
      <c r="B600" s="76"/>
      <c r="C600" s="76"/>
      <c r="D600" s="76"/>
      <c r="E600" s="129"/>
      <c r="F600" s="129" t="s">
        <v>126</v>
      </c>
      <c r="G600" s="129" t="s">
        <v>131</v>
      </c>
      <c r="H600" s="130" t="s">
        <v>127</v>
      </c>
      <c r="I600" s="130" t="s">
        <v>128</v>
      </c>
      <c r="J600" s="130" t="s">
        <v>134</v>
      </c>
      <c r="K600" s="130" t="s">
        <v>268</v>
      </c>
      <c r="L600" s="130" t="s">
        <v>11</v>
      </c>
    </row>
    <row r="601" spans="1:12" ht="16.2" thickBot="1" x14ac:dyDescent="0.4">
      <c r="A601" s="44"/>
      <c r="B601" s="131"/>
      <c r="C601" s="131"/>
      <c r="D601" s="131"/>
      <c r="E601" s="132"/>
      <c r="F601" s="132" t="s">
        <v>130</v>
      </c>
      <c r="G601" s="132" t="s">
        <v>132</v>
      </c>
      <c r="H601" s="133" t="s">
        <v>133</v>
      </c>
      <c r="I601" s="133" t="s">
        <v>129</v>
      </c>
      <c r="J601" s="133" t="s">
        <v>129</v>
      </c>
      <c r="K601" s="133" t="s">
        <v>269</v>
      </c>
      <c r="L601" s="133" t="s">
        <v>135</v>
      </c>
    </row>
    <row r="602" spans="1:12" ht="4.05" customHeight="1" x14ac:dyDescent="0.35">
      <c r="A602" s="44"/>
      <c r="B602" s="76"/>
      <c r="C602" s="76"/>
      <c r="D602" s="76"/>
      <c r="E602" s="76"/>
      <c r="F602" s="98"/>
      <c r="G602" s="98"/>
      <c r="H602" s="98"/>
      <c r="I602" s="98"/>
      <c r="J602" s="98"/>
      <c r="K602" s="98"/>
      <c r="L602" s="98"/>
    </row>
    <row r="603" spans="1:12" ht="15.6" x14ac:dyDescent="0.35">
      <c r="A603" s="44"/>
      <c r="B603" s="136" t="s">
        <v>118</v>
      </c>
      <c r="C603" s="136"/>
      <c r="D603" s="136"/>
      <c r="E603" s="136"/>
      <c r="F603" s="137">
        <v>0</v>
      </c>
      <c r="G603" s="137">
        <v>0.05</v>
      </c>
      <c r="H603" s="252">
        <v>1</v>
      </c>
      <c r="I603" s="252">
        <v>0</v>
      </c>
      <c r="J603" s="252">
        <v>0</v>
      </c>
      <c r="K603" s="251">
        <v>0</v>
      </c>
      <c r="L603" s="138">
        <v>1</v>
      </c>
    </row>
    <row r="604" spans="1:12" ht="15.6" x14ac:dyDescent="0.35">
      <c r="A604" s="44"/>
      <c r="B604" s="136" t="s">
        <v>265</v>
      </c>
      <c r="C604" s="136"/>
      <c r="D604" s="136"/>
      <c r="E604" s="136"/>
      <c r="F604" s="137">
        <v>0</v>
      </c>
      <c r="G604" s="137">
        <v>7.0000000000000007E-2</v>
      </c>
      <c r="H604" s="252">
        <v>1</v>
      </c>
      <c r="I604" s="252">
        <v>0</v>
      </c>
      <c r="J604" s="252">
        <v>0</v>
      </c>
      <c r="K604" s="251">
        <v>0</v>
      </c>
      <c r="L604" s="138">
        <v>0</v>
      </c>
    </row>
    <row r="605" spans="1:12" ht="15.6" x14ac:dyDescent="0.35">
      <c r="A605" s="44"/>
      <c r="B605" s="136" t="s">
        <v>261</v>
      </c>
      <c r="C605" s="136"/>
      <c r="D605" s="136"/>
      <c r="E605" s="136"/>
      <c r="F605" s="137">
        <v>6.5000000000000002E-2</v>
      </c>
      <c r="G605" s="137">
        <v>0</v>
      </c>
      <c r="H605" s="252">
        <v>0</v>
      </c>
      <c r="I605" s="252">
        <v>0</v>
      </c>
      <c r="J605" s="252">
        <v>0</v>
      </c>
      <c r="K605" s="251">
        <v>0</v>
      </c>
      <c r="L605" s="138">
        <v>0</v>
      </c>
    </row>
    <row r="606" spans="1:12" ht="15.6" x14ac:dyDescent="0.35">
      <c r="A606" s="44"/>
      <c r="B606" s="136" t="s">
        <v>266</v>
      </c>
      <c r="C606" s="136"/>
      <c r="D606" s="136"/>
      <c r="E606" s="136"/>
      <c r="F606" s="137">
        <v>7.4999999999999997E-3</v>
      </c>
      <c r="G606" s="137">
        <v>0</v>
      </c>
      <c r="H606" s="252">
        <v>0</v>
      </c>
      <c r="I606" s="252">
        <v>0</v>
      </c>
      <c r="J606" s="252">
        <v>1</v>
      </c>
      <c r="K606" s="251">
        <v>79.650000000000006</v>
      </c>
      <c r="L606" s="138">
        <v>0</v>
      </c>
    </row>
    <row r="607" spans="1:12" ht="15.6" x14ac:dyDescent="0.35">
      <c r="A607" s="44"/>
      <c r="B607" s="136" t="s">
        <v>267</v>
      </c>
      <c r="C607" s="136"/>
      <c r="D607" s="136"/>
      <c r="E607" s="136"/>
      <c r="F607" s="137">
        <v>0.11</v>
      </c>
      <c r="G607" s="137">
        <v>0</v>
      </c>
      <c r="H607" s="252">
        <v>0</v>
      </c>
      <c r="I607" s="252">
        <v>0</v>
      </c>
      <c r="J607" s="252">
        <v>1</v>
      </c>
      <c r="K607" s="251">
        <v>79.650000000000006</v>
      </c>
      <c r="L607" s="138">
        <v>0</v>
      </c>
    </row>
    <row r="608" spans="1:12" ht="15.6" x14ac:dyDescent="0.35">
      <c r="A608" s="44"/>
      <c r="B608" s="136" t="s">
        <v>347</v>
      </c>
      <c r="C608" s="136"/>
      <c r="D608" s="136"/>
      <c r="E608" s="136"/>
      <c r="F608" s="137">
        <v>0</v>
      </c>
      <c r="G608" s="137">
        <v>7.0000000000000007E-2</v>
      </c>
      <c r="H608" s="252" t="s">
        <v>77</v>
      </c>
      <c r="I608" s="252" t="s">
        <v>350</v>
      </c>
      <c r="J608" s="252" t="s">
        <v>350</v>
      </c>
      <c r="K608" s="251">
        <v>0</v>
      </c>
      <c r="L608" s="138">
        <v>0</v>
      </c>
    </row>
    <row r="609" spans="1:12" ht="4.05" customHeight="1" thickBot="1" x14ac:dyDescent="0.4">
      <c r="A609" s="44"/>
      <c r="B609" s="134"/>
      <c r="C609" s="134"/>
      <c r="D609" s="134"/>
      <c r="E609" s="134"/>
      <c r="F609" s="134"/>
      <c r="G609" s="134"/>
      <c r="H609" s="135"/>
      <c r="I609" s="135"/>
      <c r="J609" s="135"/>
      <c r="K609" s="135"/>
      <c r="L609" s="135"/>
    </row>
    <row r="610" spans="1:12" ht="15.6" x14ac:dyDescent="0.35">
      <c r="A610" s="44"/>
      <c r="B610" s="44"/>
      <c r="C610" s="44"/>
      <c r="D610" s="44"/>
      <c r="E610" s="44"/>
      <c r="F610" s="44"/>
      <c r="G610" s="44"/>
      <c r="H610" s="95"/>
      <c r="I610" s="95"/>
      <c r="J610" s="95"/>
      <c r="K610" s="95"/>
      <c r="L610" s="95"/>
    </row>
    <row r="611" spans="1:12" ht="15.6" x14ac:dyDescent="0.35">
      <c r="A611" s="44"/>
      <c r="B611" s="44"/>
      <c r="C611" s="44"/>
      <c r="D611" s="44"/>
      <c r="E611" s="44"/>
      <c r="F611" s="44"/>
      <c r="G611" s="44"/>
      <c r="H611" s="95"/>
      <c r="I611" s="95"/>
      <c r="J611" s="95"/>
      <c r="K611" s="95"/>
      <c r="L611" s="95"/>
    </row>
    <row r="612" spans="1:12" ht="28.8" x14ac:dyDescent="0.65">
      <c r="A612" s="44"/>
      <c r="B612" s="45" t="str">
        <f>Cover!$B$2</f>
        <v>ASOS PLC</v>
      </c>
      <c r="C612" s="45"/>
      <c r="D612" s="46"/>
      <c r="E612" s="47"/>
      <c r="F612" s="47"/>
      <c r="G612" s="47"/>
      <c r="H612" s="47"/>
      <c r="I612" s="47"/>
      <c r="J612" s="47"/>
      <c r="K612" s="47"/>
      <c r="L612" s="47"/>
    </row>
    <row r="613" spans="1:12" ht="21" x14ac:dyDescent="0.5">
      <c r="A613" s="44"/>
      <c r="B613" s="48" t="s">
        <v>332</v>
      </c>
      <c r="C613" s="49"/>
      <c r="D613" s="47"/>
      <c r="E613" s="47"/>
      <c r="F613" s="47"/>
      <c r="G613" s="47"/>
      <c r="H613" s="47"/>
      <c r="I613" s="47"/>
      <c r="J613" s="47"/>
      <c r="K613" s="47"/>
      <c r="L613" s="159" t="str">
        <f>"Currently Running: "&amp;CHOOSE(Assumptions!$B$10,Assumptions!$F$15,Assumptions!$F$16,Assumptions!$F$17)&amp;"Scenario"</f>
        <v>Currently Running: Base Scenario</v>
      </c>
    </row>
    <row r="614" spans="1:12" ht="15.6" x14ac:dyDescent="0.35">
      <c r="A614" s="44"/>
      <c r="B614" s="50"/>
      <c r="C614" s="50"/>
      <c r="D614" s="50"/>
      <c r="E614" s="50"/>
      <c r="F614" s="50"/>
      <c r="G614" s="50"/>
      <c r="H614" s="50"/>
      <c r="I614" s="50"/>
      <c r="J614" s="50"/>
      <c r="K614" s="51"/>
      <c r="L614" s="51"/>
    </row>
    <row r="615" spans="1:12" ht="15.6" x14ac:dyDescent="0.35">
      <c r="A615" s="44"/>
      <c r="B615" s="51"/>
      <c r="C615" s="51"/>
      <c r="D615" s="51"/>
      <c r="E615" s="51"/>
      <c r="F615" s="292" t="s">
        <v>361</v>
      </c>
      <c r="G615" s="293"/>
      <c r="H615" s="293"/>
      <c r="I615" s="293"/>
      <c r="J615" s="293"/>
      <c r="K615" s="293"/>
      <c r="L615" s="294"/>
    </row>
    <row r="616" spans="1:12" ht="15.6" x14ac:dyDescent="0.35">
      <c r="A616" s="44"/>
      <c r="B616" s="51"/>
      <c r="C616" s="51"/>
      <c r="D616" s="51"/>
      <c r="E616" s="51"/>
      <c r="F616" s="53">
        <f>$F$7</f>
        <v>2024</v>
      </c>
      <c r="G616" s="53">
        <f>F616+1</f>
        <v>2025</v>
      </c>
      <c r="H616" s="54">
        <f>G616+1</f>
        <v>2026</v>
      </c>
      <c r="I616" s="54">
        <f t="shared" ref="I616" si="248">H616+1</f>
        <v>2027</v>
      </c>
      <c r="J616" s="54">
        <f t="shared" ref="J616" si="249">I616+1</f>
        <v>2028</v>
      </c>
      <c r="K616" s="54">
        <f t="shared" ref="K616" si="250">J616+1</f>
        <v>2029</v>
      </c>
      <c r="L616" s="54">
        <f t="shared" ref="L616" si="251">K616+1</f>
        <v>2030</v>
      </c>
    </row>
    <row r="617" spans="1:12" ht="16.2" thickBot="1" x14ac:dyDescent="0.4">
      <c r="A617" s="44"/>
      <c r="B617" s="55" t="s">
        <v>187</v>
      </c>
      <c r="C617" s="55"/>
      <c r="D617" s="55"/>
      <c r="E617" s="55"/>
      <c r="F617" s="56" t="s">
        <v>50</v>
      </c>
      <c r="G617" s="56"/>
      <c r="H617" s="57"/>
      <c r="I617" s="57"/>
      <c r="J617" s="57"/>
      <c r="K617" s="57"/>
      <c r="L617" s="57" t="s">
        <v>37</v>
      </c>
    </row>
    <row r="618" spans="1:12" ht="15.6" x14ac:dyDescent="0.35">
      <c r="A618" s="44"/>
      <c r="B618" s="76"/>
      <c r="C618" s="76"/>
      <c r="D618" s="76"/>
      <c r="E618" s="44"/>
      <c r="F618" s="44"/>
      <c r="G618" s="44"/>
      <c r="H618" s="100"/>
      <c r="I618" s="100"/>
      <c r="J618" s="100"/>
      <c r="K618" s="100"/>
      <c r="L618" s="100"/>
    </row>
    <row r="619" spans="1:12" ht="15.6" x14ac:dyDescent="0.35">
      <c r="A619" s="44"/>
      <c r="B619" s="196" t="s">
        <v>336</v>
      </c>
      <c r="C619" s="197"/>
      <c r="D619" s="198"/>
      <c r="E619" s="198"/>
      <c r="F619" s="199"/>
      <c r="G619" s="199"/>
      <c r="H619" s="199"/>
      <c r="I619" s="199"/>
      <c r="J619" s="199"/>
      <c r="K619" s="199"/>
      <c r="L619" s="200"/>
    </row>
    <row r="620" spans="1:12" ht="15.6" x14ac:dyDescent="0.35">
      <c r="A620" s="44"/>
      <c r="C620" s="76"/>
      <c r="D620" s="76"/>
      <c r="E620" s="44"/>
      <c r="F620" s="44"/>
      <c r="G620" s="44"/>
      <c r="H620" s="100"/>
      <c r="I620" s="100"/>
      <c r="J620" s="100"/>
      <c r="K620" s="100"/>
      <c r="L620" s="100"/>
    </row>
    <row r="621" spans="1:12" ht="15.6" x14ac:dyDescent="0.35">
      <c r="A621" s="44"/>
      <c r="B621" s="61" t="s">
        <v>334</v>
      </c>
      <c r="C621" s="44"/>
      <c r="D621" s="44"/>
      <c r="E621" s="44"/>
      <c r="F621" s="44"/>
      <c r="G621" s="44"/>
      <c r="H621" s="390">
        <f>H560</f>
        <v>419700000</v>
      </c>
      <c r="I621" s="390">
        <f>I560</f>
        <v>480623302.80139571</v>
      </c>
      <c r="J621" s="390">
        <f>J560</f>
        <v>619220964.65775073</v>
      </c>
      <c r="K621" s="390">
        <f>K560</f>
        <v>748014054.40399659</v>
      </c>
      <c r="L621" s="390">
        <f>L560</f>
        <v>860428813.98377955</v>
      </c>
    </row>
    <row r="622" spans="1:12" ht="15.6" x14ac:dyDescent="0.35">
      <c r="A622" s="44"/>
      <c r="B622" s="44" t="s">
        <v>333</v>
      </c>
      <c r="C622" s="44"/>
      <c r="D622" s="44"/>
      <c r="E622" s="44"/>
      <c r="F622" s="44"/>
      <c r="G622" s="44"/>
      <c r="H622" s="390">
        <f>H621-H413-H55</f>
        <v>498535094.43152213</v>
      </c>
      <c r="I622" s="390">
        <f>I621-I413-I55</f>
        <v>623632352.80139565</v>
      </c>
      <c r="J622" s="390">
        <f>J621-J413-J55</f>
        <v>735320286.15775073</v>
      </c>
      <c r="K622" s="390">
        <f>K621-K413-K55</f>
        <v>836396355.54899657</v>
      </c>
      <c r="L622" s="390">
        <f>L621-L413-L55</f>
        <v>920262584.16312957</v>
      </c>
    </row>
    <row r="623" spans="1:12" ht="15.6" x14ac:dyDescent="0.35">
      <c r="A623" s="44"/>
      <c r="B623" s="44" t="s">
        <v>335</v>
      </c>
      <c r="C623" s="44"/>
      <c r="D623" s="44"/>
      <c r="E623" s="44"/>
      <c r="F623" s="44"/>
      <c r="G623" s="44"/>
      <c r="H623" s="390">
        <f>H525+H514</f>
        <v>150000000</v>
      </c>
      <c r="I623" s="390">
        <f>I525+I514</f>
        <v>210923302.80139571</v>
      </c>
      <c r="J623" s="390">
        <f>J525+J514</f>
        <v>237500000</v>
      </c>
      <c r="K623" s="390">
        <f>K525+K514</f>
        <v>237500000</v>
      </c>
      <c r="L623" s="390">
        <f>L525+L514</f>
        <v>237500000</v>
      </c>
    </row>
    <row r="624" spans="1:12" ht="15.6" x14ac:dyDescent="0.35">
      <c r="A624" s="44"/>
      <c r="B624" s="76"/>
      <c r="C624" s="76"/>
      <c r="D624" s="76"/>
      <c r="E624" s="44"/>
      <c r="F624" s="44"/>
      <c r="G624" s="44"/>
      <c r="H624" s="100"/>
      <c r="I624" s="100"/>
      <c r="J624" s="100"/>
      <c r="K624" s="100"/>
      <c r="L624" s="100"/>
    </row>
    <row r="625" spans="1:12" ht="15.6" x14ac:dyDescent="0.35">
      <c r="A625" s="44"/>
      <c r="B625" s="196" t="s">
        <v>337</v>
      </c>
      <c r="C625" s="197"/>
      <c r="D625" s="198"/>
      <c r="E625" s="198"/>
      <c r="F625" s="199"/>
      <c r="G625" s="199"/>
      <c r="H625" s="199"/>
      <c r="I625" s="199"/>
      <c r="J625" s="199"/>
      <c r="K625" s="199"/>
      <c r="L625" s="200"/>
    </row>
    <row r="626" spans="1:12" ht="15.6" x14ac:dyDescent="0.35">
      <c r="A626" s="44"/>
      <c r="B626" s="76"/>
      <c r="C626" s="76"/>
      <c r="D626" s="76"/>
      <c r="E626" s="44"/>
      <c r="F626" s="44"/>
      <c r="G626" s="44"/>
      <c r="H626" s="100"/>
      <c r="I626" s="100"/>
      <c r="J626" s="100"/>
      <c r="K626" s="100"/>
      <c r="L626" s="100"/>
    </row>
    <row r="627" spans="1:12" ht="15.6" x14ac:dyDescent="0.35">
      <c r="A627" s="44"/>
      <c r="B627" s="44" t="s">
        <v>338</v>
      </c>
      <c r="C627" s="44"/>
      <c r="D627" s="44"/>
      <c r="E627" s="44"/>
      <c r="F627" s="44"/>
      <c r="G627" s="44"/>
      <c r="H627" s="391">
        <f>H25/H594</f>
        <v>0.67416535486338669</v>
      </c>
      <c r="I627" s="391">
        <f>I25/I594</f>
        <v>0.7643710190643952</v>
      </c>
      <c r="J627" s="391">
        <f>J25/J594</f>
        <v>0.97629525018860652</v>
      </c>
      <c r="K627" s="391">
        <f>K25/K594</f>
        <v>1.1388849987890277</v>
      </c>
      <c r="L627" s="391">
        <f>L25/L594</f>
        <v>1.3361569706599377</v>
      </c>
    </row>
    <row r="628" spans="1:12" ht="15.6" x14ac:dyDescent="0.35">
      <c r="A628" s="44"/>
      <c r="B628" s="44" t="s">
        <v>339</v>
      </c>
      <c r="C628" s="44"/>
      <c r="D628" s="44"/>
      <c r="E628" s="44"/>
      <c r="F628" s="44"/>
      <c r="G628" s="44"/>
      <c r="H628" s="391" t="str">
        <f>IF(OR(H18/H594 &lt; 0, H594=0), "NM", H18/H594)</f>
        <v>NM</v>
      </c>
      <c r="I628" s="391" t="str">
        <f>IF(OR(I18/I594 &lt; 0, I594=0), "NM", I18/I594)</f>
        <v>NM</v>
      </c>
      <c r="J628" s="391" t="str">
        <f>IF(OR(J18/J594 &lt; 0, J594=0), "NM", J18/J594)</f>
        <v>NM</v>
      </c>
      <c r="K628" s="391" t="str">
        <f>IF(OR(K18/K594 &lt; 0, K594=0), "NM", K18/K594)</f>
        <v>NM</v>
      </c>
      <c r="L628" s="391" t="str">
        <f>IF(OR(L18/L594 &lt; 0, L594=0), "NM", L18/L594)</f>
        <v>NM</v>
      </c>
    </row>
    <row r="629" spans="1:12" ht="15.6" x14ac:dyDescent="0.35">
      <c r="A629" s="44"/>
      <c r="B629" s="76"/>
      <c r="C629" s="76"/>
      <c r="D629" s="76"/>
      <c r="E629" s="44"/>
      <c r="F629" s="44"/>
      <c r="G629" s="44"/>
      <c r="H629" s="100"/>
      <c r="I629" s="100"/>
      <c r="J629" s="100"/>
      <c r="K629" s="100"/>
      <c r="L629" s="100"/>
    </row>
    <row r="630" spans="1:12" ht="15.6" x14ac:dyDescent="0.35">
      <c r="A630" s="44"/>
      <c r="B630" s="196" t="s">
        <v>340</v>
      </c>
      <c r="C630" s="197"/>
      <c r="D630" s="198"/>
      <c r="E630" s="198"/>
      <c r="F630" s="199"/>
      <c r="G630" s="199"/>
      <c r="H630" s="199"/>
      <c r="I630" s="199"/>
      <c r="J630" s="199"/>
      <c r="K630" s="199"/>
      <c r="L630" s="200"/>
    </row>
    <row r="631" spans="1:12" ht="15.6" x14ac:dyDescent="0.35">
      <c r="A631" s="44"/>
      <c r="B631" s="76"/>
      <c r="C631" s="76"/>
      <c r="D631" s="76"/>
      <c r="E631" s="44"/>
      <c r="F631" s="44"/>
      <c r="G631" s="44"/>
      <c r="H631" s="100"/>
      <c r="I631" s="100"/>
      <c r="J631" s="100"/>
      <c r="K631" s="100"/>
      <c r="L631" s="100"/>
    </row>
    <row r="632" spans="1:12" ht="15.6" x14ac:dyDescent="0.35">
      <c r="A632" s="44"/>
      <c r="B632" s="44" t="s">
        <v>341</v>
      </c>
      <c r="C632" s="76"/>
      <c r="D632" s="76"/>
      <c r="E632" s="44"/>
      <c r="F632" s="44"/>
      <c r="G632" s="44"/>
      <c r="H632" s="391">
        <f>H621/H25</f>
        <v>12.887956113598925</v>
      </c>
      <c r="I632" s="391">
        <f>I621/I25</f>
        <v>13.236277379341979</v>
      </c>
      <c r="J632" s="391">
        <f>J621/J25</f>
        <v>11.768969881805237</v>
      </c>
      <c r="K632" s="391">
        <f>K621/K25</f>
        <v>9.4016550864290025</v>
      </c>
      <c r="L632" s="391">
        <f>L621/L25</f>
        <v>7.5081679999191557</v>
      </c>
    </row>
    <row r="633" spans="1:12" ht="15.6" x14ac:dyDescent="0.35">
      <c r="A633" s="44"/>
      <c r="B633" s="44" t="s">
        <v>156</v>
      </c>
      <c r="C633" s="76"/>
      <c r="D633" s="76"/>
      <c r="E633" s="44"/>
      <c r="F633" s="44"/>
      <c r="G633" s="44"/>
      <c r="H633" s="391">
        <f>H622/H25</f>
        <v>15.308788225214089</v>
      </c>
      <c r="I633" s="391">
        <f>I622/I25</f>
        <v>17.174720319006052</v>
      </c>
      <c r="J633" s="391">
        <f>J622/J25</f>
        <v>13.975564128475694</v>
      </c>
      <c r="K633" s="391">
        <f>K622/K25</f>
        <v>10.512516448214866</v>
      </c>
      <c r="L633" s="391">
        <f>L622/L25</f>
        <v>8.0302820798685772</v>
      </c>
    </row>
    <row r="634" spans="1:12" ht="15.6" x14ac:dyDescent="0.35">
      <c r="A634" s="44"/>
      <c r="B634" s="76"/>
      <c r="C634" s="76"/>
      <c r="D634" s="76"/>
      <c r="E634" s="44"/>
      <c r="F634" s="44"/>
      <c r="G634" s="44"/>
      <c r="H634" s="100"/>
      <c r="I634" s="100"/>
      <c r="J634" s="100"/>
      <c r="K634" s="100"/>
      <c r="L634" s="100"/>
    </row>
    <row r="635" spans="1:12" ht="15.6" x14ac:dyDescent="0.35">
      <c r="A635" s="44"/>
      <c r="B635" s="76"/>
      <c r="C635" s="76"/>
      <c r="D635" s="76"/>
      <c r="E635" s="44"/>
      <c r="F635" s="44"/>
      <c r="G635" s="44"/>
      <c r="H635" s="100"/>
      <c r="I635" s="100"/>
      <c r="J635" s="100"/>
      <c r="K635" s="100"/>
      <c r="L635" s="100"/>
    </row>
    <row r="636" spans="1:12" ht="15.6" x14ac:dyDescent="0.35">
      <c r="A636" s="44"/>
      <c r="B636" s="44"/>
      <c r="C636" s="44"/>
      <c r="D636" s="44"/>
      <c r="E636" s="44"/>
      <c r="F636" s="44"/>
      <c r="G636" s="44"/>
      <c r="H636" s="44"/>
      <c r="I636" s="44"/>
      <c r="J636" s="44"/>
      <c r="K636" s="44"/>
      <c r="L636" s="44"/>
    </row>
    <row r="637" spans="1:12" ht="28.8" x14ac:dyDescent="0.65">
      <c r="A637" s="44"/>
      <c r="B637" s="45" t="str">
        <f>Cover!$B$2</f>
        <v>ASOS PLC</v>
      </c>
      <c r="C637" s="45"/>
      <c r="D637" s="46"/>
      <c r="E637" s="47"/>
      <c r="F637" s="47"/>
      <c r="G637" s="47"/>
      <c r="H637" s="47"/>
      <c r="I637" s="47"/>
      <c r="J637" s="47"/>
      <c r="K637" s="47"/>
      <c r="L637" s="47"/>
    </row>
    <row r="638" spans="1:12" ht="21" x14ac:dyDescent="0.5">
      <c r="A638" s="44"/>
      <c r="B638" s="48" t="s">
        <v>21</v>
      </c>
      <c r="C638" s="49"/>
      <c r="D638" s="47"/>
      <c r="E638" s="47"/>
      <c r="F638" s="47"/>
      <c r="G638" s="47"/>
      <c r="H638" s="47"/>
      <c r="I638" s="47"/>
      <c r="J638" s="47"/>
      <c r="K638" s="47"/>
      <c r="L638" s="159" t="str">
        <f>"Currently Running: "&amp;CHOOSE(Assumptions!$B$10,Assumptions!$F$15,Assumptions!$F$16,Assumptions!$F$17)&amp;"Scenario"</f>
        <v>Currently Running: Base Scenario</v>
      </c>
    </row>
    <row r="639" spans="1:12" ht="15.6" x14ac:dyDescent="0.35">
      <c r="A639" s="44"/>
      <c r="B639" s="50"/>
      <c r="C639" s="50"/>
      <c r="D639" s="50"/>
      <c r="E639" s="50"/>
      <c r="F639" s="50"/>
      <c r="G639" s="50"/>
      <c r="H639" s="50"/>
      <c r="I639" s="50"/>
      <c r="J639" s="50"/>
      <c r="K639" s="51"/>
      <c r="L639" s="51"/>
    </row>
    <row r="640" spans="1:12" ht="15.6" x14ac:dyDescent="0.35">
      <c r="A640" s="44"/>
      <c r="B640" s="51"/>
      <c r="C640" s="51"/>
      <c r="D640" s="51"/>
      <c r="E640" s="51"/>
      <c r="F640" s="292" t="s">
        <v>361</v>
      </c>
      <c r="G640" s="293"/>
      <c r="H640" s="293"/>
      <c r="I640" s="293"/>
      <c r="J640" s="293"/>
      <c r="K640" s="293"/>
      <c r="L640" s="294"/>
    </row>
    <row r="641" spans="1:12" ht="15.6" x14ac:dyDescent="0.35">
      <c r="A641" s="44"/>
      <c r="B641" s="51"/>
      <c r="C641" s="51"/>
      <c r="D641" s="51"/>
      <c r="E641" s="51"/>
      <c r="F641" s="53">
        <f>$F$7</f>
        <v>2024</v>
      </c>
      <c r="G641" s="53">
        <f>F641+1</f>
        <v>2025</v>
      </c>
      <c r="H641" s="54">
        <f>G641+1</f>
        <v>2026</v>
      </c>
      <c r="I641" s="54">
        <f t="shared" ref="I641" si="252">H641+1</f>
        <v>2027</v>
      </c>
      <c r="J641" s="54">
        <f t="shared" ref="J641" si="253">I641+1</f>
        <v>2028</v>
      </c>
      <c r="K641" s="54">
        <f t="shared" ref="K641" si="254">J641+1</f>
        <v>2029</v>
      </c>
      <c r="L641" s="54">
        <f t="shared" ref="L641" si="255">K641+1</f>
        <v>2030</v>
      </c>
    </row>
    <row r="642" spans="1:12" ht="16.2" thickBot="1" x14ac:dyDescent="0.4">
      <c r="A642" s="44"/>
      <c r="B642" s="55" t="s">
        <v>187</v>
      </c>
      <c r="C642" s="55"/>
      <c r="D642" s="55"/>
      <c r="E642" s="55"/>
      <c r="F642" s="56" t="s">
        <v>50</v>
      </c>
      <c r="G642" s="56"/>
      <c r="H642" s="57"/>
      <c r="I642" s="57"/>
      <c r="J642" s="57"/>
      <c r="K642" s="57"/>
      <c r="L642" s="57" t="s">
        <v>37</v>
      </c>
    </row>
    <row r="643" spans="1:12" ht="15.6" x14ac:dyDescent="0.35">
      <c r="A643" s="44"/>
      <c r="B643" s="51"/>
      <c r="C643" s="51"/>
      <c r="D643" s="51"/>
      <c r="E643" s="51"/>
      <c r="F643" s="71"/>
      <c r="G643" s="71"/>
      <c r="H643" s="72"/>
      <c r="I643" s="72"/>
      <c r="J643" s="72"/>
      <c r="K643" s="72"/>
      <c r="L643" s="72"/>
    </row>
    <row r="644" spans="1:12" ht="15.6" x14ac:dyDescent="0.35">
      <c r="A644" s="44"/>
      <c r="B644" s="196" t="s">
        <v>181</v>
      </c>
      <c r="C644" s="197"/>
      <c r="D644" s="198"/>
      <c r="E644" s="198"/>
      <c r="F644" s="199"/>
      <c r="G644" s="199"/>
      <c r="H644" s="199"/>
      <c r="I644" s="199"/>
      <c r="J644" s="199"/>
      <c r="K644" s="199"/>
      <c r="L644" s="200"/>
    </row>
    <row r="645" spans="1:12" ht="15.6" x14ac:dyDescent="0.35">
      <c r="A645" s="44"/>
      <c r="B645" s="61"/>
      <c r="C645" s="61"/>
      <c r="D645" s="61"/>
      <c r="E645" s="61"/>
      <c r="F645" s="61"/>
      <c r="G645" s="94"/>
      <c r="H645" s="94"/>
      <c r="I645" s="94"/>
      <c r="J645" s="94"/>
      <c r="K645" s="94"/>
      <c r="L645" s="94"/>
    </row>
    <row r="646" spans="1:12" ht="15.6" x14ac:dyDescent="0.35">
      <c r="A646" s="44"/>
      <c r="B646" s="103" t="s">
        <v>20</v>
      </c>
      <c r="C646" s="61"/>
      <c r="D646" s="61"/>
      <c r="E646" s="61"/>
      <c r="F646" s="180">
        <f t="shared" ref="F646:L646" si="256">F31</f>
        <v>-379300000</v>
      </c>
      <c r="G646" s="180">
        <f t="shared" si="256"/>
        <v>-281600000</v>
      </c>
      <c r="H646" s="236">
        <f t="shared" si="256"/>
        <v>-165041562.09016538</v>
      </c>
      <c r="I646" s="236">
        <f t="shared" si="256"/>
        <v>-182239030.44808081</v>
      </c>
      <c r="J646" s="236">
        <f t="shared" si="256"/>
        <v>-193316137.6387279</v>
      </c>
      <c r="K646" s="236">
        <f t="shared" si="256"/>
        <v>-203235424.54314363</v>
      </c>
      <c r="L646" s="236">
        <f t="shared" si="256"/>
        <v>-206177531.09173626</v>
      </c>
    </row>
    <row r="647" spans="1:12" ht="15.6" x14ac:dyDescent="0.35">
      <c r="A647" s="44"/>
      <c r="B647" s="103" t="s">
        <v>143</v>
      </c>
      <c r="C647" s="61"/>
      <c r="D647" s="61"/>
      <c r="E647" s="61"/>
      <c r="F647" s="315">
        <v>0.25</v>
      </c>
      <c r="G647" s="315">
        <v>0.25</v>
      </c>
      <c r="H647" s="315">
        <v>0.25</v>
      </c>
      <c r="I647" s="315">
        <v>0.25</v>
      </c>
      <c r="J647" s="315">
        <v>0.25</v>
      </c>
      <c r="K647" s="315">
        <v>0.25</v>
      </c>
      <c r="L647" s="315">
        <v>0.25</v>
      </c>
    </row>
    <row r="648" spans="1:12" ht="15.6" x14ac:dyDescent="0.35">
      <c r="A648" s="44"/>
      <c r="B648" s="103" t="s">
        <v>141</v>
      </c>
      <c r="C648" s="63"/>
      <c r="D648" s="63"/>
      <c r="E648" s="63"/>
      <c r="F648" s="86">
        <f>-F33/F646</f>
        <v>0.10703928288953335</v>
      </c>
      <c r="G648" s="86">
        <f>-G33/G646</f>
        <v>-5.9659090909090912E-2</v>
      </c>
      <c r="H648" s="315">
        <v>0.25</v>
      </c>
      <c r="I648" s="315">
        <v>0.25</v>
      </c>
      <c r="J648" s="315">
        <v>0.25</v>
      </c>
      <c r="K648" s="315">
        <v>0.25</v>
      </c>
      <c r="L648" s="315">
        <v>0.25</v>
      </c>
    </row>
    <row r="649" spans="1:12" ht="15.6" x14ac:dyDescent="0.35">
      <c r="A649" s="44"/>
      <c r="B649" s="206" t="s">
        <v>184</v>
      </c>
      <c r="C649" s="185"/>
      <c r="D649" s="185"/>
      <c r="E649" s="204"/>
      <c r="F649" s="241"/>
      <c r="G649" s="256"/>
      <c r="H649" s="246">
        <f>MAX(0, H648*H646)</f>
        <v>0</v>
      </c>
      <c r="I649" s="246">
        <f>MAX(0, I648*I646)</f>
        <v>0</v>
      </c>
      <c r="J649" s="246">
        <f>MAX(0, J648*J646)</f>
        <v>0</v>
      </c>
      <c r="K649" s="246">
        <f>MAX(0, K648*K646)</f>
        <v>0</v>
      </c>
      <c r="L649" s="246">
        <f>MAX(0, L648*L646)</f>
        <v>0</v>
      </c>
    </row>
    <row r="650" spans="1:12" ht="15.6" x14ac:dyDescent="0.35">
      <c r="A650" s="44"/>
      <c r="B650" s="177"/>
      <c r="C650" s="63"/>
      <c r="D650" s="63"/>
      <c r="E650" s="63"/>
      <c r="F650" s="96"/>
      <c r="G650" s="96"/>
      <c r="H650" s="179"/>
      <c r="I650" s="179"/>
      <c r="J650" s="179"/>
      <c r="K650" s="179"/>
      <c r="L650" s="179"/>
    </row>
    <row r="651" spans="1:12" ht="15.6" x14ac:dyDescent="0.35">
      <c r="A651" s="44"/>
      <c r="B651" s="103" t="s">
        <v>289</v>
      </c>
      <c r="C651" s="63"/>
      <c r="D651" s="63"/>
      <c r="E651" s="63"/>
      <c r="F651" s="96"/>
      <c r="G651" s="96"/>
      <c r="H651" s="312">
        <v>0</v>
      </c>
      <c r="I651" s="312">
        <v>0</v>
      </c>
      <c r="J651" s="312">
        <v>0</v>
      </c>
      <c r="K651" s="312">
        <v>0</v>
      </c>
      <c r="L651" s="312">
        <v>0</v>
      </c>
    </row>
    <row r="652" spans="1:12" ht="15.6" x14ac:dyDescent="0.35">
      <c r="A652" s="44"/>
      <c r="B652" s="206" t="s">
        <v>43</v>
      </c>
      <c r="C652" s="185"/>
      <c r="D652" s="185"/>
      <c r="E652" s="204"/>
      <c r="F652" s="241"/>
      <c r="G652" s="256"/>
      <c r="H652" s="246">
        <f>MAX(H649, H649-H651)</f>
        <v>0</v>
      </c>
      <c r="I652" s="246">
        <f t="shared" ref="I652:L652" si="257">MAX(I649, I649-I651)</f>
        <v>0</v>
      </c>
      <c r="J652" s="246">
        <f t="shared" si="257"/>
        <v>0</v>
      </c>
      <c r="K652" s="246">
        <f t="shared" si="257"/>
        <v>0</v>
      </c>
      <c r="L652" s="246">
        <f t="shared" si="257"/>
        <v>0</v>
      </c>
    </row>
    <row r="653" spans="1:12" ht="15.6" x14ac:dyDescent="0.35">
      <c r="A653" s="44"/>
      <c r="B653" s="61"/>
      <c r="C653" s="61"/>
      <c r="D653" s="61"/>
      <c r="E653" s="61"/>
      <c r="F653" s="99"/>
      <c r="G653" s="124"/>
      <c r="H653" s="140"/>
      <c r="I653" s="140"/>
      <c r="J653" s="140"/>
      <c r="K653" s="140"/>
      <c r="L653" s="140"/>
    </row>
    <row r="654" spans="1:12" ht="15.6" x14ac:dyDescent="0.35">
      <c r="A654" s="44"/>
      <c r="B654" s="196" t="s">
        <v>183</v>
      </c>
      <c r="C654" s="197"/>
      <c r="D654" s="198"/>
      <c r="E654" s="198"/>
      <c r="F654" s="199"/>
      <c r="G654" s="199"/>
      <c r="H654" s="199"/>
      <c r="I654" s="199"/>
      <c r="J654" s="199"/>
      <c r="K654" s="199"/>
      <c r="L654" s="200"/>
    </row>
    <row r="655" spans="1:12" ht="15.6" x14ac:dyDescent="0.35">
      <c r="A655" s="44"/>
      <c r="B655" s="61"/>
      <c r="C655" s="61"/>
      <c r="D655" s="61"/>
      <c r="E655" s="61"/>
      <c r="F655" s="99"/>
      <c r="G655" s="99"/>
      <c r="H655" s="99"/>
      <c r="I655" s="99"/>
      <c r="J655" s="99"/>
      <c r="K655" s="99"/>
      <c r="L655" s="99"/>
    </row>
    <row r="656" spans="1:12" ht="15.6" x14ac:dyDescent="0.35">
      <c r="A656" s="44"/>
      <c r="B656" s="103" t="s">
        <v>280</v>
      </c>
      <c r="C656" s="61"/>
      <c r="D656" s="61"/>
      <c r="E656" s="61"/>
      <c r="F656" s="99"/>
      <c r="G656" s="99"/>
      <c r="H656" s="236">
        <f>G75</f>
        <v>0</v>
      </c>
      <c r="I656" s="236">
        <f>H75</f>
        <v>0</v>
      </c>
      <c r="J656" s="236">
        <f>I75</f>
        <v>0</v>
      </c>
      <c r="K656" s="236">
        <f>J75</f>
        <v>0</v>
      </c>
      <c r="L656" s="236">
        <f>K75</f>
        <v>0</v>
      </c>
    </row>
    <row r="657" spans="1:12" ht="15.6" x14ac:dyDescent="0.35">
      <c r="A657" s="44"/>
      <c r="B657" s="103" t="s">
        <v>285</v>
      </c>
      <c r="C657" s="61"/>
      <c r="D657" s="61"/>
      <c r="E657" s="61"/>
      <c r="F657" s="99"/>
      <c r="G657" s="99"/>
      <c r="H657" s="236">
        <f>G56</f>
        <v>3700000</v>
      </c>
      <c r="I657" s="236">
        <f>H56</f>
        <v>3700000</v>
      </c>
      <c r="J657" s="236">
        <f>I56</f>
        <v>3700000</v>
      </c>
      <c r="K657" s="236">
        <f>J56</f>
        <v>3700000</v>
      </c>
      <c r="L657" s="236">
        <f>K56</f>
        <v>3700000</v>
      </c>
    </row>
    <row r="658" spans="1:12" ht="15.6" x14ac:dyDescent="0.35">
      <c r="A658" s="44"/>
      <c r="B658" s="206" t="s">
        <v>284</v>
      </c>
      <c r="C658" s="185"/>
      <c r="D658" s="185"/>
      <c r="E658" s="204"/>
      <c r="F658" s="241"/>
      <c r="G658" s="256"/>
      <c r="H658" s="246">
        <f>SUM(H656:H657)</f>
        <v>3700000</v>
      </c>
      <c r="I658" s="246">
        <f t="shared" ref="I658:L658" si="258">SUM(I656:I657)</f>
        <v>3700000</v>
      </c>
      <c r="J658" s="246">
        <f t="shared" si="258"/>
        <v>3700000</v>
      </c>
      <c r="K658" s="246">
        <f t="shared" si="258"/>
        <v>3700000</v>
      </c>
      <c r="L658" s="246">
        <f t="shared" si="258"/>
        <v>3700000</v>
      </c>
    </row>
    <row r="659" spans="1:12" ht="15.6" x14ac:dyDescent="0.35">
      <c r="A659" s="44"/>
      <c r="B659" s="61"/>
      <c r="C659" s="61"/>
      <c r="D659" s="61"/>
      <c r="E659" s="61"/>
      <c r="F659" s="99"/>
      <c r="G659" s="99"/>
      <c r="H659" s="99"/>
      <c r="I659" s="99"/>
      <c r="J659" s="99"/>
      <c r="K659" s="99"/>
      <c r="L659" s="99"/>
    </row>
    <row r="660" spans="1:12" ht="15.6" x14ac:dyDescent="0.35">
      <c r="A660" s="44"/>
      <c r="B660" s="103" t="s">
        <v>280</v>
      </c>
      <c r="C660" s="61"/>
      <c r="D660" s="61"/>
      <c r="E660" s="61"/>
      <c r="F660" s="99"/>
      <c r="G660" s="99"/>
      <c r="H660" s="236">
        <f>H658</f>
        <v>3700000</v>
      </c>
      <c r="I660" s="236">
        <f t="shared" ref="I660:L660" si="259">I658</f>
        <v>3700000</v>
      </c>
      <c r="J660" s="236">
        <f t="shared" si="259"/>
        <v>3700000</v>
      </c>
      <c r="K660" s="236">
        <f t="shared" si="259"/>
        <v>3700000</v>
      </c>
      <c r="L660" s="236">
        <f t="shared" si="259"/>
        <v>3700000</v>
      </c>
    </row>
    <row r="661" spans="1:12" ht="15.6" x14ac:dyDescent="0.35">
      <c r="A661" s="44"/>
      <c r="B661" s="103" t="s">
        <v>142</v>
      </c>
      <c r="C661" s="61"/>
      <c r="D661" s="61"/>
      <c r="E661" s="61"/>
      <c r="F661" s="99"/>
      <c r="G661" s="94"/>
      <c r="H661" s="236">
        <f>H649</f>
        <v>0</v>
      </c>
      <c r="I661" s="236">
        <f t="shared" ref="I661:L661" si="260">I649</f>
        <v>0</v>
      </c>
      <c r="J661" s="236">
        <f t="shared" si="260"/>
        <v>0</v>
      </c>
      <c r="K661" s="236">
        <f t="shared" si="260"/>
        <v>0</v>
      </c>
      <c r="L661" s="236">
        <f t="shared" si="260"/>
        <v>0</v>
      </c>
    </row>
    <row r="662" spans="1:12" ht="15.6" x14ac:dyDescent="0.35">
      <c r="A662" s="44"/>
      <c r="B662" s="103" t="s">
        <v>25</v>
      </c>
      <c r="C662" s="61"/>
      <c r="D662" s="61"/>
      <c r="E662" s="61"/>
      <c r="F662" s="99"/>
      <c r="G662" s="94"/>
      <c r="H662" s="236">
        <f>-H652</f>
        <v>0</v>
      </c>
      <c r="I662" s="236">
        <f t="shared" ref="I662:L662" si="261">-I652</f>
        <v>0</v>
      </c>
      <c r="J662" s="236">
        <f t="shared" si="261"/>
        <v>0</v>
      </c>
      <c r="K662" s="236">
        <f t="shared" si="261"/>
        <v>0</v>
      </c>
      <c r="L662" s="236">
        <f t="shared" si="261"/>
        <v>0</v>
      </c>
    </row>
    <row r="663" spans="1:12" ht="15.6" x14ac:dyDescent="0.35">
      <c r="A663" s="44"/>
      <c r="B663" s="206" t="s">
        <v>283</v>
      </c>
      <c r="C663" s="185"/>
      <c r="D663" s="185"/>
      <c r="E663" s="204"/>
      <c r="F663" s="241"/>
      <c r="G663" s="256"/>
      <c r="H663" s="246">
        <f>SUM(H660:H662)</f>
        <v>3700000</v>
      </c>
      <c r="I663" s="246">
        <f t="shared" ref="I663:L663" si="262">SUM(I660:I662)</f>
        <v>3700000</v>
      </c>
      <c r="J663" s="246">
        <f t="shared" si="262"/>
        <v>3700000</v>
      </c>
      <c r="K663" s="246">
        <f t="shared" si="262"/>
        <v>3700000</v>
      </c>
      <c r="L663" s="246">
        <f t="shared" si="262"/>
        <v>3700000</v>
      </c>
    </row>
    <row r="664" spans="1:12" ht="15.6" x14ac:dyDescent="0.35">
      <c r="A664" s="44"/>
      <c r="B664" s="63"/>
      <c r="C664" s="63"/>
      <c r="D664" s="63"/>
      <c r="E664" s="63"/>
      <c r="F664" s="223"/>
      <c r="G664" s="254"/>
      <c r="H664" s="223"/>
      <c r="I664" s="223"/>
      <c r="J664" s="223"/>
      <c r="K664" s="223"/>
      <c r="L664" s="223"/>
    </row>
    <row r="665" spans="1:12" ht="15.6" x14ac:dyDescent="0.35">
      <c r="A665" s="44"/>
      <c r="B665" s="206" t="s">
        <v>287</v>
      </c>
      <c r="C665" s="185"/>
      <c r="D665" s="185"/>
      <c r="E665" s="204"/>
      <c r="F665" s="241"/>
      <c r="G665" s="256"/>
      <c r="H665" s="246">
        <f>IF(H663&gt;0, H663, 0)</f>
        <v>3700000</v>
      </c>
      <c r="I665" s="246">
        <f t="shared" ref="I665:L665" si="263">IF(I663&gt;0, I663, 0)</f>
        <v>3700000</v>
      </c>
      <c r="J665" s="246">
        <f t="shared" si="263"/>
        <v>3700000</v>
      </c>
      <c r="K665" s="246">
        <f t="shared" si="263"/>
        <v>3700000</v>
      </c>
      <c r="L665" s="246">
        <f t="shared" si="263"/>
        <v>3700000</v>
      </c>
    </row>
    <row r="666" spans="1:12" ht="15.6" x14ac:dyDescent="0.35">
      <c r="A666" s="44"/>
      <c r="B666" s="206" t="s">
        <v>286</v>
      </c>
      <c r="C666" s="185"/>
      <c r="D666" s="185"/>
      <c r="E666" s="204"/>
      <c r="F666" s="241"/>
      <c r="G666" s="256"/>
      <c r="H666" s="246">
        <f>IF(H663&lt;0, H663, 0)</f>
        <v>0</v>
      </c>
      <c r="I666" s="246">
        <f t="shared" ref="I666:L666" si="264">IF(I663&lt;0, I663, 0)</f>
        <v>0</v>
      </c>
      <c r="J666" s="246">
        <f t="shared" si="264"/>
        <v>0</v>
      </c>
      <c r="K666" s="246">
        <f t="shared" si="264"/>
        <v>0</v>
      </c>
      <c r="L666" s="246">
        <f t="shared" si="264"/>
        <v>0</v>
      </c>
    </row>
    <row r="667" spans="1:12" ht="15.6" x14ac:dyDescent="0.35">
      <c r="A667" s="44"/>
      <c r="B667" s="61"/>
      <c r="C667" s="61"/>
      <c r="D667" s="61"/>
      <c r="E667" s="61"/>
      <c r="F667" s="99"/>
      <c r="G667" s="94"/>
      <c r="H667" s="94"/>
      <c r="I667" s="94"/>
      <c r="J667" s="94"/>
      <c r="K667" s="94"/>
      <c r="L667" s="94"/>
    </row>
    <row r="668" spans="1:12" ht="15.6" x14ac:dyDescent="0.35">
      <c r="A668" s="44"/>
      <c r="B668" s="196" t="s">
        <v>281</v>
      </c>
      <c r="C668" s="197"/>
      <c r="D668" s="198"/>
      <c r="E668" s="198"/>
      <c r="F668" s="199"/>
      <c r="G668" s="199"/>
      <c r="H668" s="199"/>
      <c r="I668" s="199"/>
      <c r="J668" s="199"/>
      <c r="K668" s="199"/>
      <c r="L668" s="200"/>
    </row>
    <row r="669" spans="1:12" ht="15.6" x14ac:dyDescent="0.35">
      <c r="A669" s="44"/>
      <c r="B669" s="61"/>
      <c r="C669" s="61"/>
      <c r="D669" s="61"/>
      <c r="E669" s="61"/>
      <c r="F669" s="99"/>
      <c r="G669" s="94"/>
      <c r="H669" s="94"/>
      <c r="I669" s="94"/>
      <c r="J669" s="94"/>
      <c r="K669" s="94"/>
      <c r="L669" s="94"/>
    </row>
    <row r="670" spans="1:12" ht="15.6" x14ac:dyDescent="0.35">
      <c r="A670" s="44"/>
      <c r="B670" s="103" t="s">
        <v>282</v>
      </c>
      <c r="C670" s="61"/>
      <c r="D670" s="61"/>
      <c r="E670" s="61"/>
      <c r="F670" s="99"/>
      <c r="G670" s="99"/>
      <c r="H670" s="236">
        <f>G66</f>
        <v>44700000</v>
      </c>
      <c r="I670" s="236">
        <f>H66</f>
        <v>44700000</v>
      </c>
      <c r="J670" s="236">
        <f>I66</f>
        <v>44700000</v>
      </c>
      <c r="K670" s="236">
        <f>J66</f>
        <v>44700000</v>
      </c>
      <c r="L670" s="236">
        <f>K66</f>
        <v>44700000</v>
      </c>
    </row>
    <row r="671" spans="1:12" ht="15.6" x14ac:dyDescent="0.35">
      <c r="A671" s="44"/>
      <c r="B671" s="103" t="s">
        <v>182</v>
      </c>
      <c r="C671" s="61"/>
      <c r="D671" s="61"/>
      <c r="E671" s="61"/>
      <c r="F671" s="99"/>
      <c r="G671" s="94"/>
      <c r="H671" s="236">
        <f>H651</f>
        <v>0</v>
      </c>
      <c r="I671" s="236">
        <f>I651</f>
        <v>0</v>
      </c>
      <c r="J671" s="236">
        <f>J651</f>
        <v>0</v>
      </c>
      <c r="K671" s="236">
        <f>K651</f>
        <v>0</v>
      </c>
      <c r="L671" s="236">
        <f>L651</f>
        <v>0</v>
      </c>
    </row>
    <row r="672" spans="1:12" ht="15.6" x14ac:dyDescent="0.35">
      <c r="A672" s="44"/>
      <c r="B672" s="185" t="s">
        <v>288</v>
      </c>
      <c r="C672" s="185"/>
      <c r="D672" s="185"/>
      <c r="E672" s="185"/>
      <c r="F672" s="208"/>
      <c r="G672" s="392"/>
      <c r="H672" s="208">
        <f>SUM(H670:H671)</f>
        <v>44700000</v>
      </c>
      <c r="I672" s="208">
        <f>SUM(I670:I671)</f>
        <v>44700000</v>
      </c>
      <c r="J672" s="208">
        <f>SUM(J670:J671)</f>
        <v>44700000</v>
      </c>
      <c r="K672" s="208">
        <f>SUM(K670:K671)</f>
        <v>44700000</v>
      </c>
      <c r="L672" s="208">
        <f>SUM(L670:L671)</f>
        <v>44700000</v>
      </c>
    </row>
    <row r="673" spans="1:12" ht="15.6" x14ac:dyDescent="0.35">
      <c r="A673" s="44"/>
      <c r="B673" s="63"/>
      <c r="C673" s="63"/>
      <c r="D673" s="63"/>
      <c r="E673" s="63"/>
      <c r="F673" s="223"/>
      <c r="G673" s="254"/>
      <c r="H673" s="223"/>
      <c r="I673" s="223"/>
      <c r="J673" s="223"/>
      <c r="K673" s="223"/>
      <c r="L673" s="223"/>
    </row>
    <row r="674" spans="1:12" ht="15.6" x14ac:dyDescent="0.35">
      <c r="A674" s="44"/>
      <c r="B674" s="63"/>
      <c r="C674" s="63"/>
      <c r="D674" s="63"/>
      <c r="E674" s="63"/>
      <c r="F674" s="223"/>
      <c r="G674" s="254"/>
      <c r="H674" s="223"/>
      <c r="I674" s="223"/>
      <c r="J674" s="223"/>
      <c r="K674" s="223"/>
      <c r="L674" s="223"/>
    </row>
    <row r="675" spans="1:12" ht="15.6" x14ac:dyDescent="0.35">
      <c r="A675" s="44"/>
      <c r="B675" s="63"/>
      <c r="C675" s="63"/>
      <c r="D675" s="63"/>
      <c r="E675" s="63"/>
      <c r="F675" s="223"/>
      <c r="G675" s="254"/>
      <c r="H675" s="223"/>
      <c r="I675" s="223"/>
      <c r="J675" s="223"/>
      <c r="K675" s="223"/>
      <c r="L675" s="223"/>
    </row>
    <row r="676" spans="1:12" ht="15.6" x14ac:dyDescent="0.35">
      <c r="A676" s="44"/>
      <c r="B676" s="61"/>
      <c r="C676" s="61"/>
      <c r="D676" s="61"/>
      <c r="E676" s="61"/>
      <c r="F676" s="99"/>
      <c r="G676" s="94"/>
      <c r="H676" s="94"/>
      <c r="I676" s="94"/>
      <c r="J676" s="94"/>
      <c r="K676" s="94"/>
      <c r="L676" s="94"/>
    </row>
    <row r="677" spans="1:12" ht="28.8" x14ac:dyDescent="0.65">
      <c r="A677" s="44"/>
      <c r="B677" s="45" t="str">
        <f>Cover!$B$2</f>
        <v>ASOS PLC</v>
      </c>
      <c r="C677" s="45"/>
      <c r="D677" s="46"/>
      <c r="E677" s="47"/>
      <c r="F677" s="47"/>
      <c r="G677" s="47"/>
      <c r="H677" s="47"/>
      <c r="I677" s="47"/>
      <c r="J677" s="47"/>
      <c r="K677" s="47"/>
      <c r="L677" s="47"/>
    </row>
    <row r="678" spans="1:12" ht="21" x14ac:dyDescent="0.5">
      <c r="A678" s="44"/>
      <c r="B678" s="48" t="s">
        <v>144</v>
      </c>
      <c r="C678" s="49"/>
      <c r="D678" s="47"/>
      <c r="E678" s="47"/>
      <c r="F678" s="47"/>
      <c r="G678" s="47"/>
      <c r="H678" s="47"/>
      <c r="I678" s="47"/>
      <c r="J678" s="47"/>
      <c r="K678" s="47"/>
      <c r="L678" s="159" t="str">
        <f>"Currently Running: "&amp;CHOOSE(Assumptions!$B$10,Assumptions!$F$15,Assumptions!$F$16,Assumptions!$F$17)&amp;"Scenario"</f>
        <v>Currently Running: Base Scenario</v>
      </c>
    </row>
    <row r="679" spans="1:12" ht="15.6" x14ac:dyDescent="0.35">
      <c r="B679" s="50"/>
      <c r="C679" s="50"/>
      <c r="D679" s="50"/>
      <c r="E679" s="50"/>
      <c r="F679" s="50"/>
      <c r="G679" s="50"/>
      <c r="H679" s="50"/>
      <c r="I679" s="50"/>
      <c r="J679" s="50"/>
      <c r="K679" s="51"/>
      <c r="L679" s="51"/>
    </row>
    <row r="680" spans="1:12" ht="15.6" x14ac:dyDescent="0.35">
      <c r="B680" s="51"/>
      <c r="C680" s="51"/>
      <c r="D680" s="51"/>
      <c r="E680" s="51"/>
      <c r="F680" s="292" t="s">
        <v>361</v>
      </c>
      <c r="G680" s="293"/>
      <c r="H680" s="293"/>
      <c r="I680" s="293"/>
      <c r="J680" s="293"/>
      <c r="K680" s="293"/>
      <c r="L680" s="294"/>
    </row>
    <row r="681" spans="1:12" ht="15.6" x14ac:dyDescent="0.35">
      <c r="B681" s="51"/>
      <c r="C681" s="51"/>
      <c r="D681" s="51"/>
      <c r="E681" s="51"/>
      <c r="F681" s="53">
        <f>F641</f>
        <v>2024</v>
      </c>
      <c r="G681" s="53">
        <f>F681+1</f>
        <v>2025</v>
      </c>
      <c r="H681" s="54">
        <f>G681+1</f>
        <v>2026</v>
      </c>
      <c r="I681" s="54">
        <f t="shared" ref="I681" si="265">H681+1</f>
        <v>2027</v>
      </c>
      <c r="J681" s="54">
        <f t="shared" ref="J681" si="266">I681+1</f>
        <v>2028</v>
      </c>
      <c r="K681" s="54">
        <f t="shared" ref="K681" si="267">J681+1</f>
        <v>2029</v>
      </c>
      <c r="L681" s="54">
        <f t="shared" ref="L681" si="268">K681+1</f>
        <v>2030</v>
      </c>
    </row>
    <row r="682" spans="1:12" ht="16.2" thickBot="1" x14ac:dyDescent="0.4">
      <c r="B682" s="55" t="s">
        <v>187</v>
      </c>
      <c r="C682" s="55"/>
      <c r="D682" s="55"/>
      <c r="E682" s="55"/>
      <c r="F682" s="56" t="s">
        <v>50</v>
      </c>
      <c r="G682" s="56"/>
      <c r="H682" s="57"/>
      <c r="I682" s="57"/>
      <c r="J682" s="57"/>
      <c r="K682" s="57"/>
      <c r="L682" s="57" t="s">
        <v>37</v>
      </c>
    </row>
    <row r="683" spans="1:12" ht="15.6" x14ac:dyDescent="0.35">
      <c r="B683" s="51"/>
      <c r="C683" s="51"/>
      <c r="D683" s="51"/>
      <c r="E683" s="51"/>
      <c r="F683" s="71"/>
      <c r="G683" s="71"/>
      <c r="H683" s="72"/>
      <c r="I683" s="72"/>
      <c r="J683" s="72"/>
      <c r="K683" s="72"/>
      <c r="L683" s="72"/>
    </row>
    <row r="684" spans="1:12" ht="15.6" x14ac:dyDescent="0.35">
      <c r="B684" s="196" t="s">
        <v>30</v>
      </c>
      <c r="C684" s="197"/>
      <c r="D684" s="198"/>
      <c r="E684" s="198"/>
      <c r="F684" s="199"/>
      <c r="G684" s="199"/>
      <c r="H684" s="199"/>
      <c r="I684" s="199"/>
      <c r="J684" s="199"/>
      <c r="K684" s="199"/>
      <c r="L684" s="200"/>
    </row>
    <row r="685" spans="1:12" ht="15.6" x14ac:dyDescent="0.35">
      <c r="B685" s="123"/>
      <c r="C685" s="123"/>
      <c r="D685" s="51"/>
      <c r="E685" s="51"/>
      <c r="F685" s="71"/>
      <c r="G685" s="71"/>
      <c r="H685" s="81"/>
      <c r="I685" s="81"/>
      <c r="J685" s="81"/>
      <c r="K685" s="81"/>
      <c r="L685" s="81"/>
    </row>
    <row r="686" spans="1:12" ht="15" x14ac:dyDescent="0.35">
      <c r="B686" s="103" t="s">
        <v>145</v>
      </c>
      <c r="C686" s="61"/>
      <c r="D686" s="61"/>
      <c r="E686" s="61"/>
      <c r="F686" s="99"/>
      <c r="G686" s="99"/>
      <c r="H686" s="315">
        <v>0</v>
      </c>
      <c r="I686" s="315">
        <v>0</v>
      </c>
      <c r="J686" s="315">
        <v>0</v>
      </c>
      <c r="K686" s="315">
        <v>0</v>
      </c>
      <c r="L686" s="315">
        <v>0</v>
      </c>
    </row>
    <row r="687" spans="1:12" ht="15" x14ac:dyDescent="0.35">
      <c r="B687" s="103" t="s">
        <v>62</v>
      </c>
      <c r="C687" s="61"/>
      <c r="D687" s="61"/>
      <c r="E687" s="61"/>
      <c r="F687" s="99"/>
      <c r="G687" s="99"/>
      <c r="H687" s="236">
        <f>H34</f>
        <v>-165041562.09016538</v>
      </c>
      <c r="I687" s="236">
        <f>I34</f>
        <v>-182239030.44808081</v>
      </c>
      <c r="J687" s="236">
        <f>J34</f>
        <v>-193316137.6387279</v>
      </c>
      <c r="K687" s="236">
        <f>K34</f>
        <v>-203235424.54314363</v>
      </c>
      <c r="L687" s="236">
        <f>L34</f>
        <v>-206177531.09173626</v>
      </c>
    </row>
    <row r="688" spans="1:12" ht="15" x14ac:dyDescent="0.35">
      <c r="B688" s="206" t="s">
        <v>146</v>
      </c>
      <c r="C688" s="185"/>
      <c r="D688" s="185"/>
      <c r="E688" s="204"/>
      <c r="F688" s="241"/>
      <c r="G688" s="256"/>
      <c r="H688" s="246">
        <f>MAX(H687*H686, 0)</f>
        <v>0</v>
      </c>
      <c r="I688" s="246">
        <f t="shared" ref="I688:L688" si="269">MAX(I687*I686, 0)</f>
        <v>0</v>
      </c>
      <c r="J688" s="246">
        <f t="shared" si="269"/>
        <v>0</v>
      </c>
      <c r="K688" s="246">
        <f t="shared" si="269"/>
        <v>0</v>
      </c>
      <c r="L688" s="246">
        <f t="shared" si="269"/>
        <v>0</v>
      </c>
    </row>
    <row r="689" spans="2:12" ht="15" x14ac:dyDescent="0.35">
      <c r="B689" s="123"/>
      <c r="C689" s="123"/>
      <c r="D689" s="123"/>
      <c r="E689" s="123"/>
      <c r="F689" s="141"/>
      <c r="G689" s="141"/>
      <c r="H689" s="81"/>
      <c r="I689" s="81"/>
      <c r="J689" s="81"/>
      <c r="K689" s="81"/>
      <c r="L689" s="81"/>
    </row>
    <row r="690" spans="2:12" ht="15.6" x14ac:dyDescent="0.35">
      <c r="B690" s="196" t="s">
        <v>147</v>
      </c>
      <c r="C690" s="197"/>
      <c r="D690" s="198"/>
      <c r="E690" s="198"/>
      <c r="F690" s="199"/>
      <c r="G690" s="199"/>
      <c r="H690" s="199"/>
      <c r="I690" s="199"/>
      <c r="J690" s="199"/>
      <c r="K690" s="199"/>
      <c r="L690" s="200"/>
    </row>
    <row r="691" spans="2:12" ht="15" x14ac:dyDescent="0.35">
      <c r="B691" s="101"/>
      <c r="C691" s="101"/>
      <c r="D691" s="101"/>
      <c r="E691" s="101"/>
      <c r="F691" s="141"/>
      <c r="G691" s="141"/>
      <c r="H691" s="81"/>
      <c r="I691" s="81"/>
      <c r="J691" s="81"/>
      <c r="K691" s="81"/>
      <c r="L691" s="81"/>
    </row>
    <row r="692" spans="2:12" ht="15" x14ac:dyDescent="0.35">
      <c r="B692" s="61" t="s">
        <v>319</v>
      </c>
      <c r="C692" s="61"/>
      <c r="D692" s="61"/>
      <c r="E692" s="61"/>
      <c r="F692" s="99"/>
      <c r="G692" s="99"/>
      <c r="H692" s="236">
        <f>G697</f>
        <v>-118000000</v>
      </c>
      <c r="I692" s="236">
        <f t="shared" ref="I692:L692" si="270">H697</f>
        <v>-283041562.09016538</v>
      </c>
      <c r="J692" s="236">
        <f t="shared" si="270"/>
        <v>-465280592.53824615</v>
      </c>
      <c r="K692" s="236">
        <f t="shared" si="270"/>
        <v>-658596730.17697406</v>
      </c>
      <c r="L692" s="236">
        <f t="shared" si="270"/>
        <v>-861832154.72011769</v>
      </c>
    </row>
    <row r="693" spans="2:12" ht="15" x14ac:dyDescent="0.35">
      <c r="B693" s="103" t="s">
        <v>148</v>
      </c>
      <c r="C693" s="61"/>
      <c r="D693" s="61"/>
      <c r="E693" s="61"/>
      <c r="F693" s="99"/>
      <c r="G693" s="99"/>
      <c r="H693" s="236">
        <f>H34</f>
        <v>-165041562.09016538</v>
      </c>
      <c r="I693" s="236">
        <f>I34</f>
        <v>-182239030.44808081</v>
      </c>
      <c r="J693" s="236">
        <f>J34</f>
        <v>-193316137.6387279</v>
      </c>
      <c r="K693" s="236">
        <f>K34</f>
        <v>-203235424.54314363</v>
      </c>
      <c r="L693" s="236">
        <f>L34</f>
        <v>-206177531.09173626</v>
      </c>
    </row>
    <row r="694" spans="2:12" ht="15" x14ac:dyDescent="0.35">
      <c r="B694" s="103" t="s">
        <v>149</v>
      </c>
      <c r="C694" s="61"/>
      <c r="D694" s="61"/>
      <c r="E694" s="61"/>
      <c r="F694" s="99"/>
      <c r="G694" s="99"/>
      <c r="H694" s="236">
        <f>-H688</f>
        <v>0</v>
      </c>
      <c r="I694" s="236">
        <f t="shared" ref="I694:L694" si="271">-I688</f>
        <v>0</v>
      </c>
      <c r="J694" s="236">
        <f t="shared" si="271"/>
        <v>0</v>
      </c>
      <c r="K694" s="236">
        <f t="shared" si="271"/>
        <v>0</v>
      </c>
      <c r="L694" s="236">
        <f t="shared" si="271"/>
        <v>0</v>
      </c>
    </row>
    <row r="695" spans="2:12" ht="15" x14ac:dyDescent="0.35">
      <c r="B695" s="103" t="s">
        <v>150</v>
      </c>
      <c r="C695" s="61"/>
      <c r="D695" s="61"/>
      <c r="E695" s="61"/>
      <c r="F695" s="99"/>
      <c r="G695" s="99"/>
      <c r="H695" s="393">
        <f>0</f>
        <v>0</v>
      </c>
      <c r="I695" s="393">
        <f>0</f>
        <v>0</v>
      </c>
      <c r="J695" s="393">
        <f>0</f>
        <v>0</v>
      </c>
      <c r="K695" s="393">
        <f>0</f>
        <v>0</v>
      </c>
      <c r="L695" s="393">
        <f>0</f>
        <v>0</v>
      </c>
    </row>
    <row r="696" spans="2:12" ht="15" x14ac:dyDescent="0.35">
      <c r="B696" s="103" t="s">
        <v>151</v>
      </c>
      <c r="C696" s="61"/>
      <c r="D696" s="61"/>
      <c r="E696" s="61"/>
      <c r="F696" s="99"/>
      <c r="G696" s="99"/>
      <c r="H696" s="393">
        <f>0</f>
        <v>0</v>
      </c>
      <c r="I696" s="393">
        <f>0</f>
        <v>0</v>
      </c>
      <c r="J696" s="393">
        <f>0</f>
        <v>0</v>
      </c>
      <c r="K696" s="393">
        <f>0</f>
        <v>0</v>
      </c>
      <c r="L696" s="393">
        <f>0</f>
        <v>0</v>
      </c>
    </row>
    <row r="697" spans="2:12" ht="15" x14ac:dyDescent="0.35">
      <c r="B697" s="206" t="s">
        <v>320</v>
      </c>
      <c r="C697" s="185"/>
      <c r="D697" s="185"/>
      <c r="E697" s="204"/>
      <c r="F697" s="241"/>
      <c r="G697" s="257">
        <f>G92</f>
        <v>-118000000</v>
      </c>
      <c r="H697" s="246">
        <f>SUM(H692:H696)</f>
        <v>-283041562.09016538</v>
      </c>
      <c r="I697" s="246">
        <f t="shared" ref="I697:L697" si="272">SUM(I692:I696)</f>
        <v>-465280592.53824615</v>
      </c>
      <c r="J697" s="246">
        <f t="shared" si="272"/>
        <v>-658596730.17697406</v>
      </c>
      <c r="K697" s="246">
        <f t="shared" si="272"/>
        <v>-861832154.72011769</v>
      </c>
      <c r="L697" s="246">
        <f t="shared" si="272"/>
        <v>-1068009685.8118539</v>
      </c>
    </row>
    <row r="698" spans="2:12" ht="15" x14ac:dyDescent="0.35">
      <c r="B698" s="63"/>
      <c r="C698" s="63"/>
      <c r="D698" s="63"/>
      <c r="E698" s="63"/>
      <c r="F698" s="63"/>
      <c r="G698" s="127"/>
      <c r="H698" s="127"/>
      <c r="I698" s="127"/>
      <c r="J698" s="127"/>
      <c r="K698" s="127"/>
      <c r="L698" s="127"/>
    </row>
    <row r="699" spans="2:12" ht="15" x14ac:dyDescent="0.35">
      <c r="B699" s="61"/>
      <c r="C699" s="61"/>
      <c r="D699" s="61"/>
      <c r="E699" s="61"/>
      <c r="F699" s="61"/>
      <c r="G699" s="61"/>
      <c r="H699" s="74"/>
      <c r="I699" s="74"/>
      <c r="J699" s="74"/>
      <c r="K699" s="74"/>
      <c r="L699" s="74"/>
    </row>
    <row r="700" spans="2:12" ht="15.6" x14ac:dyDescent="0.35">
      <c r="B700" s="44"/>
      <c r="C700" s="44"/>
      <c r="D700" s="44"/>
      <c r="E700" s="44"/>
      <c r="F700" s="44"/>
      <c r="G700" s="44"/>
      <c r="H700" s="142"/>
      <c r="I700" s="142"/>
      <c r="J700" s="142"/>
      <c r="K700" s="142"/>
      <c r="L700" s="142"/>
    </row>
    <row r="701" spans="2:12" ht="15.6" x14ac:dyDescent="0.35">
      <c r="B701" s="44"/>
      <c r="C701" s="44"/>
      <c r="D701" s="76"/>
      <c r="E701" s="76"/>
      <c r="F701" s="76"/>
      <c r="G701" s="76"/>
      <c r="H701" s="102"/>
      <c r="I701" s="102"/>
      <c r="J701" s="102"/>
      <c r="K701" s="102"/>
      <c r="L701" s="102"/>
    </row>
    <row r="702" spans="2:12" ht="15.6" x14ac:dyDescent="0.35">
      <c r="B702" s="44"/>
      <c r="C702" s="44"/>
      <c r="D702" s="44"/>
      <c r="E702" s="44"/>
      <c r="F702" s="44"/>
      <c r="G702" s="44"/>
      <c r="H702" s="102"/>
      <c r="I702" s="102"/>
      <c r="J702" s="102"/>
      <c r="K702" s="102"/>
      <c r="L702" s="102"/>
    </row>
    <row r="703" spans="2:12" ht="15.6" x14ac:dyDescent="0.35">
      <c r="B703" s="44"/>
      <c r="C703" s="44"/>
      <c r="D703" s="44"/>
      <c r="E703" s="44"/>
      <c r="F703" s="44"/>
      <c r="G703" s="44"/>
      <c r="H703" s="102"/>
      <c r="I703" s="102"/>
      <c r="J703" s="102"/>
      <c r="K703" s="102"/>
      <c r="L703" s="102"/>
    </row>
    <row r="704" spans="2:12" ht="15.6" x14ac:dyDescent="0.35">
      <c r="B704" s="76"/>
      <c r="C704" s="76"/>
      <c r="D704" s="44"/>
      <c r="E704" s="44"/>
      <c r="F704" s="44"/>
      <c r="G704" s="44"/>
      <c r="H704" s="102"/>
      <c r="I704" s="102"/>
      <c r="J704" s="102"/>
      <c r="K704" s="102"/>
      <c r="L704" s="102"/>
    </row>
    <row r="705" spans="2:12" ht="15.6" x14ac:dyDescent="0.35">
      <c r="B705" s="44"/>
      <c r="C705" s="44"/>
      <c r="D705" s="44"/>
      <c r="E705" s="44"/>
      <c r="F705" s="44"/>
      <c r="G705" s="44"/>
      <c r="H705" s="102"/>
      <c r="I705" s="102"/>
      <c r="J705" s="102"/>
      <c r="K705" s="102"/>
      <c r="L705" s="102"/>
    </row>
    <row r="706" spans="2:12" ht="15.6" x14ac:dyDescent="0.35">
      <c r="B706" s="44"/>
      <c r="C706" s="44"/>
      <c r="D706" s="44"/>
      <c r="E706" s="44"/>
      <c r="F706" s="44"/>
      <c r="G706" s="44"/>
      <c r="H706" s="78"/>
      <c r="I706" s="78"/>
      <c r="J706" s="78"/>
      <c r="K706" s="78"/>
      <c r="L706" s="78"/>
    </row>
    <row r="707" spans="2:12" ht="15.6" x14ac:dyDescent="0.35">
      <c r="B707" s="76"/>
      <c r="C707" s="76"/>
      <c r="D707" s="76"/>
      <c r="E707" s="76"/>
      <c r="F707" s="76"/>
      <c r="G707" s="76"/>
      <c r="H707" s="102"/>
      <c r="I707" s="102"/>
      <c r="J707" s="102"/>
      <c r="K707" s="102"/>
      <c r="L707" s="102"/>
    </row>
    <row r="709" spans="2:12" x14ac:dyDescent="0.3">
      <c r="B709" s="5"/>
      <c r="C709" s="5"/>
    </row>
    <row r="711" spans="2:12" x14ac:dyDescent="0.3">
      <c r="H711" s="32"/>
      <c r="I711" s="32"/>
      <c r="J711" s="32"/>
      <c r="K711" s="32"/>
      <c r="L711" s="32"/>
    </row>
    <row r="712" spans="2:12" x14ac:dyDescent="0.3">
      <c r="H712" s="34"/>
      <c r="I712" s="34"/>
      <c r="J712" s="34"/>
      <c r="K712" s="34"/>
      <c r="L712" s="34"/>
    </row>
    <row r="713" spans="2:12" x14ac:dyDescent="0.3">
      <c r="B713" s="5"/>
      <c r="C713" s="5"/>
      <c r="D713" s="5"/>
      <c r="E713" s="5"/>
      <c r="F713" s="5"/>
      <c r="G713" s="5"/>
      <c r="H713" s="31"/>
      <c r="I713" s="31"/>
      <c r="J713" s="31"/>
      <c r="K713" s="31"/>
      <c r="L713" s="31"/>
    </row>
    <row r="714" spans="2:12" x14ac:dyDescent="0.3">
      <c r="B714" s="5"/>
      <c r="C714" s="5"/>
      <c r="D714" s="5"/>
      <c r="E714" s="5"/>
      <c r="F714" s="5"/>
      <c r="G714" s="5"/>
      <c r="H714" s="31"/>
      <c r="I714" s="31"/>
      <c r="J714" s="31"/>
      <c r="K714" s="31"/>
      <c r="L714" s="31"/>
    </row>
    <row r="715" spans="2:12" x14ac:dyDescent="0.3">
      <c r="B715" s="5"/>
      <c r="C715" s="5"/>
    </row>
    <row r="717" spans="2:12" x14ac:dyDescent="0.3">
      <c r="H717" s="32"/>
      <c r="I717" s="32"/>
      <c r="J717" s="32"/>
      <c r="K717" s="32"/>
      <c r="L717" s="32"/>
    </row>
    <row r="718" spans="2:12" x14ac:dyDescent="0.3">
      <c r="H718" s="34"/>
      <c r="I718" s="34"/>
      <c r="J718" s="34"/>
      <c r="K718" s="34"/>
      <c r="L718" s="34"/>
    </row>
    <row r="719" spans="2:12" x14ac:dyDescent="0.3">
      <c r="B719" s="5"/>
      <c r="C719" s="5"/>
      <c r="D719" s="5"/>
      <c r="E719" s="5"/>
      <c r="F719" s="5"/>
      <c r="G719" s="5"/>
      <c r="H719" s="31"/>
      <c r="I719" s="31"/>
      <c r="J719" s="31"/>
      <c r="K719" s="31"/>
      <c r="L719" s="31"/>
    </row>
    <row r="720" spans="2:12" x14ac:dyDescent="0.3">
      <c r="B720" s="5"/>
      <c r="C720" s="5"/>
      <c r="H720" s="35"/>
    </row>
    <row r="721" spans="2:12" x14ac:dyDescent="0.3">
      <c r="B721" s="5"/>
      <c r="C721" s="5"/>
    </row>
    <row r="723" spans="2:12" x14ac:dyDescent="0.3">
      <c r="H723" s="32"/>
      <c r="I723" s="32"/>
      <c r="J723" s="32"/>
      <c r="K723" s="32"/>
      <c r="L723" s="32"/>
    </row>
    <row r="724" spans="2:12" x14ac:dyDescent="0.3">
      <c r="H724" s="34"/>
      <c r="I724" s="34"/>
      <c r="J724" s="34"/>
      <c r="K724" s="34"/>
      <c r="L724" s="34"/>
    </row>
    <row r="725" spans="2:12" x14ac:dyDescent="0.3">
      <c r="B725" s="5"/>
      <c r="C725" s="5"/>
      <c r="D725" s="5"/>
      <c r="E725" s="5"/>
      <c r="F725" s="5"/>
      <c r="G725" s="5"/>
      <c r="H725" s="31"/>
      <c r="I725" s="31"/>
      <c r="J725" s="31"/>
      <c r="K725" s="31"/>
      <c r="L725" s="31"/>
    </row>
    <row r="726" spans="2:12" x14ac:dyDescent="0.3">
      <c r="B726" s="5"/>
      <c r="C726" s="5"/>
      <c r="D726" s="5"/>
      <c r="E726" s="5"/>
      <c r="F726" s="5"/>
      <c r="G726" s="5"/>
      <c r="H726" s="31"/>
      <c r="I726" s="31"/>
      <c r="J726" s="31"/>
      <c r="K726" s="31"/>
      <c r="L726" s="31"/>
    </row>
    <row r="727" spans="2:12" x14ac:dyDescent="0.3">
      <c r="B727" s="5"/>
      <c r="C727" s="5"/>
      <c r="D727" s="5"/>
      <c r="E727" s="5"/>
      <c r="F727" s="5"/>
      <c r="G727" s="5"/>
      <c r="H727" s="31"/>
      <c r="I727" s="31"/>
      <c r="J727" s="31"/>
      <c r="K727" s="31"/>
      <c r="L727" s="31"/>
    </row>
    <row r="728" spans="2:12" x14ac:dyDescent="0.3">
      <c r="B728" s="5"/>
      <c r="C728" s="5"/>
      <c r="D728" s="5"/>
      <c r="E728" s="5"/>
      <c r="F728" s="5"/>
      <c r="G728" s="5"/>
      <c r="H728" s="31"/>
      <c r="I728" s="31"/>
      <c r="J728" s="31"/>
      <c r="K728" s="31"/>
      <c r="L728" s="31"/>
    </row>
    <row r="729" spans="2:12" x14ac:dyDescent="0.3">
      <c r="B729" s="5"/>
      <c r="C729" s="5"/>
    </row>
    <row r="731" spans="2:12" x14ac:dyDescent="0.3">
      <c r="H731" s="32"/>
      <c r="I731" s="32"/>
      <c r="J731" s="32"/>
      <c r="K731" s="32"/>
      <c r="L731" s="32"/>
    </row>
    <row r="732" spans="2:12" x14ac:dyDescent="0.3">
      <c r="H732" s="34"/>
      <c r="I732" s="34"/>
      <c r="J732" s="34"/>
      <c r="K732" s="34"/>
      <c r="L732" s="34"/>
    </row>
    <row r="733" spans="2:12" x14ac:dyDescent="0.3">
      <c r="B733" s="5"/>
      <c r="C733" s="5"/>
      <c r="D733" s="5"/>
      <c r="E733" s="5"/>
      <c r="F733" s="5"/>
      <c r="G733" s="5"/>
      <c r="H733" s="31"/>
      <c r="I733" s="31"/>
      <c r="J733" s="31"/>
      <c r="K733" s="31"/>
      <c r="L733" s="31"/>
    </row>
    <row r="734" spans="2:12" x14ac:dyDescent="0.3">
      <c r="B734" s="5"/>
      <c r="C734" s="5"/>
      <c r="H734" s="35"/>
    </row>
    <row r="735" spans="2:12" x14ac:dyDescent="0.3">
      <c r="B735" s="5"/>
      <c r="C735" s="5"/>
    </row>
    <row r="737" spans="2:12" x14ac:dyDescent="0.3">
      <c r="H737" s="32"/>
      <c r="I737" s="32"/>
      <c r="J737" s="32"/>
      <c r="K737" s="32"/>
      <c r="L737" s="32"/>
    </row>
    <row r="738" spans="2:12" x14ac:dyDescent="0.3">
      <c r="H738" s="34"/>
      <c r="I738" s="34"/>
      <c r="J738" s="34"/>
      <c r="K738" s="34"/>
      <c r="L738" s="34"/>
    </row>
    <row r="739" spans="2:12" x14ac:dyDescent="0.3">
      <c r="B739" s="5"/>
      <c r="C739" s="5"/>
      <c r="D739" s="5"/>
      <c r="E739" s="5"/>
      <c r="F739" s="5"/>
      <c r="G739" s="5"/>
      <c r="H739" s="31"/>
      <c r="I739" s="31"/>
      <c r="J739" s="31"/>
      <c r="K739" s="31"/>
      <c r="L739" s="31"/>
    </row>
    <row r="740" spans="2:12" x14ac:dyDescent="0.3">
      <c r="B740" s="5"/>
      <c r="C740" s="5"/>
      <c r="D740" s="5"/>
      <c r="E740" s="5"/>
      <c r="F740" s="5"/>
      <c r="G740" s="5"/>
      <c r="H740" s="31"/>
      <c r="I740" s="31"/>
      <c r="J740" s="31"/>
      <c r="K740" s="31"/>
      <c r="L740" s="31"/>
    </row>
    <row r="741" spans="2:12" x14ac:dyDescent="0.3">
      <c r="E741" s="5"/>
      <c r="F741" s="5"/>
      <c r="G741" s="5"/>
      <c r="H741" s="31"/>
      <c r="I741" s="31"/>
      <c r="J741" s="31"/>
      <c r="K741" s="31"/>
      <c r="L741" s="31"/>
    </row>
    <row r="742" spans="2:12" x14ac:dyDescent="0.3">
      <c r="E742" s="5"/>
      <c r="F742" s="5"/>
      <c r="G742" s="5"/>
      <c r="H742" s="31"/>
      <c r="I742" s="31"/>
      <c r="J742" s="31"/>
      <c r="K742" s="31"/>
      <c r="L742" s="31"/>
    </row>
    <row r="743" spans="2:12" x14ac:dyDescent="0.3">
      <c r="B743" s="5"/>
      <c r="C743" s="5"/>
      <c r="D743" s="5"/>
      <c r="H743" s="31"/>
      <c r="I743" s="31"/>
      <c r="J743" s="31"/>
      <c r="K743" s="31"/>
      <c r="L743" s="31"/>
    </row>
    <row r="744" spans="2:12" x14ac:dyDescent="0.3">
      <c r="B744" s="5"/>
      <c r="C744" s="5"/>
      <c r="D744" s="5"/>
      <c r="H744" s="31"/>
      <c r="I744" s="31"/>
      <c r="J744" s="31"/>
      <c r="K744" s="31"/>
      <c r="L744" s="31"/>
    </row>
    <row r="745" spans="2:12" x14ac:dyDescent="0.3">
      <c r="B745" s="5"/>
      <c r="C745" s="5"/>
      <c r="H745" s="31"/>
      <c r="I745" s="31"/>
      <c r="J745" s="31"/>
      <c r="K745" s="31"/>
      <c r="L745" s="31"/>
    </row>
    <row r="746" spans="2:12" x14ac:dyDescent="0.3">
      <c r="B746" s="5"/>
      <c r="C746" s="5"/>
      <c r="D746" s="5"/>
      <c r="H746" s="36"/>
      <c r="I746" s="36"/>
      <c r="J746" s="36"/>
      <c r="K746" s="36"/>
      <c r="L746" s="36"/>
    </row>
    <row r="749" spans="2:12" ht="25.8" x14ac:dyDescent="0.5">
      <c r="B749" s="3"/>
      <c r="C749" s="3"/>
      <c r="D749" s="3"/>
      <c r="E749" s="4"/>
      <c r="F749" s="4"/>
      <c r="G749" s="4"/>
      <c r="H749" s="4"/>
      <c r="I749" s="4"/>
      <c r="J749" s="4"/>
      <c r="K749" s="4"/>
      <c r="L749" s="4"/>
    </row>
    <row r="750" spans="2:12" x14ac:dyDescent="0.3">
      <c r="B750" s="4"/>
      <c r="C750" s="4"/>
      <c r="D750" s="4"/>
      <c r="E750" s="4"/>
      <c r="F750" s="4"/>
      <c r="G750" s="4"/>
      <c r="H750" s="4"/>
      <c r="I750" s="4"/>
      <c r="J750" s="4"/>
      <c r="K750" s="4"/>
      <c r="L750" s="4"/>
    </row>
    <row r="751" spans="2:12" x14ac:dyDescent="0.3">
      <c r="B751" s="4"/>
      <c r="C751" s="4"/>
      <c r="D751" s="4"/>
      <c r="E751" s="4"/>
      <c r="F751" s="4"/>
      <c r="G751" s="4"/>
      <c r="H751" s="4"/>
      <c r="I751" s="4"/>
      <c r="J751" s="4"/>
    </row>
    <row r="752" spans="2:12" x14ac:dyDescent="0.3">
      <c r="B752" s="4"/>
      <c r="C752" s="4"/>
      <c r="D752" s="4"/>
      <c r="E752" s="4"/>
      <c r="F752" s="4"/>
      <c r="G752" s="4"/>
      <c r="H752" s="4"/>
      <c r="I752" s="4"/>
      <c r="J752" s="4"/>
    </row>
    <row r="754" spans="2:12" x14ac:dyDescent="0.3">
      <c r="F754" s="28"/>
      <c r="G754" s="28"/>
      <c r="H754" s="29"/>
      <c r="I754" s="29"/>
      <c r="J754" s="29"/>
      <c r="K754" s="29"/>
      <c r="L754" s="29"/>
    </row>
    <row r="756" spans="2:12" x14ac:dyDescent="0.3">
      <c r="B756" s="5"/>
      <c r="C756" s="5"/>
    </row>
    <row r="757" spans="2:12" x14ac:dyDescent="0.3">
      <c r="B757" s="5"/>
      <c r="C757" s="5"/>
    </row>
    <row r="758" spans="2:12" x14ac:dyDescent="0.3">
      <c r="H758" s="30"/>
      <c r="I758" s="30"/>
      <c r="J758" s="30"/>
      <c r="K758" s="30"/>
      <c r="L758" s="30"/>
    </row>
    <row r="759" spans="2:12" x14ac:dyDescent="0.3">
      <c r="F759" s="8"/>
      <c r="H759" s="32"/>
      <c r="I759" s="32"/>
      <c r="J759" s="32"/>
      <c r="K759" s="32"/>
      <c r="L759" s="32"/>
    </row>
    <row r="760" spans="2:12" x14ac:dyDescent="0.3">
      <c r="H760" s="32"/>
      <c r="I760" s="32"/>
      <c r="J760" s="32"/>
      <c r="K760" s="32"/>
      <c r="L760" s="32"/>
    </row>
    <row r="761" spans="2:12" x14ac:dyDescent="0.3">
      <c r="H761" s="32"/>
      <c r="I761" s="32"/>
      <c r="J761" s="32"/>
      <c r="K761" s="32"/>
      <c r="L761" s="32"/>
    </row>
    <row r="762" spans="2:12" x14ac:dyDescent="0.3">
      <c r="H762" s="32"/>
      <c r="I762" s="32"/>
      <c r="J762" s="32"/>
      <c r="K762" s="32"/>
      <c r="L762" s="32"/>
    </row>
    <row r="763" spans="2:12" x14ac:dyDescent="0.3">
      <c r="H763" s="32"/>
      <c r="I763" s="32"/>
      <c r="J763" s="32"/>
      <c r="K763" s="32"/>
      <c r="L763" s="32"/>
    </row>
    <row r="764" spans="2:12" x14ac:dyDescent="0.3">
      <c r="B764" s="5"/>
      <c r="C764" s="5"/>
      <c r="D764" s="5"/>
      <c r="E764" s="5"/>
      <c r="F764" s="5"/>
      <c r="G764" s="5"/>
      <c r="H764" s="10"/>
      <c r="I764" s="10"/>
      <c r="J764" s="10"/>
      <c r="K764" s="10"/>
      <c r="L764" s="10"/>
    </row>
    <row r="765" spans="2:12" x14ac:dyDescent="0.3">
      <c r="B765" s="5"/>
      <c r="C765" s="5"/>
      <c r="D765" s="5"/>
      <c r="E765" s="5"/>
      <c r="F765" s="5"/>
      <c r="G765" s="5"/>
      <c r="H765" s="37"/>
      <c r="I765" s="37"/>
      <c r="J765" s="37"/>
      <c r="K765" s="37"/>
      <c r="L765" s="37"/>
    </row>
    <row r="766" spans="2:12" x14ac:dyDescent="0.3">
      <c r="B766" s="5"/>
      <c r="C766" s="5"/>
      <c r="D766" s="5"/>
      <c r="E766" s="5"/>
      <c r="F766" s="5"/>
      <c r="G766" s="5"/>
      <c r="H766" s="37"/>
      <c r="I766" s="37"/>
      <c r="J766" s="37"/>
      <c r="K766" s="37"/>
      <c r="L766" s="37"/>
    </row>
    <row r="767" spans="2:12" x14ac:dyDescent="0.3">
      <c r="B767" s="5"/>
      <c r="C767" s="5"/>
      <c r="D767" s="5"/>
      <c r="E767" s="5"/>
      <c r="F767" s="5"/>
      <c r="G767" s="5"/>
      <c r="H767" s="37"/>
      <c r="I767" s="37"/>
      <c r="J767" s="37"/>
      <c r="K767" s="37"/>
      <c r="L767" s="37"/>
    </row>
    <row r="768" spans="2:12" x14ac:dyDescent="0.3">
      <c r="D768" s="5"/>
      <c r="E768" s="5"/>
      <c r="F768" s="5"/>
      <c r="G768" s="5"/>
      <c r="H768" s="32"/>
      <c r="I768" s="32"/>
      <c r="J768" s="32"/>
      <c r="K768" s="32"/>
      <c r="L768" s="32"/>
    </row>
    <row r="769" spans="2:12" x14ac:dyDescent="0.3">
      <c r="D769" s="5"/>
      <c r="E769" s="5"/>
      <c r="F769" s="5"/>
      <c r="G769" s="5"/>
      <c r="H769" s="32"/>
      <c r="I769" s="32"/>
      <c r="J769" s="32"/>
      <c r="K769" s="32"/>
      <c r="L769" s="32"/>
    </row>
    <row r="770" spans="2:12" x14ac:dyDescent="0.3">
      <c r="D770" s="5"/>
      <c r="E770" s="5"/>
      <c r="F770" s="5"/>
      <c r="G770" s="5"/>
      <c r="H770" s="32"/>
      <c r="I770" s="30"/>
      <c r="J770" s="30"/>
      <c r="K770" s="30"/>
      <c r="L770" s="30"/>
    </row>
    <row r="771" spans="2:12" x14ac:dyDescent="0.3">
      <c r="D771" s="5"/>
      <c r="E771" s="5"/>
      <c r="F771" s="5"/>
      <c r="G771" s="5"/>
      <c r="H771" s="32"/>
      <c r="I771" s="32"/>
      <c r="J771" s="30"/>
      <c r="K771" s="32"/>
      <c r="L771" s="32"/>
    </row>
    <row r="772" spans="2:12" x14ac:dyDescent="0.3">
      <c r="D772" s="5"/>
      <c r="E772" s="5"/>
      <c r="F772" s="5"/>
      <c r="G772" s="5"/>
      <c r="H772" s="32"/>
      <c r="I772" s="32"/>
      <c r="J772" s="32"/>
      <c r="K772" s="30"/>
      <c r="L772" s="30"/>
    </row>
    <row r="773" spans="2:12" x14ac:dyDescent="0.3">
      <c r="D773" s="5"/>
      <c r="E773" s="5"/>
      <c r="F773" s="5"/>
      <c r="G773" s="5"/>
      <c r="H773" s="32"/>
      <c r="I773" s="32"/>
      <c r="J773" s="32"/>
      <c r="K773" s="32"/>
      <c r="L773" s="30"/>
    </row>
    <row r="774" spans="2:12" x14ac:dyDescent="0.3">
      <c r="B774" s="5"/>
      <c r="C774" s="5"/>
      <c r="D774" s="5"/>
      <c r="E774" s="5"/>
      <c r="F774" s="5"/>
      <c r="G774" s="5"/>
      <c r="H774" s="10"/>
      <c r="I774" s="10"/>
      <c r="J774" s="10"/>
      <c r="K774" s="10"/>
      <c r="L774" s="10"/>
    </row>
    <row r="776" spans="2:12" x14ac:dyDescent="0.3">
      <c r="B776" s="5"/>
      <c r="C776" s="5"/>
      <c r="F776" s="5"/>
      <c r="G776" s="5"/>
      <c r="H776" s="5"/>
      <c r="I776" s="5"/>
      <c r="J776" s="5"/>
      <c r="K776" s="5"/>
      <c r="L776" s="5"/>
    </row>
    <row r="778" spans="2:12" x14ac:dyDescent="0.3">
      <c r="F778" s="32"/>
      <c r="G778" s="32"/>
      <c r="H778" s="32"/>
      <c r="I778" s="32"/>
      <c r="J778" s="32"/>
      <c r="K778" s="32"/>
      <c r="L778" s="32"/>
    </row>
    <row r="779" spans="2:12" x14ac:dyDescent="0.3">
      <c r="F779" s="32"/>
      <c r="G779" s="38"/>
      <c r="H779" s="38"/>
      <c r="I779" s="32"/>
      <c r="J779" s="32"/>
      <c r="K779" s="32"/>
      <c r="L779" s="32"/>
    </row>
    <row r="780" spans="2:12" x14ac:dyDescent="0.3">
      <c r="F780" s="32"/>
      <c r="G780" s="32"/>
      <c r="H780" s="32"/>
      <c r="I780" s="32"/>
      <c r="J780" s="32"/>
      <c r="K780" s="32"/>
      <c r="L780" s="32"/>
    </row>
    <row r="781" spans="2:12" x14ac:dyDescent="0.3">
      <c r="B781" s="5"/>
      <c r="C781" s="5"/>
      <c r="D781" s="5"/>
      <c r="E781" s="5"/>
      <c r="F781" s="10"/>
      <c r="G781" s="10"/>
      <c r="H781" s="10"/>
      <c r="I781" s="10"/>
      <c r="J781" s="10"/>
      <c r="K781" s="10"/>
      <c r="L781" s="10"/>
    </row>
    <row r="783" spans="2:12" x14ac:dyDescent="0.3">
      <c r="B783" s="5"/>
      <c r="C783" s="5"/>
    </row>
    <row r="785" spans="2:12" x14ac:dyDescent="0.3">
      <c r="F785" s="6"/>
      <c r="G785" s="32"/>
      <c r="H785" s="32"/>
      <c r="I785" s="32"/>
      <c r="J785" s="32"/>
      <c r="K785" s="32"/>
      <c r="L785" s="32"/>
    </row>
    <row r="786" spans="2:12" x14ac:dyDescent="0.3">
      <c r="F786" s="9"/>
      <c r="G786" s="9"/>
      <c r="H786" s="38"/>
      <c r="I786" s="38"/>
      <c r="J786" s="38"/>
      <c r="K786" s="38"/>
      <c r="L786" s="38"/>
    </row>
    <row r="787" spans="2:12" x14ac:dyDescent="0.3">
      <c r="F787" s="39"/>
      <c r="G787" s="39"/>
      <c r="H787" s="38"/>
      <c r="I787" s="38"/>
      <c r="J787" s="38"/>
      <c r="K787" s="38"/>
      <c r="L787" s="38"/>
    </row>
    <row r="788" spans="2:12" x14ac:dyDescent="0.3">
      <c r="F788" s="5"/>
      <c r="G788" s="5"/>
      <c r="H788" s="10"/>
      <c r="I788" s="10"/>
      <c r="J788" s="10"/>
      <c r="K788" s="10"/>
      <c r="L788" s="10"/>
    </row>
    <row r="791" spans="2:12" ht="25.8" x14ac:dyDescent="0.5">
      <c r="B791" s="3"/>
      <c r="C791" s="3"/>
      <c r="D791" s="3"/>
      <c r="E791" s="4"/>
      <c r="F791" s="4"/>
      <c r="G791" s="4"/>
      <c r="H791" s="4"/>
      <c r="I791" s="4"/>
      <c r="J791" s="4"/>
      <c r="K791" s="4"/>
      <c r="L791" s="4"/>
    </row>
    <row r="792" spans="2:12" x14ac:dyDescent="0.3">
      <c r="B792" s="4"/>
      <c r="C792" s="4"/>
      <c r="D792" s="4"/>
      <c r="E792" s="4"/>
      <c r="F792" s="4"/>
      <c r="G792" s="4"/>
      <c r="H792" s="4"/>
      <c r="I792" s="4"/>
      <c r="J792" s="4"/>
      <c r="K792" s="4"/>
      <c r="L792" s="4"/>
    </row>
    <row r="793" spans="2:12" x14ac:dyDescent="0.3">
      <c r="B793" s="4"/>
      <c r="C793" s="4"/>
      <c r="D793" s="4"/>
      <c r="E793" s="4"/>
      <c r="F793" s="4"/>
      <c r="G793" s="4"/>
      <c r="H793" s="4"/>
      <c r="I793" s="4"/>
      <c r="J793" s="4"/>
    </row>
    <row r="794" spans="2:12" x14ac:dyDescent="0.3">
      <c r="B794" s="4"/>
      <c r="C794" s="4"/>
      <c r="D794" s="4"/>
      <c r="E794" s="4"/>
      <c r="F794" s="4"/>
      <c r="G794" s="4"/>
      <c r="H794" s="4"/>
      <c r="I794" s="4"/>
      <c r="J794" s="4"/>
    </row>
    <row r="796" spans="2:12" x14ac:dyDescent="0.3">
      <c r="F796" s="28"/>
      <c r="G796" s="28"/>
      <c r="H796" s="29"/>
      <c r="I796" s="29"/>
      <c r="J796" s="29"/>
      <c r="K796" s="29"/>
      <c r="L796" s="29"/>
    </row>
    <row r="798" spans="2:12" x14ac:dyDescent="0.3">
      <c r="B798" s="5"/>
      <c r="C798" s="5"/>
    </row>
    <row r="799" spans="2:12" x14ac:dyDescent="0.3">
      <c r="B799" s="5"/>
      <c r="C799" s="5"/>
    </row>
    <row r="800" spans="2:12" x14ac:dyDescent="0.3">
      <c r="F800" s="32"/>
      <c r="G800" s="32"/>
      <c r="H800" s="9"/>
      <c r="I800" s="9"/>
      <c r="J800" s="9"/>
      <c r="K800" s="9"/>
      <c r="L800" s="9"/>
    </row>
    <row r="801" spans="2:12" x14ac:dyDescent="0.3">
      <c r="F801" s="32"/>
      <c r="G801" s="32"/>
      <c r="H801" s="9"/>
      <c r="I801" s="9"/>
      <c r="J801" s="9"/>
      <c r="K801" s="9"/>
      <c r="L801" s="9"/>
    </row>
    <row r="802" spans="2:12" x14ac:dyDescent="0.3">
      <c r="F802" s="32"/>
      <c r="G802" s="32"/>
      <c r="H802" s="32"/>
      <c r="I802" s="32"/>
      <c r="J802" s="32"/>
      <c r="K802" s="32"/>
      <c r="L802" s="32"/>
    </row>
    <row r="803" spans="2:12" x14ac:dyDescent="0.3">
      <c r="B803" s="5"/>
      <c r="C803" s="5"/>
      <c r="F803" s="32"/>
      <c r="G803" s="32"/>
      <c r="H803" s="32"/>
      <c r="I803" s="32"/>
      <c r="J803" s="32"/>
      <c r="K803" s="32"/>
      <c r="L803" s="32"/>
    </row>
    <row r="805" spans="2:12" x14ac:dyDescent="0.3">
      <c r="B805" s="5"/>
      <c r="C805" s="5"/>
    </row>
    <row r="807" spans="2:12" x14ac:dyDescent="0.3">
      <c r="F807" s="9"/>
      <c r="G807" s="9"/>
      <c r="H807" s="32"/>
      <c r="I807" s="32"/>
      <c r="J807" s="32"/>
      <c r="K807" s="32"/>
      <c r="L807" s="32"/>
    </row>
    <row r="808" spans="2:12" x14ac:dyDescent="0.3">
      <c r="F808" s="9"/>
      <c r="G808" s="9"/>
      <c r="H808" s="32"/>
      <c r="I808" s="32"/>
      <c r="J808" s="32"/>
      <c r="K808" s="32"/>
      <c r="L808" s="32"/>
    </row>
    <row r="809" spans="2:12" x14ac:dyDescent="0.3">
      <c r="F809" s="9"/>
      <c r="G809" s="9"/>
      <c r="H809" s="32"/>
      <c r="I809" s="32"/>
      <c r="J809" s="32"/>
      <c r="K809" s="32"/>
      <c r="L809" s="32"/>
    </row>
    <row r="810" spans="2:12" x14ac:dyDescent="0.3">
      <c r="F810" s="9"/>
      <c r="G810" s="9"/>
      <c r="H810" s="32"/>
      <c r="I810" s="32"/>
      <c r="J810" s="32"/>
      <c r="K810" s="32"/>
      <c r="L810" s="32"/>
    </row>
    <row r="811" spans="2:12" x14ac:dyDescent="0.3">
      <c r="F811" s="9"/>
      <c r="G811" s="9"/>
      <c r="H811" s="32"/>
      <c r="I811" s="32"/>
      <c r="J811" s="32"/>
      <c r="K811" s="32"/>
      <c r="L811" s="32"/>
    </row>
    <row r="812" spans="2:12" x14ac:dyDescent="0.3">
      <c r="F812" s="9"/>
      <c r="G812" s="9"/>
      <c r="H812" s="32"/>
      <c r="I812" s="32"/>
      <c r="J812" s="32"/>
      <c r="K812" s="32"/>
      <c r="L812" s="32"/>
    </row>
    <row r="813" spans="2:12" x14ac:dyDescent="0.3">
      <c r="F813" s="9"/>
      <c r="G813" s="9"/>
      <c r="H813" s="38"/>
      <c r="I813" s="38"/>
      <c r="J813" s="38"/>
      <c r="K813" s="38"/>
      <c r="L813" s="38"/>
    </row>
    <row r="814" spans="2:12" x14ac:dyDescent="0.3">
      <c r="F814" s="9"/>
      <c r="G814" s="9"/>
      <c r="H814" s="38"/>
      <c r="I814" s="38"/>
      <c r="J814" s="38"/>
      <c r="K814" s="38"/>
      <c r="L814" s="38"/>
    </row>
    <row r="815" spans="2:12" x14ac:dyDescent="0.3">
      <c r="B815" s="5"/>
      <c r="C815" s="5"/>
      <c r="F815" s="10"/>
      <c r="G815" s="10"/>
      <c r="H815" s="10"/>
      <c r="I815" s="10"/>
      <c r="J815" s="10"/>
      <c r="K815" s="10"/>
      <c r="L815" s="10"/>
    </row>
    <row r="818" spans="2:12" ht="25.8" x14ac:dyDescent="0.5">
      <c r="B818" s="3"/>
      <c r="C818" s="3"/>
      <c r="D818" s="3"/>
      <c r="E818" s="4"/>
      <c r="F818" s="4"/>
      <c r="G818" s="4"/>
      <c r="H818" s="4"/>
      <c r="I818" s="4"/>
      <c r="J818" s="4"/>
      <c r="K818" s="4"/>
      <c r="L818" s="4"/>
    </row>
    <row r="819" spans="2:12" x14ac:dyDescent="0.3">
      <c r="B819" s="4"/>
      <c r="C819" s="4"/>
      <c r="D819" s="4"/>
      <c r="E819" s="4"/>
      <c r="F819" s="4"/>
      <c r="G819" s="4"/>
      <c r="H819" s="4"/>
      <c r="I819" s="4"/>
      <c r="J819" s="4"/>
      <c r="K819" s="4"/>
      <c r="L819" s="4"/>
    </row>
    <row r="820" spans="2:12" x14ac:dyDescent="0.3">
      <c r="B820" s="4"/>
      <c r="C820" s="4"/>
      <c r="D820" s="4"/>
      <c r="E820" s="4"/>
      <c r="F820" s="4"/>
      <c r="G820" s="4"/>
      <c r="H820" s="4"/>
      <c r="I820" s="4"/>
      <c r="J820" s="4"/>
    </row>
    <row r="821" spans="2:12" x14ac:dyDescent="0.3">
      <c r="B821" s="4"/>
      <c r="C821" s="4"/>
      <c r="D821" s="4"/>
      <c r="E821" s="4"/>
      <c r="F821" s="4"/>
      <c r="G821" s="4"/>
      <c r="H821" s="4"/>
      <c r="I821" s="4"/>
      <c r="J821" s="4"/>
    </row>
    <row r="823" spans="2:12" x14ac:dyDescent="0.3">
      <c r="F823" s="28"/>
      <c r="G823" s="28"/>
      <c r="H823" s="29"/>
      <c r="I823" s="29"/>
      <c r="J823" s="29"/>
      <c r="K823" s="29"/>
      <c r="L823" s="29"/>
    </row>
    <row r="825" spans="2:12" x14ac:dyDescent="0.3">
      <c r="B825" s="5"/>
      <c r="C825" s="5"/>
    </row>
    <row r="826" spans="2:12" x14ac:dyDescent="0.3">
      <c r="B826" s="5"/>
      <c r="C826" s="5"/>
    </row>
    <row r="827" spans="2:12" x14ac:dyDescent="0.3">
      <c r="H827" s="32"/>
      <c r="I827" s="32"/>
      <c r="J827" s="32"/>
      <c r="K827" s="32"/>
      <c r="L827" s="32"/>
    </row>
    <row r="828" spans="2:12" x14ac:dyDescent="0.3">
      <c r="H828" s="32"/>
      <c r="I828" s="32"/>
      <c r="J828" s="32"/>
      <c r="K828" s="32"/>
      <c r="L828" s="32"/>
    </row>
    <row r="829" spans="2:12" x14ac:dyDescent="0.3">
      <c r="H829" s="32"/>
      <c r="I829" s="32"/>
      <c r="J829" s="32"/>
      <c r="K829" s="32"/>
      <c r="L829" s="32"/>
    </row>
    <row r="830" spans="2:12" x14ac:dyDescent="0.3">
      <c r="H830" s="26"/>
      <c r="I830" s="26"/>
      <c r="J830" s="26"/>
    </row>
    <row r="831" spans="2:12" x14ac:dyDescent="0.3">
      <c r="B831" s="5"/>
      <c r="C831" s="5"/>
      <c r="D831" s="5"/>
      <c r="E831" s="5"/>
      <c r="F831" s="5"/>
      <c r="G831" s="5"/>
      <c r="H831" s="31"/>
      <c r="I831" s="31"/>
      <c r="J831" s="31"/>
      <c r="K831" s="31"/>
      <c r="L831" s="31"/>
    </row>
    <row r="833" spans="2:12" x14ac:dyDescent="0.3">
      <c r="H833" s="32"/>
      <c r="I833" s="32"/>
      <c r="J833" s="32"/>
      <c r="K833" s="32"/>
      <c r="L833" s="32"/>
    </row>
    <row r="834" spans="2:12" x14ac:dyDescent="0.3">
      <c r="H834" s="32"/>
      <c r="I834" s="32"/>
      <c r="J834" s="32"/>
      <c r="K834" s="32"/>
      <c r="L834" s="32"/>
    </row>
    <row r="835" spans="2:12" x14ac:dyDescent="0.3">
      <c r="H835" s="32"/>
      <c r="I835" s="32"/>
      <c r="J835" s="32"/>
      <c r="K835" s="32"/>
      <c r="L835" s="32"/>
    </row>
    <row r="836" spans="2:12" x14ac:dyDescent="0.3">
      <c r="H836" s="26"/>
      <c r="I836" s="26"/>
      <c r="J836" s="26"/>
      <c r="K836" s="26"/>
      <c r="L836" s="26"/>
    </row>
    <row r="837" spans="2:12" x14ac:dyDescent="0.3">
      <c r="B837" s="5"/>
      <c r="C837" s="5"/>
      <c r="D837" s="5"/>
      <c r="E837" s="5"/>
      <c r="F837" s="5"/>
      <c r="G837" s="5"/>
      <c r="H837" s="31"/>
      <c r="I837" s="31"/>
      <c r="J837" s="31"/>
      <c r="K837" s="31"/>
      <c r="L837" s="31"/>
    </row>
    <row r="838" spans="2:12" x14ac:dyDescent="0.3">
      <c r="B838" s="5"/>
      <c r="C838" s="5"/>
      <c r="H838" s="30"/>
      <c r="I838" s="30"/>
      <c r="J838" s="30"/>
      <c r="K838" s="30"/>
      <c r="L838" s="30"/>
    </row>
    <row r="839" spans="2:12" x14ac:dyDescent="0.3">
      <c r="H839" s="32"/>
      <c r="I839" s="32"/>
      <c r="J839" s="32"/>
      <c r="K839" s="32"/>
      <c r="L839" s="32"/>
    </row>
    <row r="840" spans="2:12" x14ac:dyDescent="0.3">
      <c r="H840" s="26"/>
      <c r="I840" s="26"/>
      <c r="J840" s="26"/>
      <c r="K840" s="26"/>
      <c r="L840" s="26"/>
    </row>
    <row r="841" spans="2:12" x14ac:dyDescent="0.3">
      <c r="B841" s="5"/>
      <c r="C841" s="5"/>
      <c r="D841" s="5"/>
      <c r="E841" s="5"/>
      <c r="F841" s="5"/>
      <c r="G841" s="5"/>
      <c r="H841" s="31"/>
      <c r="I841" s="31"/>
      <c r="J841" s="31"/>
      <c r="K841" s="31"/>
      <c r="L841" s="31"/>
    </row>
    <row r="843" spans="2:12" x14ac:dyDescent="0.3">
      <c r="H843" s="32"/>
      <c r="I843" s="32"/>
      <c r="J843" s="32"/>
      <c r="K843" s="32"/>
      <c r="L843" s="32"/>
    </row>
    <row r="844" spans="2:12" x14ac:dyDescent="0.3">
      <c r="H844" s="26"/>
      <c r="I844" s="26"/>
      <c r="J844" s="26"/>
      <c r="K844" s="26"/>
      <c r="L844" s="26"/>
    </row>
    <row r="845" spans="2:12" x14ac:dyDescent="0.3">
      <c r="B845" s="5"/>
      <c r="C845" s="5"/>
      <c r="D845" s="5"/>
      <c r="E845" s="5"/>
      <c r="F845" s="5"/>
      <c r="G845" s="5"/>
      <c r="H845" s="31"/>
      <c r="I845" s="31"/>
      <c r="J845" s="31"/>
      <c r="K845" s="31"/>
      <c r="L845" s="31"/>
    </row>
    <row r="847" spans="2:12" x14ac:dyDescent="0.3">
      <c r="H847" s="32"/>
      <c r="I847" s="32"/>
      <c r="J847" s="32"/>
      <c r="K847" s="32"/>
      <c r="L847" s="32"/>
    </row>
    <row r="848" spans="2:12" x14ac:dyDescent="0.3">
      <c r="H848" s="26"/>
      <c r="I848" s="26"/>
      <c r="J848" s="26"/>
      <c r="K848" s="26"/>
      <c r="L848" s="26"/>
    </row>
    <row r="849" spans="2:12" x14ac:dyDescent="0.3">
      <c r="B849" s="5"/>
      <c r="C849" s="5"/>
      <c r="D849" s="5"/>
      <c r="E849" s="5"/>
      <c r="F849" s="5"/>
      <c r="G849" s="5"/>
      <c r="H849" s="31"/>
      <c r="I849" s="31"/>
      <c r="J849" s="31"/>
      <c r="K849" s="31"/>
      <c r="L849" s="31"/>
    </row>
    <row r="850" spans="2:12" x14ac:dyDescent="0.3">
      <c r="B850" s="5"/>
      <c r="C850" s="5"/>
      <c r="H850" s="30"/>
      <c r="I850" s="30"/>
      <c r="J850" s="30"/>
      <c r="K850" s="30"/>
      <c r="L850" s="30"/>
    </row>
    <row r="851" spans="2:12" x14ac:dyDescent="0.3">
      <c r="B851" s="5"/>
      <c r="C851" s="5"/>
      <c r="D851" s="5"/>
      <c r="H851" s="31"/>
      <c r="I851" s="31"/>
      <c r="J851" s="31"/>
      <c r="K851" s="31"/>
      <c r="L851" s="31"/>
    </row>
    <row r="852" spans="2:12" x14ac:dyDescent="0.3">
      <c r="B852" s="5"/>
      <c r="C852" s="5"/>
      <c r="G852" s="12"/>
      <c r="H852" s="12"/>
      <c r="I852" s="12"/>
      <c r="J852" s="12"/>
      <c r="K852" s="12"/>
      <c r="L852" s="12"/>
    </row>
    <row r="853" spans="2:12" x14ac:dyDescent="0.3">
      <c r="B853" s="5"/>
      <c r="C853" s="5"/>
      <c r="D853" s="5"/>
      <c r="E853" s="5"/>
      <c r="F853" s="5"/>
      <c r="G853" s="5"/>
      <c r="H853" s="31"/>
      <c r="I853" s="31"/>
      <c r="J853" s="31"/>
      <c r="K853" s="31"/>
      <c r="L853" s="31"/>
    </row>
    <row r="854" spans="2:12" x14ac:dyDescent="0.3">
      <c r="B854" s="5"/>
      <c r="C854" s="5"/>
      <c r="H854" s="30"/>
      <c r="I854" s="30"/>
      <c r="J854" s="30"/>
    </row>
    <row r="855" spans="2:12" x14ac:dyDescent="0.3">
      <c r="B855" s="5"/>
      <c r="C855" s="5"/>
      <c r="H855" s="30"/>
      <c r="I855" s="30"/>
      <c r="J855" s="30"/>
    </row>
    <row r="856" spans="2:12" x14ac:dyDescent="0.3">
      <c r="B856" s="5"/>
      <c r="C856" s="5"/>
      <c r="H856" s="30"/>
      <c r="I856" s="30"/>
      <c r="J856" s="30"/>
      <c r="K856" s="30"/>
      <c r="L856" s="30"/>
    </row>
    <row r="857" spans="2:12" x14ac:dyDescent="0.3">
      <c r="B857" s="5"/>
      <c r="C857" s="5"/>
      <c r="H857" s="30"/>
      <c r="I857" s="30"/>
      <c r="J857" s="30"/>
      <c r="K857" s="30"/>
      <c r="L857" s="30"/>
    </row>
    <row r="858" spans="2:12" x14ac:dyDescent="0.3">
      <c r="B858" s="5"/>
      <c r="C858" s="5"/>
      <c r="H858" s="30"/>
      <c r="I858" s="30"/>
      <c r="J858" s="30"/>
      <c r="K858" s="30"/>
      <c r="L858" s="30"/>
    </row>
    <row r="859" spans="2:12" x14ac:dyDescent="0.3">
      <c r="H859" s="30"/>
      <c r="I859" s="30"/>
      <c r="J859" s="30"/>
      <c r="K859" s="30"/>
      <c r="L859" s="30"/>
    </row>
    <row r="860" spans="2:12" x14ac:dyDescent="0.3">
      <c r="H860" s="30"/>
      <c r="I860" s="30"/>
      <c r="J860" s="30"/>
      <c r="K860" s="30"/>
      <c r="L860" s="30"/>
    </row>
    <row r="861" spans="2:12" x14ac:dyDescent="0.3">
      <c r="H861" s="30"/>
      <c r="I861" s="30"/>
      <c r="J861" s="30"/>
      <c r="K861" s="30"/>
      <c r="L861" s="30"/>
    </row>
    <row r="862" spans="2:12" x14ac:dyDescent="0.3">
      <c r="H862" s="30"/>
      <c r="I862" s="30"/>
      <c r="J862" s="30"/>
      <c r="K862" s="30"/>
      <c r="L862" s="30"/>
    </row>
    <row r="863" spans="2:12" x14ac:dyDescent="0.3">
      <c r="B863" s="5"/>
      <c r="C863" s="5"/>
      <c r="G863" s="12"/>
      <c r="H863" s="30"/>
      <c r="I863" s="30"/>
      <c r="J863" s="30"/>
      <c r="K863" s="30"/>
      <c r="L863" s="30"/>
    </row>
    <row r="864" spans="2:12" x14ac:dyDescent="0.3">
      <c r="B864" s="5"/>
      <c r="C864" s="5"/>
      <c r="G864" s="30"/>
      <c r="H864" s="30"/>
      <c r="I864" s="30"/>
      <c r="J864" s="30"/>
      <c r="K864" s="30"/>
      <c r="L864" s="30"/>
    </row>
    <row r="865" spans="2:12" x14ac:dyDescent="0.3">
      <c r="B865" s="5"/>
      <c r="C865" s="5"/>
      <c r="G865" s="30"/>
      <c r="H865" s="30"/>
      <c r="I865" s="30"/>
      <c r="J865" s="30"/>
      <c r="K865" s="30"/>
      <c r="L865" s="30"/>
    </row>
    <row r="866" spans="2:12" x14ac:dyDescent="0.3">
      <c r="B866" s="5"/>
      <c r="C866" s="5"/>
      <c r="H866" s="30"/>
      <c r="I866" s="30"/>
      <c r="J866" s="30"/>
      <c r="K866" s="30"/>
      <c r="L866" s="30"/>
    </row>
    <row r="867" spans="2:12" x14ac:dyDescent="0.3">
      <c r="B867" s="5"/>
      <c r="C867" s="5"/>
      <c r="D867" s="5"/>
      <c r="E867" s="5"/>
      <c r="F867" s="5"/>
      <c r="G867" s="5"/>
      <c r="H867" s="33"/>
      <c r="I867" s="33"/>
      <c r="J867" s="33"/>
      <c r="K867" s="33"/>
      <c r="L867" s="33"/>
    </row>
    <row r="868" spans="2:12" x14ac:dyDescent="0.3">
      <c r="H868" s="27"/>
      <c r="I868" s="27"/>
      <c r="J868" s="27"/>
      <c r="K868" s="27"/>
      <c r="L868" s="27"/>
    </row>
    <row r="869" spans="2:12" x14ac:dyDescent="0.3">
      <c r="H869" s="27"/>
      <c r="I869" s="27"/>
      <c r="J869" s="27"/>
      <c r="K869" s="27"/>
      <c r="L869" s="27"/>
    </row>
    <row r="870" spans="2:12" x14ac:dyDescent="0.3">
      <c r="H870" s="12"/>
      <c r="I870" s="12"/>
      <c r="J870" s="12"/>
      <c r="K870" s="12"/>
      <c r="L870" s="12"/>
    </row>
    <row r="871" spans="2:12" x14ac:dyDescent="0.3">
      <c r="H871" s="7"/>
      <c r="I871" s="7"/>
      <c r="J871" s="7"/>
      <c r="K871" s="7"/>
      <c r="L871" s="7"/>
    </row>
    <row r="873" spans="2:12" x14ac:dyDescent="0.3">
      <c r="B873" s="5"/>
      <c r="C873" s="5"/>
      <c r="D873" s="5"/>
      <c r="E873" s="5"/>
      <c r="F873" s="5"/>
      <c r="G873" s="5"/>
      <c r="H873" s="33"/>
      <c r="I873" s="33"/>
      <c r="J873" s="33"/>
      <c r="K873" s="33"/>
      <c r="L873" s="33"/>
    </row>
    <row r="875" spans="2:12" x14ac:dyDescent="0.3">
      <c r="E875" s="11"/>
    </row>
    <row r="876" spans="2:12" ht="25.8" x14ac:dyDescent="0.5">
      <c r="B876" s="3"/>
      <c r="C876" s="3"/>
      <c r="D876" s="3"/>
      <c r="E876" s="4"/>
      <c r="F876" s="4"/>
      <c r="G876" s="4"/>
      <c r="H876" s="4"/>
      <c r="I876" s="4"/>
      <c r="J876" s="4"/>
      <c r="K876" s="4"/>
      <c r="L876" s="4"/>
    </row>
    <row r="877" spans="2:12" x14ac:dyDescent="0.3">
      <c r="B877" s="4"/>
      <c r="C877" s="4"/>
      <c r="D877" s="4"/>
      <c r="E877" s="4"/>
      <c r="F877" s="4"/>
      <c r="G877" s="4"/>
      <c r="H877" s="4"/>
      <c r="I877" s="4"/>
      <c r="J877" s="4"/>
      <c r="K877" s="4"/>
      <c r="L877" s="4"/>
    </row>
    <row r="878" spans="2:12" x14ac:dyDescent="0.3">
      <c r="B878" s="4"/>
      <c r="C878" s="4"/>
      <c r="D878" s="4"/>
      <c r="E878" s="4"/>
      <c r="F878" s="4"/>
      <c r="G878" s="4"/>
      <c r="H878" s="4"/>
      <c r="I878" s="4"/>
      <c r="J878" s="4"/>
    </row>
    <row r="879" spans="2:12" x14ac:dyDescent="0.3">
      <c r="B879" s="4"/>
      <c r="C879" s="4"/>
      <c r="D879" s="4"/>
      <c r="E879" s="4"/>
      <c r="F879" s="4"/>
      <c r="G879" s="4"/>
      <c r="H879" s="4"/>
      <c r="I879" s="4"/>
      <c r="J879" s="4"/>
    </row>
    <row r="881" spans="2:12" x14ac:dyDescent="0.3">
      <c r="F881" s="28"/>
      <c r="G881" s="28"/>
      <c r="H881" s="29"/>
      <c r="I881" s="29"/>
      <c r="J881" s="29"/>
      <c r="K881" s="29"/>
      <c r="L881" s="29"/>
    </row>
    <row r="884" spans="2:12" x14ac:dyDescent="0.3">
      <c r="H884" s="32"/>
      <c r="I884" s="32"/>
      <c r="J884" s="32"/>
      <c r="K884" s="32"/>
      <c r="L884" s="32"/>
    </row>
    <row r="885" spans="2:12" x14ac:dyDescent="0.3">
      <c r="H885" s="32"/>
      <c r="I885" s="32"/>
      <c r="J885" s="32"/>
      <c r="K885" s="32"/>
      <c r="L885" s="32"/>
    </row>
    <row r="886" spans="2:12" x14ac:dyDescent="0.3">
      <c r="H886" s="32"/>
      <c r="I886" s="32"/>
      <c r="J886" s="32"/>
      <c r="K886" s="32"/>
      <c r="L886" s="32"/>
    </row>
    <row r="887" spans="2:12" x14ac:dyDescent="0.3">
      <c r="H887" s="30"/>
      <c r="I887" s="30"/>
      <c r="J887" s="30"/>
      <c r="K887" s="30"/>
      <c r="L887" s="30"/>
    </row>
    <row r="888" spans="2:12" x14ac:dyDescent="0.3">
      <c r="B888" s="5"/>
      <c r="C888" s="5"/>
      <c r="D888" s="5"/>
      <c r="E888" s="5"/>
      <c r="F888" s="5"/>
      <c r="G888" s="10"/>
      <c r="H888" s="10"/>
      <c r="I888" s="10"/>
      <c r="J888" s="10"/>
      <c r="K888" s="10"/>
      <c r="L888" s="10"/>
    </row>
    <row r="889" spans="2:12" x14ac:dyDescent="0.3">
      <c r="B889" s="5"/>
      <c r="C889" s="5"/>
      <c r="D889" s="5"/>
      <c r="E889" s="5"/>
      <c r="F889" s="5"/>
      <c r="G889" s="10"/>
      <c r="H889" s="10"/>
      <c r="I889" s="10"/>
      <c r="J889" s="10"/>
      <c r="K889" s="10"/>
      <c r="L889" s="10"/>
    </row>
    <row r="890" spans="2:12" x14ac:dyDescent="0.3">
      <c r="B890" s="5"/>
      <c r="C890" s="5"/>
      <c r="D890" s="5"/>
      <c r="E890" s="5"/>
      <c r="F890" s="5"/>
      <c r="G890" s="10"/>
      <c r="H890" s="10"/>
      <c r="I890" s="10"/>
      <c r="J890" s="10"/>
      <c r="K890" s="10"/>
      <c r="L890" s="10"/>
    </row>
    <row r="891" spans="2:12" x14ac:dyDescent="0.3">
      <c r="G891" s="32"/>
      <c r="H891" s="32"/>
      <c r="I891" s="32"/>
      <c r="J891" s="32"/>
      <c r="K891" s="32"/>
      <c r="L891" s="32"/>
    </row>
    <row r="892" spans="2:12" x14ac:dyDescent="0.3">
      <c r="B892" s="5"/>
      <c r="C892" s="5"/>
      <c r="D892" s="5"/>
      <c r="E892" s="5"/>
      <c r="F892" s="5"/>
      <c r="G892" s="31"/>
      <c r="H892" s="31"/>
      <c r="I892" s="31"/>
      <c r="J892" s="31"/>
      <c r="K892" s="31"/>
      <c r="L892" s="31"/>
    </row>
    <row r="893" spans="2:12" x14ac:dyDescent="0.3">
      <c r="B893" s="5"/>
      <c r="C893" s="5"/>
      <c r="D893" s="5"/>
      <c r="E893" s="5"/>
      <c r="F893" s="5"/>
      <c r="G893" s="31"/>
      <c r="H893" s="31"/>
      <c r="I893" s="31"/>
      <c r="J893" s="31"/>
      <c r="K893" s="31"/>
      <c r="L893" s="31"/>
    </row>
    <row r="895" spans="2:12" x14ac:dyDescent="0.3">
      <c r="G895" s="32"/>
      <c r="H895" s="32"/>
      <c r="I895" s="32"/>
      <c r="J895" s="32"/>
      <c r="K895" s="32"/>
      <c r="L895" s="32"/>
    </row>
    <row r="896" spans="2:12" x14ac:dyDescent="0.3">
      <c r="B896" s="5"/>
      <c r="C896" s="5"/>
      <c r="G896" s="32"/>
      <c r="H896" s="32"/>
      <c r="I896" s="32"/>
      <c r="J896" s="32"/>
      <c r="K896" s="32"/>
      <c r="L896" s="32"/>
    </row>
    <row r="897" spans="7:12" x14ac:dyDescent="0.3">
      <c r="G897" s="7"/>
      <c r="H897" s="7"/>
      <c r="I897" s="7"/>
      <c r="J897" s="7"/>
      <c r="K897" s="7"/>
      <c r="L897" s="7"/>
    </row>
    <row r="898" spans="7:12" x14ac:dyDescent="0.3">
      <c r="G898" s="7"/>
      <c r="H898" s="7"/>
      <c r="I898" s="7"/>
      <c r="J898" s="7"/>
      <c r="K898" s="7"/>
      <c r="L898" s="7"/>
    </row>
  </sheetData>
  <pageMargins left="0.25" right="0.25" top="0.75" bottom="0.75" header="0.3" footer="0.3"/>
  <pageSetup scale="32" fitToWidth="0" fitToHeight="0" orientation="portrait" r:id="rId1"/>
  <rowBreaks count="3" manualBreakCount="3">
    <brk id="40" max="16383" man="1"/>
    <brk id="99" max="16383" man="1"/>
    <brk id="145" max="1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3CBD-31E6-4F01-AFA1-DFBB27C9D923}">
  <dimension ref="B2:I5"/>
  <sheetViews>
    <sheetView showGridLines="0" workbookViewId="0">
      <selection activeCell="B2" sqref="B2"/>
    </sheetView>
  </sheetViews>
  <sheetFormatPr defaultRowHeight="14.4" x14ac:dyDescent="0.3"/>
  <cols>
    <col min="2" max="2" width="15.6640625" bestFit="1" customWidth="1"/>
  </cols>
  <sheetData>
    <row r="2" spans="2:9" x14ac:dyDescent="0.3">
      <c r="B2" t="s">
        <v>362</v>
      </c>
      <c r="C2" s="290">
        <v>2024</v>
      </c>
      <c r="D2" s="290">
        <v>2025</v>
      </c>
      <c r="E2" s="290">
        <v>2026</v>
      </c>
      <c r="F2" s="290">
        <v>2027</v>
      </c>
      <c r="G2" s="290">
        <v>2028</v>
      </c>
      <c r="H2" s="290">
        <v>2029</v>
      </c>
      <c r="I2" s="290">
        <v>2030</v>
      </c>
    </row>
    <row r="3" spans="2:9" x14ac:dyDescent="0.3">
      <c r="B3" t="s">
        <v>322</v>
      </c>
      <c r="C3" s="291">
        <f>Model!F157/Model!$F$157*100</f>
        <v>100</v>
      </c>
      <c r="D3" s="291">
        <f>Model!G157/Model!$F$157*100</f>
        <v>86.294416243654823</v>
      </c>
      <c r="E3" s="291">
        <f>Model!H157/Model!$F$157*100</f>
        <v>83.756345177664969</v>
      </c>
      <c r="F3" s="291">
        <f>Model!I157/Model!$F$157*100</f>
        <v>81.218274111675129</v>
      </c>
      <c r="G3" s="291">
        <f>Model!J157/Model!$F$157*100</f>
        <v>81.218274111675129</v>
      </c>
      <c r="H3" s="291">
        <f>Model!K157/Model!$F$157*100</f>
        <v>82.487309644670049</v>
      </c>
      <c r="I3" s="291">
        <f>Model!L157/Model!$F$157*100</f>
        <v>85.025380710659903</v>
      </c>
    </row>
    <row r="4" spans="2:9" x14ac:dyDescent="0.3">
      <c r="B4" t="s">
        <v>364</v>
      </c>
      <c r="C4" s="291">
        <f>Model!F158/Model!$F$158*100</f>
        <v>100</v>
      </c>
      <c r="D4" s="291">
        <f>Model!G158/Model!$F$158*100</f>
        <v>83.82352941176471</v>
      </c>
      <c r="E4" s="291">
        <f>Model!H158/Model!$F$158*100</f>
        <v>81.358131487889267</v>
      </c>
      <c r="F4" s="291">
        <f>Model!I158/Model!$F$158*100</f>
        <v>78.892733564013852</v>
      </c>
      <c r="G4" s="291">
        <f>Model!J158/Model!$F$158*100</f>
        <v>78.892733564013852</v>
      </c>
      <c r="H4" s="291">
        <f>Model!K158/Model!$F$158*100</f>
        <v>80.125432525951553</v>
      </c>
      <c r="I4" s="291">
        <f>Model!L158/Model!$F$158*100</f>
        <v>82.590830449826996</v>
      </c>
    </row>
    <row r="5" spans="2:9" x14ac:dyDescent="0.3">
      <c r="B5" t="s">
        <v>363</v>
      </c>
      <c r="C5" s="291">
        <f>Model!F159/Model!$F$159*100</f>
        <v>100</v>
      </c>
      <c r="D5" s="291">
        <f>Model!G159/Model!$F$159*100</f>
        <v>84.183288779217207</v>
      </c>
      <c r="E5" s="291">
        <f>Model!H159/Model!$F$159*100</f>
        <v>84.087403744964988</v>
      </c>
      <c r="F5" s="291">
        <f>Model!I159/Model!$F$159*100</f>
        <v>84.311636821618237</v>
      </c>
      <c r="G5" s="291">
        <f>Model!J159/Model!$F$159*100</f>
        <v>87.178232473553265</v>
      </c>
      <c r="H5" s="291">
        <f>Model!K159/Model!$F$159*100</f>
        <v>91.55076569605491</v>
      </c>
      <c r="I5" s="291">
        <f>Model!L159/Model!$F$159*100</f>
        <v>97.576214552173738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00672-9CE8-45C4-9C8A-35EF24DFCA23}">
  <dimension ref="B2:J33"/>
  <sheetViews>
    <sheetView showGridLines="0" workbookViewId="0">
      <selection activeCell="F13" sqref="F13"/>
    </sheetView>
  </sheetViews>
  <sheetFormatPr defaultRowHeight="14.4" x14ac:dyDescent="0.3"/>
  <cols>
    <col min="2" max="10" width="17.77734375" customWidth="1"/>
  </cols>
  <sheetData>
    <row r="2" spans="2:10" ht="28.8" x14ac:dyDescent="0.65">
      <c r="B2" s="45" t="str">
        <f>Cover!$B$2</f>
        <v>ASOS PLC</v>
      </c>
      <c r="C2" s="45"/>
      <c r="D2" s="46"/>
      <c r="E2" s="47"/>
      <c r="F2" s="47"/>
      <c r="G2" s="47"/>
      <c r="H2" s="47"/>
      <c r="I2" s="47"/>
      <c r="J2" s="47"/>
    </row>
    <row r="3" spans="2:10" ht="21" x14ac:dyDescent="0.5">
      <c r="B3" s="48" t="s">
        <v>409</v>
      </c>
      <c r="C3" s="49"/>
      <c r="D3" s="47"/>
      <c r="E3" s="47"/>
      <c r="F3" s="47"/>
      <c r="G3" s="47"/>
      <c r="H3" s="47"/>
      <c r="I3" s="47"/>
      <c r="J3" s="159" t="str">
        <f>"Currently Running: "&amp;CHOOSE(Assumptions!$B$10,Assumptions!$F$15,Assumptions!$F$16,Assumptions!$F$17)&amp;"Scenario"</f>
        <v>Currently Running: Base Scenario</v>
      </c>
    </row>
    <row r="4" spans="2:10" ht="15.6" x14ac:dyDescent="0.35">
      <c r="B4" s="50"/>
      <c r="C4" s="50"/>
      <c r="D4" s="50"/>
      <c r="E4" s="50"/>
      <c r="F4" s="50"/>
      <c r="G4" s="50"/>
      <c r="H4" s="50"/>
      <c r="I4" s="51"/>
      <c r="J4" s="51"/>
    </row>
    <row r="5" spans="2:10" ht="15.6" x14ac:dyDescent="0.35">
      <c r="B5" s="51"/>
      <c r="C5" s="51"/>
      <c r="D5" s="51"/>
      <c r="E5" s="51"/>
      <c r="F5" s="293"/>
      <c r="G5" s="293"/>
      <c r="H5" s="293"/>
      <c r="I5" s="293"/>
      <c r="J5" s="294"/>
    </row>
    <row r="6" spans="2:10" ht="15.6" x14ac:dyDescent="0.35">
      <c r="B6" s="51"/>
      <c r="C6" s="51"/>
      <c r="D6" s="51"/>
      <c r="E6" s="51"/>
      <c r="F6" s="54">
        <v>2026</v>
      </c>
      <c r="G6" s="54">
        <f t="shared" ref="G6:J6" si="0">F6+1</f>
        <v>2027</v>
      </c>
      <c r="H6" s="54">
        <f t="shared" si="0"/>
        <v>2028</v>
      </c>
      <c r="I6" s="54">
        <f t="shared" si="0"/>
        <v>2029</v>
      </c>
      <c r="J6" s="54">
        <f t="shared" si="0"/>
        <v>2030</v>
      </c>
    </row>
    <row r="7" spans="2:10" ht="16.2" thickBot="1" x14ac:dyDescent="0.4">
      <c r="B7" s="55" t="s">
        <v>187</v>
      </c>
      <c r="C7" s="55"/>
      <c r="D7" s="55"/>
      <c r="E7" s="55"/>
      <c r="F7" s="57"/>
      <c r="G7" s="57"/>
      <c r="H7" s="57"/>
      <c r="I7" s="57"/>
      <c r="J7" s="57" t="s">
        <v>37</v>
      </c>
    </row>
    <row r="9" spans="2:10" ht="15" x14ac:dyDescent="0.35">
      <c r="B9" s="307" t="s">
        <v>403</v>
      </c>
      <c r="C9" s="197"/>
      <c r="D9" s="197"/>
      <c r="E9" s="197"/>
      <c r="F9" s="197"/>
      <c r="G9" s="197"/>
      <c r="H9" s="197"/>
      <c r="I9" s="197"/>
      <c r="J9" s="197"/>
    </row>
    <row r="11" spans="2:10" ht="15" x14ac:dyDescent="0.35">
      <c r="B11" s="103" t="s">
        <v>39</v>
      </c>
      <c r="C11" s="61"/>
      <c r="D11" s="61"/>
      <c r="E11" s="61"/>
      <c r="F11" s="236">
        <f>Model!H18</f>
        <v>-113190962.09016538</v>
      </c>
      <c r="G11" s="236">
        <f>Model!I18</f>
        <v>-129963479.50376558</v>
      </c>
      <c r="H11" s="236">
        <f>Model!J18</f>
        <v>-134533652.37259531</v>
      </c>
      <c r="I11" s="236">
        <f>Model!K18</f>
        <v>-129292929.13921356</v>
      </c>
      <c r="J11" s="236">
        <f>Model!L18</f>
        <v>-117158417.69211864</v>
      </c>
    </row>
    <row r="12" spans="2:10" ht="15" x14ac:dyDescent="0.35">
      <c r="B12" s="103" t="s">
        <v>410</v>
      </c>
      <c r="C12" s="61"/>
      <c r="D12" s="61"/>
      <c r="E12" s="61"/>
      <c r="F12" s="275">
        <f>IF(F11&lt;0, 0, Model!H647)</f>
        <v>0</v>
      </c>
      <c r="G12" s="275">
        <f>IF(G11&lt;0, 0, Model!I647)</f>
        <v>0</v>
      </c>
      <c r="H12" s="275">
        <f>IF(H11&lt;0, 0, Model!J647)</f>
        <v>0</v>
      </c>
      <c r="I12" s="275">
        <f>IF(I11&lt;0, 0, Model!K647)</f>
        <v>0</v>
      </c>
      <c r="J12" s="275">
        <f>IF(J11&lt;0, 0, Model!L647)</f>
        <v>0</v>
      </c>
    </row>
    <row r="13" spans="2:10" ht="15" x14ac:dyDescent="0.35">
      <c r="B13" s="103" t="s">
        <v>411</v>
      </c>
      <c r="C13" s="61"/>
      <c r="D13" s="61"/>
      <c r="E13" s="61"/>
      <c r="F13" s="236">
        <f>(1-F12)*F11</f>
        <v>-113190962.09016538</v>
      </c>
      <c r="G13" s="236">
        <f t="shared" ref="G13:J13" si="1">(1-G12)*G11</f>
        <v>-129963479.50376558</v>
      </c>
      <c r="H13" s="236">
        <f t="shared" si="1"/>
        <v>-134533652.37259531</v>
      </c>
      <c r="I13" s="236">
        <f t="shared" si="1"/>
        <v>-129292929.13921356</v>
      </c>
      <c r="J13" s="236">
        <f t="shared" si="1"/>
        <v>-117158417.69211864</v>
      </c>
    </row>
    <row r="14" spans="2:10" ht="15" x14ac:dyDescent="0.35">
      <c r="B14" s="103" t="s">
        <v>47</v>
      </c>
      <c r="C14" s="61"/>
      <c r="D14" s="61"/>
      <c r="E14" s="61"/>
      <c r="F14" s="236">
        <f>Model!H24</f>
        <v>145756249.89069933</v>
      </c>
      <c r="G14" s="236">
        <f>Model!I24</f>
        <v>166274542.57891014</v>
      </c>
      <c r="H14" s="236">
        <f>Model!J24</f>
        <v>187148364.6946196</v>
      </c>
      <c r="I14" s="236">
        <f>Model!K24</f>
        <v>208854883.65972471</v>
      </c>
      <c r="J14" s="236">
        <f>Model!L24</f>
        <v>231757453.56785348</v>
      </c>
    </row>
    <row r="15" spans="2:10" ht="15" x14ac:dyDescent="0.35">
      <c r="B15" s="103" t="s">
        <v>412</v>
      </c>
      <c r="C15" s="61"/>
      <c r="D15" s="61"/>
      <c r="E15" s="61"/>
      <c r="F15" s="236">
        <f>Model!H127</f>
        <v>-102462498.90699334</v>
      </c>
      <c r="G15" s="236">
        <f>Model!I127</f>
        <v>-102720427.97511482</v>
      </c>
      <c r="H15" s="236">
        <f>Model!J127</f>
        <v>-106017793.18197945</v>
      </c>
      <c r="I15" s="236">
        <f>Model!K127</f>
        <v>-111047396.46907164</v>
      </c>
      <c r="J15" s="236">
        <f>Model!L127</f>
        <v>-117978302.61221638</v>
      </c>
    </row>
    <row r="16" spans="2:10" ht="15" x14ac:dyDescent="0.35">
      <c r="B16" s="103" t="s">
        <v>18</v>
      </c>
      <c r="C16" s="61"/>
      <c r="D16" s="61"/>
      <c r="E16" s="61"/>
      <c r="F16" s="236">
        <f>Model!H352</f>
        <v>-51450978.485960901</v>
      </c>
      <c r="G16" s="236">
        <f>Model!I352</f>
        <v>449927.17125737667</v>
      </c>
      <c r="H16" s="236">
        <f>Model!J352</f>
        <v>-6460048.1240634322</v>
      </c>
      <c r="I16" s="236">
        <f>Model!K352</f>
        <v>-10314283.315575361</v>
      </c>
      <c r="J16" s="236">
        <f>Model!L352</f>
        <v>-14494566.876296878</v>
      </c>
    </row>
    <row r="17" spans="2:10" ht="15" x14ac:dyDescent="0.35">
      <c r="B17" s="185" t="s">
        <v>413</v>
      </c>
      <c r="C17" s="185"/>
      <c r="D17" s="185"/>
      <c r="E17" s="185"/>
      <c r="F17" s="264">
        <f>SUM(F13:F15)-F16</f>
        <v>-18446232.620498493</v>
      </c>
      <c r="G17" s="264">
        <f t="shared" ref="G17:J17" si="2">SUM(G13:G15)-G16</f>
        <v>-66859292.07122764</v>
      </c>
      <c r="H17" s="264">
        <f t="shared" si="2"/>
        <v>-46943032.73589173</v>
      </c>
      <c r="I17" s="264">
        <f t="shared" si="2"/>
        <v>-21171158.63298513</v>
      </c>
      <c r="J17" s="264">
        <f t="shared" si="2"/>
        <v>11115300.139815331</v>
      </c>
    </row>
    <row r="18" spans="2:10" ht="15" x14ac:dyDescent="0.35">
      <c r="B18" s="103" t="s">
        <v>414</v>
      </c>
      <c r="F18" s="7">
        <f t="shared" ref="F18:J18" si="3">1/(1+$J$24)^F19</f>
        <v>0.89227856466806599</v>
      </c>
      <c r="G18" s="7">
        <f t="shared" si="3"/>
        <v>0.79616103696610407</v>
      </c>
      <c r="H18" s="7">
        <f t="shared" si="3"/>
        <v>0.71039742730875444</v>
      </c>
      <c r="I18" s="7">
        <f t="shared" si="3"/>
        <v>0.63387239678294216</v>
      </c>
      <c r="J18" s="7">
        <f t="shared" si="3"/>
        <v>0.56559075238419054</v>
      </c>
    </row>
    <row r="19" spans="2:10" ht="15" x14ac:dyDescent="0.35">
      <c r="B19" s="103" t="s">
        <v>415</v>
      </c>
      <c r="F19">
        <v>1</v>
      </c>
      <c r="G19">
        <f t="shared" ref="G19:J19" si="4">F19+1</f>
        <v>2</v>
      </c>
      <c r="H19">
        <f t="shared" si="4"/>
        <v>3</v>
      </c>
      <c r="I19">
        <f t="shared" si="4"/>
        <v>4</v>
      </c>
      <c r="J19">
        <f t="shared" si="4"/>
        <v>5</v>
      </c>
    </row>
    <row r="21" spans="2:10" ht="15" x14ac:dyDescent="0.35">
      <c r="B21" s="307" t="s">
        <v>423</v>
      </c>
      <c r="C21" s="197"/>
      <c r="D21" s="197"/>
      <c r="E21" s="197"/>
      <c r="F21" s="197"/>
      <c r="G21" s="197"/>
      <c r="H21" s="197"/>
      <c r="I21" s="197"/>
      <c r="J21" s="197"/>
    </row>
    <row r="23" spans="2:10" ht="15" x14ac:dyDescent="0.35">
      <c r="B23" s="63" t="s">
        <v>424</v>
      </c>
      <c r="C23" s="61"/>
      <c r="D23" s="61"/>
      <c r="E23" s="236"/>
      <c r="G23" s="5" t="s">
        <v>409</v>
      </c>
      <c r="J23" s="236"/>
    </row>
    <row r="24" spans="2:10" ht="15" x14ac:dyDescent="0.35">
      <c r="B24" s="103" t="s">
        <v>426</v>
      </c>
      <c r="C24" s="61"/>
      <c r="D24" s="61"/>
      <c r="E24" s="108">
        <v>0.12</v>
      </c>
      <c r="G24" s="103" t="s">
        <v>416</v>
      </c>
      <c r="J24" s="106">
        <f>E33</f>
        <v>0.12072623908880653</v>
      </c>
    </row>
    <row r="25" spans="2:10" ht="15" x14ac:dyDescent="0.35">
      <c r="B25" s="103" t="s">
        <v>427</v>
      </c>
      <c r="C25" s="61"/>
      <c r="D25" s="61"/>
      <c r="E25" s="108">
        <f>E29+(E31*E30)</f>
        <v>0.1444</v>
      </c>
      <c r="G25" s="103" t="s">
        <v>417</v>
      </c>
      <c r="J25" s="107">
        <v>2.5000000000000001E-2</v>
      </c>
    </row>
    <row r="26" spans="2:10" ht="15" x14ac:dyDescent="0.35">
      <c r="B26" s="103" t="s">
        <v>428</v>
      </c>
      <c r="C26" s="61"/>
      <c r="D26" s="61"/>
      <c r="E26" s="110">
        <f>-Model!F87/Model!F93</f>
        <v>0.77047375836562171</v>
      </c>
      <c r="G26" s="103" t="s">
        <v>418</v>
      </c>
      <c r="J26" s="236">
        <f>SUMPRODUCT(F17:J17,F18:J18)</f>
        <v>-110171253.0543559</v>
      </c>
    </row>
    <row r="27" spans="2:10" ht="15" x14ac:dyDescent="0.35">
      <c r="B27" s="103" t="s">
        <v>429</v>
      </c>
      <c r="C27" s="61"/>
      <c r="D27" s="61"/>
      <c r="E27" s="110">
        <f>E26/(1+E26)</f>
        <v>0.43517942851458552</v>
      </c>
      <c r="G27" s="103" t="s">
        <v>419</v>
      </c>
      <c r="J27" s="236">
        <f>J17*(1+J25)/(J24-J25)</f>
        <v>119018387.76660913</v>
      </c>
    </row>
    <row r="28" spans="2:10" ht="15" x14ac:dyDescent="0.35">
      <c r="B28" s="103" t="s">
        <v>430</v>
      </c>
      <c r="C28" s="63"/>
      <c r="D28" s="63"/>
      <c r="E28" s="110">
        <f>1-E27</f>
        <v>0.56482057148541442</v>
      </c>
      <c r="G28" s="103" t="s">
        <v>420</v>
      </c>
      <c r="J28" s="236">
        <f>J18*J27</f>
        <v>67315699.484469801</v>
      </c>
    </row>
    <row r="29" spans="2:10" ht="15" x14ac:dyDescent="0.35">
      <c r="B29" s="103" t="s">
        <v>431</v>
      </c>
      <c r="C29" s="63"/>
      <c r="D29" s="63"/>
      <c r="E29" s="107">
        <v>5.1999999999999998E-2</v>
      </c>
      <c r="G29" s="230" t="s">
        <v>421</v>
      </c>
      <c r="H29" s="231"/>
      <c r="I29" s="232"/>
      <c r="J29" s="228">
        <f>J26+J28</f>
        <v>-42855553.569886103</v>
      </c>
    </row>
    <row r="30" spans="2:10" ht="15" x14ac:dyDescent="0.35">
      <c r="B30" s="103" t="s">
        <v>432</v>
      </c>
      <c r="C30" s="63"/>
      <c r="D30" s="63"/>
      <c r="E30" s="107">
        <v>4.2000000000000003E-2</v>
      </c>
      <c r="G30" s="203" t="s">
        <v>422</v>
      </c>
      <c r="H30" s="209"/>
      <c r="I30" s="210"/>
      <c r="J30" s="228">
        <f>Model!H622</f>
        <v>498535094.43152213</v>
      </c>
    </row>
    <row r="31" spans="2:10" ht="15" x14ac:dyDescent="0.35">
      <c r="B31" s="103" t="s">
        <v>433</v>
      </c>
      <c r="E31" s="394">
        <v>2.2000000000000002</v>
      </c>
      <c r="G31" s="203" t="s">
        <v>425</v>
      </c>
      <c r="H31" s="209"/>
      <c r="I31" s="210"/>
      <c r="J31" s="228">
        <f>J29-J30</f>
        <v>-541390648.00140822</v>
      </c>
    </row>
    <row r="32" spans="2:10" ht="15" x14ac:dyDescent="0.35">
      <c r="B32" s="103" t="s">
        <v>410</v>
      </c>
      <c r="E32" s="87">
        <f>Model!$H$647</f>
        <v>0.25</v>
      </c>
      <c r="G32" s="63"/>
      <c r="H32" s="63"/>
      <c r="I32" s="63"/>
      <c r="J32" s="223"/>
    </row>
    <row r="33" spans="2:5" ht="15" x14ac:dyDescent="0.35">
      <c r="B33" s="230" t="s">
        <v>434</v>
      </c>
      <c r="C33" s="231"/>
      <c r="D33" s="232"/>
      <c r="E33" s="311">
        <f>(E28*E25)+(E27*E24*(1-E32))</f>
        <v>0.12072623908880653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D0175-8681-43A6-98BD-4619FEE7461D}">
  <dimension ref="B2:I44"/>
  <sheetViews>
    <sheetView showGridLines="0" workbookViewId="0">
      <selection activeCell="F26" sqref="F26"/>
    </sheetView>
  </sheetViews>
  <sheetFormatPr defaultRowHeight="14.4" x14ac:dyDescent="0.3"/>
  <cols>
    <col min="2" max="5" width="17.77734375" customWidth="1"/>
    <col min="6" max="6" width="15.77734375" customWidth="1"/>
    <col min="7" max="9" width="14.5546875" bestFit="1" customWidth="1"/>
  </cols>
  <sheetData>
    <row r="2" spans="2:9" ht="28.8" x14ac:dyDescent="0.65">
      <c r="B2" s="45" t="str">
        <f>Cover!$B$2</f>
        <v>ASOS PLC</v>
      </c>
      <c r="C2" s="45"/>
      <c r="D2" s="45"/>
      <c r="E2" s="45"/>
      <c r="F2" s="45"/>
      <c r="G2" s="299"/>
      <c r="H2" s="299"/>
      <c r="I2" s="299"/>
    </row>
    <row r="3" spans="2:9" ht="21" x14ac:dyDescent="0.5">
      <c r="B3" s="48" t="s">
        <v>369</v>
      </c>
      <c r="C3" s="49"/>
      <c r="D3" s="47"/>
      <c r="E3" s="47"/>
      <c r="F3" s="159" t="str">
        <f>"Currently Running: "&amp;CHOOSE(Assumptions!$B$10,Assumptions!$F$15,Assumptions!$F$16,Assumptions!$F$17)&amp;"Scenario"</f>
        <v>Currently Running: Base Scenario</v>
      </c>
      <c r="G3" s="300"/>
      <c r="H3" s="300"/>
      <c r="I3" s="301" t="str">
        <f>"Currently Running: "&amp;CHOOSE(Assumptions!$B$10,Assumptions!$F$15,Assumptions!$F$16,Assumptions!$F$17)&amp;"Scenario"</f>
        <v>Currently Running: Base Scenario</v>
      </c>
    </row>
    <row r="4" spans="2:9" ht="15.6" x14ac:dyDescent="0.35">
      <c r="B4" s="50"/>
      <c r="C4" s="50"/>
      <c r="D4" s="50"/>
      <c r="E4" s="50"/>
      <c r="F4" s="50"/>
      <c r="G4" s="50"/>
      <c r="H4" s="51"/>
      <c r="I4" s="51"/>
    </row>
    <row r="5" spans="2:9" ht="16.2" thickBot="1" x14ac:dyDescent="0.4">
      <c r="B5" s="55" t="s">
        <v>187</v>
      </c>
      <c r="C5" s="55"/>
      <c r="D5" s="55"/>
      <c r="E5" s="55"/>
      <c r="F5" s="56"/>
      <c r="G5" s="72"/>
      <c r="H5" s="72"/>
      <c r="I5" s="224"/>
    </row>
    <row r="7" spans="2:9" ht="15" x14ac:dyDescent="0.35">
      <c r="B7" s="307" t="s">
        <v>368</v>
      </c>
      <c r="C7" s="197"/>
      <c r="D7" s="198"/>
      <c r="E7" s="198"/>
      <c r="F7" s="199"/>
      <c r="G7" s="298"/>
      <c r="H7" s="298"/>
      <c r="I7" s="298"/>
    </row>
    <row r="9" spans="2:9" ht="15" x14ac:dyDescent="0.35">
      <c r="B9" s="238" t="s">
        <v>377</v>
      </c>
      <c r="C9" s="239"/>
      <c r="D9" s="239"/>
      <c r="E9" s="239"/>
      <c r="F9" s="398"/>
    </row>
    <row r="10" spans="2:9" ht="15" x14ac:dyDescent="0.35">
      <c r="B10" s="103" t="s">
        <v>374</v>
      </c>
      <c r="F10" s="236">
        <f>Model!H25</f>
        <v>32565287.80053395</v>
      </c>
    </row>
    <row r="11" spans="2:9" ht="15" x14ac:dyDescent="0.35">
      <c r="B11" s="103" t="s">
        <v>370</v>
      </c>
      <c r="F11" s="399">
        <f>F39</f>
        <v>4.5</v>
      </c>
    </row>
    <row r="12" spans="2:9" ht="15" x14ac:dyDescent="0.35">
      <c r="B12" s="103" t="s">
        <v>397</v>
      </c>
      <c r="F12" s="236">
        <f>Model!H622</f>
        <v>498535094.43152213</v>
      </c>
    </row>
    <row r="13" spans="2:9" ht="15" x14ac:dyDescent="0.35">
      <c r="B13" s="103" t="s">
        <v>378</v>
      </c>
      <c r="F13" s="236">
        <f>F10*F11</f>
        <v>146543795.10240278</v>
      </c>
    </row>
    <row r="14" spans="2:9" x14ac:dyDescent="0.3">
      <c r="B14" s="302"/>
      <c r="C14" s="302"/>
      <c r="D14" s="302"/>
      <c r="E14" s="302"/>
      <c r="F14" s="302"/>
    </row>
    <row r="15" spans="2:9" ht="15" x14ac:dyDescent="0.35">
      <c r="B15" s="238" t="s">
        <v>375</v>
      </c>
      <c r="C15" s="239"/>
      <c r="D15" s="239"/>
      <c r="E15" s="239"/>
      <c r="F15" s="398"/>
    </row>
    <row r="16" spans="2:9" ht="15" x14ac:dyDescent="0.35">
      <c r="B16" s="103" t="s">
        <v>371</v>
      </c>
      <c r="F16" s="236">
        <f>SUM(F12:F13)</f>
        <v>645078889.53392494</v>
      </c>
    </row>
    <row r="17" spans="2:9" ht="15" x14ac:dyDescent="0.35">
      <c r="B17" s="103" t="s">
        <v>372</v>
      </c>
      <c r="F17" s="236">
        <f>F16*F40</f>
        <v>12901577.790678499</v>
      </c>
    </row>
    <row r="18" spans="2:9" ht="15" x14ac:dyDescent="0.35">
      <c r="B18" s="103" t="s">
        <v>376</v>
      </c>
      <c r="F18" s="236">
        <f>Model!H498</f>
        <v>30000000</v>
      </c>
    </row>
    <row r="19" spans="2:9" ht="15" x14ac:dyDescent="0.35">
      <c r="B19" s="214"/>
      <c r="C19" s="302"/>
      <c r="D19" s="302"/>
      <c r="E19" s="302"/>
      <c r="F19" s="302"/>
    </row>
    <row r="20" spans="2:9" ht="15" x14ac:dyDescent="0.35">
      <c r="B20" s="230" t="s">
        <v>373</v>
      </c>
      <c r="C20" s="231"/>
      <c r="D20" s="231"/>
      <c r="E20" s="232"/>
      <c r="F20" s="303">
        <f>SUM(F16:F18)</f>
        <v>687980467.32460344</v>
      </c>
      <c r="G20" s="223"/>
      <c r="H20" s="223"/>
      <c r="I20" s="223"/>
    </row>
    <row r="21" spans="2:9" ht="15" x14ac:dyDescent="0.35">
      <c r="B21" s="203" t="s">
        <v>395</v>
      </c>
      <c r="C21" s="209"/>
      <c r="D21" s="209"/>
      <c r="E21" s="210"/>
      <c r="F21" s="263">
        <f>F10*F41</f>
        <v>97695863.401601851</v>
      </c>
      <c r="G21" s="223"/>
      <c r="H21" s="223"/>
      <c r="I21" s="223"/>
    </row>
    <row r="22" spans="2:9" ht="15" x14ac:dyDescent="0.35">
      <c r="B22" s="203" t="s">
        <v>396</v>
      </c>
      <c r="C22" s="209"/>
      <c r="D22" s="209"/>
      <c r="E22" s="210"/>
      <c r="F22" s="263">
        <f>F20-F21</f>
        <v>590284603.92300153</v>
      </c>
      <c r="G22" s="223"/>
      <c r="H22" s="223"/>
      <c r="I22" s="223"/>
    </row>
    <row r="24" spans="2:9" x14ac:dyDescent="0.3">
      <c r="B24" s="305" t="s">
        <v>394</v>
      </c>
      <c r="C24" s="304"/>
      <c r="D24" s="304"/>
      <c r="E24" s="304"/>
      <c r="F24" s="304"/>
    </row>
    <row r="26" spans="2:9" ht="15" x14ac:dyDescent="0.35">
      <c r="B26" s="238" t="s">
        <v>386</v>
      </c>
      <c r="C26" s="239"/>
      <c r="D26" s="239"/>
      <c r="E26" s="239"/>
      <c r="F26" s="398"/>
    </row>
    <row r="27" spans="2:9" ht="15" x14ac:dyDescent="0.35">
      <c r="B27" s="103" t="s">
        <v>387</v>
      </c>
      <c r="F27" s="236">
        <f>Model!L25</f>
        <v>114599035.87573484</v>
      </c>
    </row>
    <row r="28" spans="2:9" ht="15" x14ac:dyDescent="0.35">
      <c r="B28" s="103" t="s">
        <v>388</v>
      </c>
      <c r="F28" s="399">
        <f>F44</f>
        <v>6</v>
      </c>
    </row>
    <row r="29" spans="2:9" ht="15" x14ac:dyDescent="0.35">
      <c r="B29" s="103" t="s">
        <v>389</v>
      </c>
      <c r="F29" s="236">
        <f>F28*F27</f>
        <v>687594215.25440907</v>
      </c>
    </row>
    <row r="30" spans="2:9" ht="15" x14ac:dyDescent="0.35">
      <c r="B30" s="397" t="s">
        <v>390</v>
      </c>
      <c r="F30" s="236">
        <f>'LBO Debt'!J22</f>
        <v>253092903.83498985</v>
      </c>
    </row>
    <row r="32" spans="2:9" ht="15" x14ac:dyDescent="0.35">
      <c r="B32" s="230" t="s">
        <v>391</v>
      </c>
      <c r="C32" s="231"/>
      <c r="D32" s="231"/>
      <c r="E32" s="232"/>
      <c r="F32" s="303">
        <f>F29-F30</f>
        <v>434501311.41941923</v>
      </c>
    </row>
    <row r="33" spans="2:6" ht="15" x14ac:dyDescent="0.35">
      <c r="B33" s="230" t="s">
        <v>393</v>
      </c>
      <c r="C33" s="231"/>
      <c r="D33" s="231"/>
      <c r="E33" s="232"/>
      <c r="F33" s="308">
        <f>F32/F22</f>
        <v>0.73608782701047182</v>
      </c>
    </row>
    <row r="34" spans="2:6" ht="15" x14ac:dyDescent="0.35">
      <c r="B34" s="230" t="s">
        <v>392</v>
      </c>
      <c r="C34" s="231"/>
      <c r="D34" s="231"/>
      <c r="E34" s="232"/>
      <c r="F34" s="309">
        <f>F33^(1/5)-1</f>
        <v>-5.9441251899954306E-2</v>
      </c>
    </row>
    <row r="37" spans="2:6" ht="15" x14ac:dyDescent="0.35">
      <c r="B37" s="306" t="s">
        <v>379</v>
      </c>
      <c r="C37" s="304"/>
      <c r="D37" s="304"/>
      <c r="E37" s="304"/>
      <c r="F37" s="304"/>
    </row>
    <row r="39" spans="2:6" ht="15" x14ac:dyDescent="0.35">
      <c r="B39" s="61" t="s">
        <v>380</v>
      </c>
      <c r="F39" s="400">
        <v>4.5</v>
      </c>
    </row>
    <row r="40" spans="2:6" ht="15" x14ac:dyDescent="0.35">
      <c r="B40" s="61" t="s">
        <v>381</v>
      </c>
      <c r="F40" s="315">
        <v>0.02</v>
      </c>
    </row>
    <row r="41" spans="2:6" ht="15" x14ac:dyDescent="0.35">
      <c r="B41" s="61" t="s">
        <v>382</v>
      </c>
      <c r="F41" s="400">
        <v>3</v>
      </c>
    </row>
    <row r="42" spans="2:6" ht="15" x14ac:dyDescent="0.35">
      <c r="B42" s="61" t="s">
        <v>383</v>
      </c>
      <c r="F42" s="315">
        <v>0.09</v>
      </c>
    </row>
    <row r="43" spans="2:6" ht="15" x14ac:dyDescent="0.35">
      <c r="B43" s="61" t="s">
        <v>384</v>
      </c>
      <c r="F43" s="315">
        <v>0.01</v>
      </c>
    </row>
    <row r="44" spans="2:6" ht="15" x14ac:dyDescent="0.35">
      <c r="B44" t="s">
        <v>385</v>
      </c>
      <c r="F44" s="400">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F3CF4-E302-44CB-BA79-AF83143FA5C8}">
  <dimension ref="B2:J22"/>
  <sheetViews>
    <sheetView showGridLines="0" tabSelected="1" workbookViewId="0">
      <selection activeCell="F33" sqref="F33"/>
    </sheetView>
  </sheetViews>
  <sheetFormatPr defaultRowHeight="14.4" x14ac:dyDescent="0.3"/>
  <cols>
    <col min="2" max="10" width="17.77734375" customWidth="1"/>
  </cols>
  <sheetData>
    <row r="2" spans="2:10" ht="28.8" x14ac:dyDescent="0.65">
      <c r="B2" s="45" t="str">
        <f>Cover!$B$2</f>
        <v>ASOS PLC</v>
      </c>
      <c r="C2" s="45"/>
      <c r="D2" s="46"/>
      <c r="E2" s="47"/>
      <c r="F2" s="47"/>
      <c r="G2" s="47"/>
      <c r="H2" s="47"/>
      <c r="I2" s="47"/>
      <c r="J2" s="47"/>
    </row>
    <row r="3" spans="2:10" ht="21" x14ac:dyDescent="0.5">
      <c r="B3" s="48" t="s">
        <v>398</v>
      </c>
      <c r="C3" s="49"/>
      <c r="D3" s="47"/>
      <c r="E3" s="47"/>
      <c r="F3" s="47"/>
      <c r="G3" s="47"/>
      <c r="H3" s="47"/>
      <c r="I3" s="47"/>
      <c r="J3" s="159" t="str">
        <f>"Currently Running: "&amp;CHOOSE(Assumptions!$B$10,Assumptions!$F$15,Assumptions!$F$16,Assumptions!$F$17)&amp;"Scenario"</f>
        <v>Currently Running: Base Scenario</v>
      </c>
    </row>
    <row r="4" spans="2:10" ht="15.6" x14ac:dyDescent="0.35">
      <c r="B4" s="50"/>
      <c r="C4" s="50"/>
      <c r="D4" s="50"/>
      <c r="E4" s="50"/>
      <c r="F4" s="50"/>
      <c r="G4" s="50"/>
      <c r="H4" s="50"/>
      <c r="I4" s="51"/>
      <c r="J4" s="51"/>
    </row>
    <row r="5" spans="2:10" ht="15.6" x14ac:dyDescent="0.35">
      <c r="B5" s="51"/>
      <c r="C5" s="51"/>
      <c r="D5" s="51"/>
      <c r="E5" s="51"/>
      <c r="F5" s="292" t="s">
        <v>361</v>
      </c>
      <c r="G5" s="293"/>
      <c r="H5" s="293"/>
      <c r="I5" s="293"/>
      <c r="J5" s="294"/>
    </row>
    <row r="6" spans="2:10" ht="15.6" x14ac:dyDescent="0.35">
      <c r="B6" s="51"/>
      <c r="C6" s="51"/>
      <c r="D6" s="51"/>
      <c r="E6" s="51"/>
      <c r="F6" s="54">
        <v>2026</v>
      </c>
      <c r="G6" s="54">
        <f t="shared" ref="G6:J6" si="0">F6+1</f>
        <v>2027</v>
      </c>
      <c r="H6" s="54">
        <f t="shared" si="0"/>
        <v>2028</v>
      </c>
      <c r="I6" s="54">
        <f t="shared" si="0"/>
        <v>2029</v>
      </c>
      <c r="J6" s="54">
        <f t="shared" si="0"/>
        <v>2030</v>
      </c>
    </row>
    <row r="7" spans="2:10" ht="16.2" thickBot="1" x14ac:dyDescent="0.4">
      <c r="B7" s="55" t="s">
        <v>187</v>
      </c>
      <c r="C7" s="55"/>
      <c r="D7" s="55"/>
      <c r="E7" s="55"/>
      <c r="F7" s="57"/>
      <c r="G7" s="57"/>
      <c r="H7" s="57"/>
      <c r="I7" s="57"/>
      <c r="J7" s="172" t="s">
        <v>37</v>
      </c>
    </row>
    <row r="9" spans="2:10" ht="15" x14ac:dyDescent="0.35">
      <c r="B9" s="307" t="s">
        <v>398</v>
      </c>
      <c r="C9" s="197"/>
      <c r="D9" s="197"/>
      <c r="E9" s="197"/>
      <c r="F9" s="197"/>
      <c r="G9" s="197"/>
      <c r="H9" s="197"/>
      <c r="I9" s="197"/>
      <c r="J9" s="197"/>
    </row>
    <row r="11" spans="2:10" ht="15" x14ac:dyDescent="0.35">
      <c r="B11" t="s">
        <v>399</v>
      </c>
      <c r="F11" s="236">
        <f>LBO!F21</f>
        <v>97695863.401601851</v>
      </c>
      <c r="G11" s="395">
        <f>F20</f>
        <v>96718904.767585829</v>
      </c>
      <c r="H11" s="395">
        <f t="shared" ref="H11:J11" si="1">G20</f>
        <v>95751715.719909966</v>
      </c>
      <c r="I11" s="395">
        <f t="shared" si="1"/>
        <v>94794198.562710866</v>
      </c>
      <c r="J11" s="395">
        <f t="shared" si="1"/>
        <v>93846256.577083752</v>
      </c>
    </row>
    <row r="12" spans="2:10" ht="15" x14ac:dyDescent="0.35">
      <c r="B12" s="397" t="s">
        <v>404</v>
      </c>
      <c r="F12" s="396">
        <f>F11*LBO!$F$43</f>
        <v>976958.63401601848</v>
      </c>
      <c r="G12" s="396">
        <f>G11*LBO!$F$43</f>
        <v>967189.04767585825</v>
      </c>
      <c r="H12" s="396">
        <f>H11*LBO!$F$43</f>
        <v>957517.15719909966</v>
      </c>
      <c r="I12" s="396">
        <f>I11*LBO!$F$43</f>
        <v>947941.98562710872</v>
      </c>
      <c r="J12" s="396">
        <f>J11*LBO!$F$43</f>
        <v>938462.56577083748</v>
      </c>
    </row>
    <row r="13" spans="2:10" ht="15" x14ac:dyDescent="0.35">
      <c r="B13" s="397" t="s">
        <v>400</v>
      </c>
      <c r="F13" s="236">
        <f>F11*LBO!$F$42</f>
        <v>8792627.7061441671</v>
      </c>
      <c r="G13" s="236">
        <f>G11*LBO!$F$42</f>
        <v>8704701.4290827252</v>
      </c>
      <c r="H13" s="236">
        <f>H11*LBO!$F$42</f>
        <v>8617654.4147918969</v>
      </c>
      <c r="I13" s="236">
        <f>I11*LBO!$F$42</f>
        <v>8531477.8706439771</v>
      </c>
      <c r="J13" s="236">
        <f>J11*LBO!$F$42</f>
        <v>8446163.0919375382</v>
      </c>
    </row>
    <row r="14" spans="2:10" ht="15" x14ac:dyDescent="0.35">
      <c r="B14" s="397" t="s">
        <v>401</v>
      </c>
      <c r="F14" s="236">
        <f>IF(Model!F18&gt;0, F13*(1-Model!H647), F13)</f>
        <v>8792627.7061441671</v>
      </c>
      <c r="G14" s="236">
        <f>IF(Model!G18&gt;0, G13*(1-Model!I647), G13)</f>
        <v>8704701.4290827252</v>
      </c>
      <c r="H14" s="236">
        <f>IF(Model!H18&gt;0, H13*(1-Model!J647), H13)</f>
        <v>8617654.4147918969</v>
      </c>
      <c r="I14" s="236">
        <f>IF(Model!I18&gt;0, I13*(1-Model!K647), I13)</f>
        <v>8531477.8706439771</v>
      </c>
      <c r="J14" s="236">
        <f>IF(Model!J18&gt;0, J13*(1-Model!L647), J13)</f>
        <v>8446163.0919375382</v>
      </c>
    </row>
    <row r="15" spans="2:10" ht="15" x14ac:dyDescent="0.35">
      <c r="B15" s="397" t="s">
        <v>440</v>
      </c>
      <c r="F15" s="236">
        <f>Model!H498</f>
        <v>30000000</v>
      </c>
      <c r="G15" s="236">
        <f>Model!I498</f>
        <v>30000000</v>
      </c>
      <c r="H15" s="236">
        <f>Model!J498</f>
        <v>30000000</v>
      </c>
      <c r="I15" s="236">
        <f>Model!K498</f>
        <v>30000000</v>
      </c>
      <c r="J15" s="236">
        <f>Model!L498</f>
        <v>30000000</v>
      </c>
    </row>
    <row r="16" spans="2:10" ht="15" x14ac:dyDescent="0.35">
      <c r="B16" s="397" t="s">
        <v>402</v>
      </c>
      <c r="F16" s="236">
        <f>LBO!$F$18</f>
        <v>30000000</v>
      </c>
      <c r="G16" s="236">
        <f>F21</f>
        <v>1784181.0393413212</v>
      </c>
      <c r="H16" s="236">
        <f t="shared" ref="H16:J16" si="2">G21</f>
        <v>-74747001.508644909</v>
      </c>
      <c r="I16" s="236">
        <f t="shared" si="2"/>
        <v>-131265205.81652763</v>
      </c>
      <c r="J16" s="236">
        <f t="shared" si="2"/>
        <v>-161915784.30578387</v>
      </c>
    </row>
    <row r="17" spans="2:10" ht="15" x14ac:dyDescent="0.35">
      <c r="B17" s="397" t="s">
        <v>403</v>
      </c>
      <c r="F17" s="236">
        <f>DCF!F17</f>
        <v>-18446232.620498493</v>
      </c>
      <c r="G17" s="236">
        <f>DCF!G17</f>
        <v>-66859292.07122764</v>
      </c>
      <c r="H17" s="236">
        <f>DCF!H17</f>
        <v>-46943032.73589173</v>
      </c>
      <c r="I17" s="236">
        <f>DCF!I17</f>
        <v>-21171158.63298513</v>
      </c>
      <c r="J17" s="236">
        <f>DCF!J17</f>
        <v>11115300.139815331</v>
      </c>
    </row>
    <row r="18" spans="2:10" ht="15" x14ac:dyDescent="0.35">
      <c r="B18" s="397" t="s">
        <v>405</v>
      </c>
      <c r="F18" s="236">
        <f>F16+F17-F14-F12</f>
        <v>1784181.0393413212</v>
      </c>
      <c r="G18" s="236">
        <f>G16+G17-G14-G12</f>
        <v>-74747001.508644909</v>
      </c>
      <c r="H18" s="236">
        <f t="shared" ref="H18:J18" si="3">H16+H17-H14-H12</f>
        <v>-131265205.81652763</v>
      </c>
      <c r="I18" s="236">
        <f t="shared" si="3"/>
        <v>-161915784.30578387</v>
      </c>
      <c r="J18" s="236">
        <f t="shared" si="3"/>
        <v>-160185109.82367691</v>
      </c>
    </row>
    <row r="19" spans="2:10" ht="15" x14ac:dyDescent="0.35">
      <c r="B19" s="397" t="s">
        <v>435</v>
      </c>
      <c r="F19" s="236">
        <f>MIN(MAX(0,F18-F15), F11-F12)</f>
        <v>0</v>
      </c>
      <c r="G19" s="236">
        <f t="shared" ref="G19:J19" si="4">MIN(MAX(0,G18-G15), G11-G12)</f>
        <v>0</v>
      </c>
      <c r="H19" s="236">
        <f t="shared" si="4"/>
        <v>0</v>
      </c>
      <c r="I19" s="236">
        <f t="shared" si="4"/>
        <v>0</v>
      </c>
      <c r="J19" s="236">
        <f t="shared" si="4"/>
        <v>0</v>
      </c>
    </row>
    <row r="20" spans="2:10" ht="15" x14ac:dyDescent="0.35">
      <c r="B20" s="230" t="s">
        <v>406</v>
      </c>
      <c r="C20" s="231"/>
      <c r="D20" s="231"/>
      <c r="E20" s="232"/>
      <c r="F20" s="355">
        <f>F11-F12-F19</f>
        <v>96718904.767585829</v>
      </c>
      <c r="G20" s="355">
        <f t="shared" ref="G20:J20" si="5">G11-G12-G19</f>
        <v>95751715.719909966</v>
      </c>
      <c r="H20" s="355">
        <f t="shared" si="5"/>
        <v>94794198.562710866</v>
      </c>
      <c r="I20" s="355">
        <f t="shared" si="5"/>
        <v>93846256.577083752</v>
      </c>
      <c r="J20" s="355">
        <f t="shared" si="5"/>
        <v>92907794.011312917</v>
      </c>
    </row>
    <row r="21" spans="2:10" ht="15" x14ac:dyDescent="0.35">
      <c r="B21" s="230" t="s">
        <v>407</v>
      </c>
      <c r="C21" s="231"/>
      <c r="D21" s="231"/>
      <c r="E21" s="232"/>
      <c r="F21" s="263">
        <f>F18-F19</f>
        <v>1784181.0393413212</v>
      </c>
      <c r="G21" s="263">
        <f t="shared" ref="G21:J21" si="6">G18-G19</f>
        <v>-74747001.508644909</v>
      </c>
      <c r="H21" s="263">
        <f t="shared" si="6"/>
        <v>-131265205.81652763</v>
      </c>
      <c r="I21" s="263">
        <f t="shared" si="6"/>
        <v>-161915784.30578387</v>
      </c>
      <c r="J21" s="263">
        <f t="shared" si="6"/>
        <v>-160185109.82367691</v>
      </c>
    </row>
    <row r="22" spans="2:10" ht="15" x14ac:dyDescent="0.35">
      <c r="B22" s="230" t="s">
        <v>408</v>
      </c>
      <c r="C22" s="231"/>
      <c r="D22" s="231"/>
      <c r="E22" s="232"/>
      <c r="F22" s="263">
        <f>F20-F21</f>
        <v>94934723.728244513</v>
      </c>
      <c r="G22" s="263">
        <f t="shared" ref="G22:J22" si="7">G20-G21</f>
        <v>170498717.22855487</v>
      </c>
      <c r="H22" s="263">
        <f t="shared" si="7"/>
        <v>226059404.37923849</v>
      </c>
      <c r="I22" s="263">
        <f t="shared" si="7"/>
        <v>255762040.88286763</v>
      </c>
      <c r="J22" s="263">
        <f t="shared" si="7"/>
        <v>253092903.83498985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Cover</vt:lpstr>
      <vt:lpstr>Assumptions</vt:lpstr>
      <vt:lpstr>Model</vt:lpstr>
      <vt:lpstr>Charts</vt:lpstr>
      <vt:lpstr>DCF</vt:lpstr>
      <vt:lpstr>LBO</vt:lpstr>
      <vt:lpstr>LBO Debt</vt:lpstr>
      <vt:lpstr>Model!Print_Area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Hopkinson</dc:creator>
  <cp:lastModifiedBy>Peter Hopkinson</cp:lastModifiedBy>
  <cp:lastPrinted>2026-10-10T01:21:40Z</cp:lastPrinted>
  <dcterms:created xsi:type="dcterms:W3CDTF">2026-09-25T20:35:53Z</dcterms:created>
  <dcterms:modified xsi:type="dcterms:W3CDTF">2026-10-23T21:18:07Z</dcterms:modified>
</cp:coreProperties>
</file>