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a63f789af4ef06/Documents/Career/Career Development/Financial Statements/3 Statement Model/"/>
    </mc:Choice>
  </mc:AlternateContent>
  <xr:revisionPtr revIDLastSave="0" documentId="8_{C42BB4A9-2FB9-4DC3-8217-8A7070EACCC8}" xr6:coauthVersionLast="47" xr6:coauthVersionMax="47" xr10:uidLastSave="{00000000-0000-0000-0000-000000000000}"/>
  <bookViews>
    <workbookView xWindow="-108" yWindow="-108" windowWidth="23256" windowHeight="13896" xr2:uid="{C4FDF26E-8D02-42E6-9BA6-E8E4AB263931}"/>
  </bookViews>
  <sheets>
    <sheet name="Cover" sheetId="1" r:id="rId1"/>
    <sheet name="Assumptions" sheetId="3" r:id="rId2"/>
    <sheet name="Model" sheetId="2" r:id="rId3"/>
  </sheets>
  <definedNames>
    <definedName name="_xlnm.Print_Area" localSheetId="2">Model!$A$2:$M$737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3" l="1"/>
  <c r="H6" i="3"/>
  <c r="I6" i="3" s="1"/>
  <c r="J6" i="3" s="1"/>
  <c r="K6" i="3" s="1"/>
  <c r="L6" i="3" s="1"/>
  <c r="G23" i="2"/>
  <c r="H220" i="2"/>
  <c r="H267" i="2" s="1"/>
  <c r="L220" i="2"/>
  <c r="L267" i="2" s="1"/>
  <c r="K220" i="2"/>
  <c r="K267" i="2" s="1"/>
  <c r="J220" i="2"/>
  <c r="J267" i="2" s="1"/>
  <c r="I220" i="2"/>
  <c r="I267" i="2" s="1"/>
  <c r="L212" i="2"/>
  <c r="L281" i="2" s="1"/>
  <c r="K212" i="2"/>
  <c r="K281" i="2" s="1"/>
  <c r="J212" i="2"/>
  <c r="J281" i="2" s="1"/>
  <c r="I212" i="2"/>
  <c r="I281" i="2" s="1"/>
  <c r="H212" i="2"/>
  <c r="H281" i="2" s="1"/>
  <c r="L48" i="3"/>
  <c r="K48" i="3"/>
  <c r="J48" i="3"/>
  <c r="I48" i="3"/>
  <c r="H48" i="3"/>
  <c r="L43" i="3"/>
  <c r="L191" i="2" s="1"/>
  <c r="K43" i="3"/>
  <c r="K191" i="2" s="1"/>
  <c r="J43" i="3"/>
  <c r="J191" i="2" s="1"/>
  <c r="I43" i="3"/>
  <c r="I191" i="2" s="1"/>
  <c r="H43" i="3"/>
  <c r="H191" i="2" s="1"/>
  <c r="H193" i="2" s="1"/>
  <c r="H486" i="2"/>
  <c r="F185" i="2"/>
  <c r="G185" i="2" s="1"/>
  <c r="H185" i="2" s="1"/>
  <c r="I185" i="2" s="1"/>
  <c r="J185" i="2" s="1"/>
  <c r="K185" i="2" s="1"/>
  <c r="L185" i="2" s="1"/>
  <c r="L555" i="2"/>
  <c r="K555" i="2"/>
  <c r="J555" i="2"/>
  <c r="I555" i="2"/>
  <c r="H555" i="2"/>
  <c r="H553" i="2"/>
  <c r="H552" i="2"/>
  <c r="H554" i="2" s="1"/>
  <c r="H544" i="2"/>
  <c r="H77" i="2"/>
  <c r="I77" i="2" s="1"/>
  <c r="J77" i="2" s="1"/>
  <c r="K77" i="2" s="1"/>
  <c r="L77" i="2" s="1"/>
  <c r="H389" i="2"/>
  <c r="H385" i="2" s="1"/>
  <c r="H387" i="2" s="1"/>
  <c r="H391" i="2" s="1"/>
  <c r="H395" i="2" s="1"/>
  <c r="H125" i="2" s="1"/>
  <c r="H71" i="2"/>
  <c r="I71" i="2" s="1"/>
  <c r="J71" i="2" s="1"/>
  <c r="K71" i="2" s="1"/>
  <c r="L71" i="2" s="1"/>
  <c r="H76" i="2"/>
  <c r="H67" i="2"/>
  <c r="I67" i="2" s="1"/>
  <c r="J67" i="2" s="1"/>
  <c r="K67" i="2" s="1"/>
  <c r="L67" i="2" s="1"/>
  <c r="G271" i="2"/>
  <c r="G273" i="2"/>
  <c r="G272" i="2"/>
  <c r="G303" i="2"/>
  <c r="H299" i="2" s="1"/>
  <c r="F303" i="2"/>
  <c r="G292" i="2"/>
  <c r="G291" i="2"/>
  <c r="G290" i="2"/>
  <c r="G287" i="2"/>
  <c r="G286" i="2"/>
  <c r="G285" i="2"/>
  <c r="G259" i="2"/>
  <c r="G258" i="2"/>
  <c r="G257" i="2"/>
  <c r="G206" i="2"/>
  <c r="H197" i="2"/>
  <c r="G227" i="2"/>
  <c r="F227" i="2"/>
  <c r="H190" i="2"/>
  <c r="G229" i="2"/>
  <c r="F229" i="2"/>
  <c r="F228" i="2"/>
  <c r="G99" i="2"/>
  <c r="H99" i="2" s="1"/>
  <c r="I99" i="2" s="1"/>
  <c r="J99" i="2" s="1"/>
  <c r="K99" i="2" s="1"/>
  <c r="L99" i="2" s="1"/>
  <c r="H84" i="2"/>
  <c r="I84" i="2" s="1"/>
  <c r="J84" i="2" s="1"/>
  <c r="K84" i="2" s="1"/>
  <c r="L84" i="2" s="1"/>
  <c r="H83" i="2"/>
  <c r="I83" i="2" s="1"/>
  <c r="J83" i="2" s="1"/>
  <c r="K83" i="2" s="1"/>
  <c r="L83" i="2" s="1"/>
  <c r="H500" i="2"/>
  <c r="H506" i="2" s="1"/>
  <c r="L390" i="2"/>
  <c r="K390" i="2"/>
  <c r="J390" i="2"/>
  <c r="I390" i="2"/>
  <c r="H390" i="2"/>
  <c r="F243" i="2"/>
  <c r="G243" i="2" s="1"/>
  <c r="H243" i="2" s="1"/>
  <c r="I243" i="2" s="1"/>
  <c r="J243" i="2" s="1"/>
  <c r="K243" i="2" s="1"/>
  <c r="L243" i="2" s="1"/>
  <c r="F316" i="2"/>
  <c r="G316" i="2" s="1"/>
  <c r="H316" i="2" s="1"/>
  <c r="I316" i="2" s="1"/>
  <c r="J316" i="2" s="1"/>
  <c r="K316" i="2" s="1"/>
  <c r="L316" i="2" s="1"/>
  <c r="F354" i="2"/>
  <c r="G354" i="2" s="1"/>
  <c r="H354" i="2" s="1"/>
  <c r="F407" i="2"/>
  <c r="G407" i="2" s="1"/>
  <c r="H407" i="2" s="1"/>
  <c r="F469" i="2"/>
  <c r="G469" i="2" s="1"/>
  <c r="H469" i="2" s="1"/>
  <c r="I469" i="2" s="1"/>
  <c r="J469" i="2" s="1"/>
  <c r="K469" i="2" s="1"/>
  <c r="L469" i="2" s="1"/>
  <c r="I457" i="2"/>
  <c r="J457" i="2" s="1"/>
  <c r="K457" i="2" s="1"/>
  <c r="L457" i="2" s="1"/>
  <c r="H427" i="2"/>
  <c r="I379" i="2"/>
  <c r="H379" i="2"/>
  <c r="H378" i="2"/>
  <c r="G222" i="2"/>
  <c r="F222" i="2"/>
  <c r="F230" i="2" s="1"/>
  <c r="G327" i="2"/>
  <c r="F327" i="2"/>
  <c r="G197" i="2"/>
  <c r="G215" i="2"/>
  <c r="H211" i="2"/>
  <c r="G211" i="2"/>
  <c r="G75" i="2"/>
  <c r="F75" i="2"/>
  <c r="B5" i="1"/>
  <c r="L3" i="3"/>
  <c r="L562" i="2"/>
  <c r="L526" i="2"/>
  <c r="L466" i="2"/>
  <c r="L404" i="2"/>
  <c r="L351" i="2"/>
  <c r="L313" i="2"/>
  <c r="L240" i="2"/>
  <c r="L182" i="2"/>
  <c r="L138" i="2"/>
  <c r="L96" i="2"/>
  <c r="L43" i="2"/>
  <c r="L4" i="2"/>
  <c r="L24" i="3"/>
  <c r="K24" i="3"/>
  <c r="J24" i="3"/>
  <c r="I24" i="3"/>
  <c r="H24" i="3"/>
  <c r="L19" i="3"/>
  <c r="K19" i="3"/>
  <c r="J19" i="3"/>
  <c r="I19" i="3"/>
  <c r="H19" i="3"/>
  <c r="L38" i="3"/>
  <c r="K38" i="3"/>
  <c r="J38" i="3"/>
  <c r="I38" i="3"/>
  <c r="H38" i="3"/>
  <c r="H33" i="3"/>
  <c r="H198" i="2" s="1"/>
  <c r="L33" i="3"/>
  <c r="L198" i="2" s="1"/>
  <c r="L253" i="2" s="1"/>
  <c r="K33" i="3"/>
  <c r="K198" i="2" s="1"/>
  <c r="K253" i="2" s="1"/>
  <c r="J33" i="3"/>
  <c r="J198" i="2" s="1"/>
  <c r="J253" i="2" s="1"/>
  <c r="I33" i="3"/>
  <c r="I198" i="2" s="1"/>
  <c r="I253" i="2" s="1"/>
  <c r="L14" i="3"/>
  <c r="K14" i="3"/>
  <c r="J14" i="3"/>
  <c r="I14" i="3"/>
  <c r="H14" i="3"/>
  <c r="B2" i="3"/>
  <c r="H512" i="2"/>
  <c r="L149" i="2"/>
  <c r="K149" i="2"/>
  <c r="J149" i="2"/>
  <c r="I149" i="2"/>
  <c r="H149" i="2"/>
  <c r="H130" i="2"/>
  <c r="L579" i="2"/>
  <c r="L127" i="2" s="1"/>
  <c r="K579" i="2"/>
  <c r="K127" i="2" s="1"/>
  <c r="J579" i="2"/>
  <c r="J127" i="2" s="1"/>
  <c r="I579" i="2"/>
  <c r="I127" i="2" s="1"/>
  <c r="H579" i="2"/>
  <c r="H127" i="2" s="1"/>
  <c r="L580" i="2"/>
  <c r="K580" i="2"/>
  <c r="J580" i="2"/>
  <c r="I580" i="2"/>
  <c r="H580" i="2"/>
  <c r="G581" i="2"/>
  <c r="H576" i="2" s="1"/>
  <c r="H565" i="2"/>
  <c r="I565" i="2" s="1"/>
  <c r="J565" i="2" s="1"/>
  <c r="K565" i="2" s="1"/>
  <c r="L565" i="2" s="1"/>
  <c r="B561" i="2"/>
  <c r="H85" i="2"/>
  <c r="I85" i="2" s="1"/>
  <c r="J85" i="2" s="1"/>
  <c r="K85" i="2" s="1"/>
  <c r="L85" i="2" s="1"/>
  <c r="H82" i="2"/>
  <c r="I82" i="2" s="1"/>
  <c r="J82" i="2" s="1"/>
  <c r="K82" i="2" s="1"/>
  <c r="L82" i="2" s="1"/>
  <c r="H81" i="2"/>
  <c r="I81" i="2" s="1"/>
  <c r="J81" i="2" s="1"/>
  <c r="K81" i="2" s="1"/>
  <c r="L81" i="2" s="1"/>
  <c r="H529" i="2"/>
  <c r="I529" i="2" s="1"/>
  <c r="J529" i="2" s="1"/>
  <c r="K529" i="2" s="1"/>
  <c r="L529" i="2" s="1"/>
  <c r="B525" i="2"/>
  <c r="L500" i="2"/>
  <c r="K500" i="2"/>
  <c r="J500" i="2"/>
  <c r="I500" i="2"/>
  <c r="I498" i="2"/>
  <c r="J498" i="2" s="1"/>
  <c r="K498" i="2" s="1"/>
  <c r="L498" i="2" s="1"/>
  <c r="I497" i="2"/>
  <c r="J497" i="2" s="1"/>
  <c r="K497" i="2" s="1"/>
  <c r="L497" i="2" s="1"/>
  <c r="H491" i="2"/>
  <c r="G492" i="2"/>
  <c r="H504" i="2" s="1"/>
  <c r="H507" i="2" s="1"/>
  <c r="H472" i="2"/>
  <c r="G336" i="2"/>
  <c r="F336" i="2"/>
  <c r="G335" i="2"/>
  <c r="F335" i="2"/>
  <c r="G326" i="2"/>
  <c r="F326" i="2"/>
  <c r="F328" i="2" s="1"/>
  <c r="G324" i="2"/>
  <c r="F324" i="2"/>
  <c r="G323" i="2"/>
  <c r="F323" i="2"/>
  <c r="B312" i="2"/>
  <c r="B465" i="2"/>
  <c r="H456" i="2"/>
  <c r="H458" i="2" s="1"/>
  <c r="G414" i="2"/>
  <c r="F414" i="2"/>
  <c r="G411" i="2"/>
  <c r="F411" i="2"/>
  <c r="B403" i="2"/>
  <c r="B350" i="2"/>
  <c r="B239" i="2"/>
  <c r="B181" i="2"/>
  <c r="G72" i="2"/>
  <c r="F72" i="2"/>
  <c r="B137" i="2"/>
  <c r="B95" i="2"/>
  <c r="G55" i="2"/>
  <c r="F55" i="2"/>
  <c r="F62" i="2" s="1"/>
  <c r="B42" i="2"/>
  <c r="B3" i="2"/>
  <c r="H46" i="2"/>
  <c r="I46" i="2" s="1"/>
  <c r="J46" i="2" s="1"/>
  <c r="K46" i="2" s="1"/>
  <c r="L46" i="2" s="1"/>
  <c r="G27" i="2"/>
  <c r="F27" i="2"/>
  <c r="G12" i="2"/>
  <c r="F12" i="2"/>
  <c r="F13" i="2" s="1"/>
  <c r="H7" i="2"/>
  <c r="I7" i="2" s="1"/>
  <c r="J7" i="2" s="1"/>
  <c r="K7" i="2" s="1"/>
  <c r="L7" i="2" s="1"/>
  <c r="L256" i="2" l="1"/>
  <c r="L284" i="2"/>
  <c r="L270" i="2"/>
  <c r="K270" i="2"/>
  <c r="K284" i="2"/>
  <c r="K256" i="2"/>
  <c r="J256" i="2"/>
  <c r="J270" i="2"/>
  <c r="J284" i="2"/>
  <c r="I256" i="2"/>
  <c r="I270" i="2"/>
  <c r="I284" i="2"/>
  <c r="H284" i="2"/>
  <c r="H256" i="2"/>
  <c r="H270" i="2"/>
  <c r="L255" i="2"/>
  <c r="L269" i="2"/>
  <c r="L283" i="2"/>
  <c r="K255" i="2"/>
  <c r="K269" i="2"/>
  <c r="K283" i="2"/>
  <c r="J255" i="2"/>
  <c r="J269" i="2"/>
  <c r="J283" i="2"/>
  <c r="I283" i="2"/>
  <c r="I255" i="2"/>
  <c r="I269" i="2"/>
  <c r="H269" i="2"/>
  <c r="H255" i="2"/>
  <c r="H283" i="2"/>
  <c r="H286" i="2" s="1"/>
  <c r="H253" i="2"/>
  <c r="H258" i="2" s="1"/>
  <c r="H200" i="2"/>
  <c r="H206" i="2" s="1"/>
  <c r="H228" i="2" s="1"/>
  <c r="L300" i="2"/>
  <c r="L282" i="2"/>
  <c r="L268" i="2"/>
  <c r="L254" i="2"/>
  <c r="K300" i="2"/>
  <c r="K268" i="2"/>
  <c r="K282" i="2"/>
  <c r="K254" i="2"/>
  <c r="J254" i="2"/>
  <c r="J300" i="2"/>
  <c r="J268" i="2"/>
  <c r="J282" i="2"/>
  <c r="I300" i="2"/>
  <c r="I282" i="2"/>
  <c r="I268" i="2"/>
  <c r="I254" i="2"/>
  <c r="H254" i="2"/>
  <c r="H268" i="2"/>
  <c r="H282" i="2"/>
  <c r="H300" i="2"/>
  <c r="H214" i="2"/>
  <c r="I286" i="2"/>
  <c r="J286" i="2" s="1"/>
  <c r="K286" i="2" s="1"/>
  <c r="L286" i="2" s="1"/>
  <c r="G328" i="2"/>
  <c r="H539" i="2"/>
  <c r="H556" i="2" s="1"/>
  <c r="I76" i="2"/>
  <c r="J76" i="2" s="1"/>
  <c r="K76" i="2" s="1"/>
  <c r="L76" i="2" s="1"/>
  <c r="H259" i="2"/>
  <c r="I259" i="2" s="1"/>
  <c r="J259" i="2" s="1"/>
  <c r="K259" i="2" s="1"/>
  <c r="L259" i="2" s="1"/>
  <c r="I258" i="2"/>
  <c r="J258" i="2" s="1"/>
  <c r="K258" i="2" s="1"/>
  <c r="L258" i="2" s="1"/>
  <c r="H257" i="2"/>
  <c r="I257" i="2" s="1"/>
  <c r="J257" i="2" s="1"/>
  <c r="K257" i="2" s="1"/>
  <c r="L257" i="2" s="1"/>
  <c r="H271" i="2"/>
  <c r="I271" i="2" s="1"/>
  <c r="J271" i="2" s="1"/>
  <c r="K271" i="2" s="1"/>
  <c r="L271" i="2" s="1"/>
  <c r="H273" i="2"/>
  <c r="I273" i="2" s="1"/>
  <c r="J273" i="2" s="1"/>
  <c r="K273" i="2" s="1"/>
  <c r="L273" i="2" s="1"/>
  <c r="H272" i="2"/>
  <c r="I272" i="2" s="1"/>
  <c r="J272" i="2" s="1"/>
  <c r="K272" i="2" s="1"/>
  <c r="L272" i="2" s="1"/>
  <c r="H287" i="2"/>
  <c r="I287" i="2" s="1"/>
  <c r="J287" i="2" s="1"/>
  <c r="K287" i="2" s="1"/>
  <c r="L287" i="2" s="1"/>
  <c r="H285" i="2"/>
  <c r="I285" i="2" s="1"/>
  <c r="J285" i="2" s="1"/>
  <c r="K285" i="2" s="1"/>
  <c r="L285" i="2" s="1"/>
  <c r="G293" i="2"/>
  <c r="I197" i="2"/>
  <c r="I200" i="2" s="1"/>
  <c r="G228" i="2"/>
  <c r="G207" i="2"/>
  <c r="I190" i="2"/>
  <c r="I193" i="2" s="1"/>
  <c r="H227" i="2"/>
  <c r="G201" i="2"/>
  <c r="G223" i="2"/>
  <c r="G230" i="2"/>
  <c r="H219" i="2"/>
  <c r="F231" i="2"/>
  <c r="F235" i="2" s="1"/>
  <c r="F341" i="2"/>
  <c r="H451" i="2"/>
  <c r="G341" i="2"/>
  <c r="H341" i="2" s="1"/>
  <c r="I341" i="2" s="1"/>
  <c r="J341" i="2" s="1"/>
  <c r="K341" i="2" s="1"/>
  <c r="L341" i="2" s="1"/>
  <c r="H372" i="2"/>
  <c r="J379" i="2"/>
  <c r="G346" i="2"/>
  <c r="H346" i="2" s="1"/>
  <c r="I346" i="2" s="1"/>
  <c r="J346" i="2" s="1"/>
  <c r="K346" i="2" s="1"/>
  <c r="L346" i="2" s="1"/>
  <c r="F346" i="2"/>
  <c r="G166" i="2"/>
  <c r="G80" i="2"/>
  <c r="G87" i="2" s="1"/>
  <c r="F166" i="2"/>
  <c r="F80" i="2"/>
  <c r="F87" i="2" s="1"/>
  <c r="G344" i="2"/>
  <c r="H344" i="2" s="1"/>
  <c r="I344" i="2" s="1"/>
  <c r="J344" i="2" s="1"/>
  <c r="K344" i="2" s="1"/>
  <c r="L344" i="2" s="1"/>
  <c r="G165" i="2"/>
  <c r="G164" i="2"/>
  <c r="F165" i="2"/>
  <c r="F164" i="2"/>
  <c r="F344" i="2"/>
  <c r="I491" i="2"/>
  <c r="G343" i="2"/>
  <c r="F343" i="2"/>
  <c r="G345" i="2"/>
  <c r="G340" i="2"/>
  <c r="H340" i="2" s="1"/>
  <c r="F345" i="2"/>
  <c r="F340" i="2"/>
  <c r="G339" i="2"/>
  <c r="H339" i="2" s="1"/>
  <c r="F339" i="2"/>
  <c r="G325" i="2"/>
  <c r="G338" i="2"/>
  <c r="H338" i="2" s="1"/>
  <c r="F325" i="2"/>
  <c r="F329" i="2" s="1"/>
  <c r="F338" i="2"/>
  <c r="H432" i="2"/>
  <c r="I407" i="2"/>
  <c r="H393" i="2"/>
  <c r="G62" i="2"/>
  <c r="I354" i="2"/>
  <c r="G16" i="2"/>
  <c r="G153" i="2" s="1"/>
  <c r="G13" i="2"/>
  <c r="F16" i="2"/>
  <c r="H229" i="2" l="1"/>
  <c r="H215" i="2"/>
  <c r="I211" i="2"/>
  <c r="I214" i="2" s="1"/>
  <c r="G329" i="2"/>
  <c r="H61" i="2"/>
  <c r="I553" i="2" s="1"/>
  <c r="H78" i="2"/>
  <c r="H274" i="2"/>
  <c r="H291" i="2" s="1"/>
  <c r="H260" i="2"/>
  <c r="H290" i="2" s="1"/>
  <c r="I274" i="2"/>
  <c r="I291" i="2" s="1"/>
  <c r="G231" i="2"/>
  <c r="I206" i="2"/>
  <c r="J197" i="2"/>
  <c r="J200" i="2" s="1"/>
  <c r="I227" i="2"/>
  <c r="J190" i="2"/>
  <c r="J193" i="2" s="1"/>
  <c r="H201" i="2"/>
  <c r="H222" i="2"/>
  <c r="I219" i="2" s="1"/>
  <c r="F236" i="2"/>
  <c r="F237" i="2"/>
  <c r="I451" i="2"/>
  <c r="I372" i="2"/>
  <c r="K379" i="2"/>
  <c r="J211" i="2"/>
  <c r="J214" i="2" s="1"/>
  <c r="J229" i="2" s="1"/>
  <c r="F153" i="2"/>
  <c r="F29" i="2"/>
  <c r="I389" i="2"/>
  <c r="I385" i="2" s="1"/>
  <c r="I387" i="2" s="1"/>
  <c r="I391" i="2" s="1"/>
  <c r="F88" i="2"/>
  <c r="G88" i="2"/>
  <c r="F23" i="2"/>
  <c r="F154" i="2" s="1"/>
  <c r="G154" i="2"/>
  <c r="J491" i="2"/>
  <c r="J354" i="2"/>
  <c r="I339" i="2"/>
  <c r="J339" i="2" s="1"/>
  <c r="I340" i="2"/>
  <c r="I338" i="2"/>
  <c r="J407" i="2"/>
  <c r="I427" i="2"/>
  <c r="J427" i="2" s="1"/>
  <c r="K427" i="2" s="1"/>
  <c r="L427" i="2" s="1"/>
  <c r="G17" i="2"/>
  <c r="G146" i="2" s="1"/>
  <c r="G29" i="2"/>
  <c r="F17" i="2"/>
  <c r="F146" i="2" s="1"/>
  <c r="I229" i="2" l="1"/>
  <c r="I215" i="2"/>
  <c r="I552" i="2"/>
  <c r="I554" i="2" s="1"/>
  <c r="I556" i="2" s="1"/>
  <c r="I78" i="2" s="1"/>
  <c r="J552" i="2" s="1"/>
  <c r="H397" i="2"/>
  <c r="H70" i="2" s="1"/>
  <c r="I395" i="2"/>
  <c r="I125" i="2" s="1"/>
  <c r="I260" i="2"/>
  <c r="I290" i="2" s="1"/>
  <c r="H288" i="2"/>
  <c r="H292" i="2" s="1"/>
  <c r="H293" i="2" s="1"/>
  <c r="H11" i="2" s="1"/>
  <c r="G235" i="2"/>
  <c r="G237" i="2"/>
  <c r="J274" i="2"/>
  <c r="J291" i="2" s="1"/>
  <c r="J260" i="2"/>
  <c r="J290" i="2" s="1"/>
  <c r="G232" i="2"/>
  <c r="G236" i="2"/>
  <c r="J206" i="2"/>
  <c r="K197" i="2"/>
  <c r="K200" i="2" s="1"/>
  <c r="H207" i="2"/>
  <c r="J227" i="2"/>
  <c r="K190" i="2"/>
  <c r="K193" i="2" s="1"/>
  <c r="I201" i="2"/>
  <c r="I228" i="2"/>
  <c r="I222" i="2"/>
  <c r="I223" i="2" s="1"/>
  <c r="H230" i="2"/>
  <c r="H223" i="2"/>
  <c r="I207" i="2"/>
  <c r="I393" i="2"/>
  <c r="J389" i="2" s="1"/>
  <c r="J451" i="2"/>
  <c r="K451" i="2" s="1"/>
  <c r="L451" i="2" s="1"/>
  <c r="J372" i="2"/>
  <c r="K372" i="2" s="1"/>
  <c r="L372" i="2" s="1"/>
  <c r="C366" i="2" a="1"/>
  <c r="L379" i="2"/>
  <c r="J215" i="2"/>
  <c r="K211" i="2"/>
  <c r="K214" i="2" s="1"/>
  <c r="K229" i="2" s="1"/>
  <c r="K354" i="2"/>
  <c r="F24" i="2"/>
  <c r="F147" i="2"/>
  <c r="G24" i="2"/>
  <c r="G147" i="2"/>
  <c r="G32" i="2"/>
  <c r="G33" i="2" s="1"/>
  <c r="G148" i="2" s="1"/>
  <c r="G534" i="2"/>
  <c r="G536" i="2" s="1"/>
  <c r="G149" i="2" s="1"/>
  <c r="F32" i="2"/>
  <c r="F33" i="2" s="1"/>
  <c r="F148" i="2" s="1"/>
  <c r="F534" i="2"/>
  <c r="F536" i="2" s="1"/>
  <c r="F149" i="2" s="1"/>
  <c r="K491" i="2"/>
  <c r="J340" i="2"/>
  <c r="K339" i="2"/>
  <c r="J338" i="2"/>
  <c r="K407" i="2"/>
  <c r="I61" i="2" l="1"/>
  <c r="J553" i="2" s="1"/>
  <c r="I288" i="2"/>
  <c r="I292" i="2" s="1"/>
  <c r="I293" i="2" s="1"/>
  <c r="I11" i="2" s="1"/>
  <c r="L274" i="2"/>
  <c r="L291" i="2" s="1"/>
  <c r="K274" i="2"/>
  <c r="K291" i="2" s="1"/>
  <c r="K260" i="2"/>
  <c r="K290" i="2" s="1"/>
  <c r="L260" i="2"/>
  <c r="L290" i="2" s="1"/>
  <c r="H231" i="2"/>
  <c r="H235" i="2" s="1"/>
  <c r="K206" i="2"/>
  <c r="L197" i="2"/>
  <c r="L200" i="2" s="1"/>
  <c r="L206" i="2" s="1"/>
  <c r="K227" i="2"/>
  <c r="L190" i="2"/>
  <c r="L193" i="2" s="1"/>
  <c r="L227" i="2" s="1"/>
  <c r="J201" i="2"/>
  <c r="I230" i="2"/>
  <c r="I231" i="2" s="1"/>
  <c r="I235" i="2" s="1"/>
  <c r="J219" i="2"/>
  <c r="J228" i="2"/>
  <c r="J207" i="2"/>
  <c r="K215" i="2"/>
  <c r="L211" i="2"/>
  <c r="L214" i="2" s="1"/>
  <c r="L354" i="2"/>
  <c r="B366" i="2" s="1" a="1"/>
  <c r="J385" i="2"/>
  <c r="J387" i="2" s="1"/>
  <c r="J391" i="2" s="1"/>
  <c r="H398" i="2"/>
  <c r="H79" i="2" s="1"/>
  <c r="L491" i="2"/>
  <c r="K340" i="2"/>
  <c r="L339" i="2"/>
  <c r="K338" i="2"/>
  <c r="L407" i="2"/>
  <c r="J554" i="2" l="1"/>
  <c r="I397" i="2"/>
  <c r="I70" i="2" s="1"/>
  <c r="J395" i="2"/>
  <c r="J125" i="2" s="1"/>
  <c r="J222" i="2"/>
  <c r="J223" i="2" s="1"/>
  <c r="H237" i="2"/>
  <c r="H236" i="2"/>
  <c r="H10" i="2"/>
  <c r="H413" i="2" s="1"/>
  <c r="H232" i="2"/>
  <c r="H301" i="2" s="1"/>
  <c r="H303" i="2" s="1"/>
  <c r="K201" i="2"/>
  <c r="I10" i="2"/>
  <c r="I474" i="2" s="1"/>
  <c r="I236" i="2"/>
  <c r="I237" i="2"/>
  <c r="I232" i="2"/>
  <c r="I301" i="2" s="1"/>
  <c r="J393" i="2"/>
  <c r="K389" i="2" s="1"/>
  <c r="L215" i="2"/>
  <c r="L229" i="2"/>
  <c r="L370" i="2"/>
  <c r="J368" i="2"/>
  <c r="K368" i="2" s="1"/>
  <c r="L368" i="2" s="1"/>
  <c r="I367" i="2"/>
  <c r="J367" i="2" s="1"/>
  <c r="K367" i="2" s="1"/>
  <c r="L367" i="2" s="1"/>
  <c r="H366" i="2"/>
  <c r="H371" i="2" s="1"/>
  <c r="K369" i="2"/>
  <c r="L369" i="2" s="1"/>
  <c r="B421" i="2" a="1"/>
  <c r="B445" i="2" a="1"/>
  <c r="L340" i="2"/>
  <c r="L338" i="2"/>
  <c r="H118" i="2" l="1"/>
  <c r="H459" i="2"/>
  <c r="I299" i="2"/>
  <c r="I303" i="2" s="1"/>
  <c r="H15" i="2"/>
  <c r="K219" i="2"/>
  <c r="K222" i="2" s="1"/>
  <c r="J230" i="2"/>
  <c r="J231" i="2" s="1"/>
  <c r="H474" i="2"/>
  <c r="K228" i="2"/>
  <c r="K207" i="2"/>
  <c r="L201" i="2"/>
  <c r="L228" i="2"/>
  <c r="L207" i="2"/>
  <c r="K385" i="2"/>
  <c r="K387" i="2" s="1"/>
  <c r="K391" i="2" s="1"/>
  <c r="K395" i="2" s="1"/>
  <c r="K125" i="2" s="1"/>
  <c r="H373" i="2"/>
  <c r="I366" i="2"/>
  <c r="I398" i="2"/>
  <c r="I79" i="2" s="1"/>
  <c r="I15" i="2" l="1"/>
  <c r="J299" i="2"/>
  <c r="K223" i="2"/>
  <c r="L219" i="2"/>
  <c r="L222" i="2" s="1"/>
  <c r="K230" i="2"/>
  <c r="K231" i="2" s="1"/>
  <c r="J288" i="2"/>
  <c r="J292" i="2" s="1"/>
  <c r="J293" i="2" s="1"/>
  <c r="J11" i="2" s="1"/>
  <c r="J232" i="2"/>
  <c r="J301" i="2" s="1"/>
  <c r="J235" i="2"/>
  <c r="J237" i="2"/>
  <c r="J10" i="2"/>
  <c r="J474" i="2" s="1"/>
  <c r="J236" i="2"/>
  <c r="J397" i="2"/>
  <c r="K393" i="2"/>
  <c r="L389" i="2" s="1"/>
  <c r="L385" i="2" s="1"/>
  <c r="L387" i="2" s="1"/>
  <c r="L391" i="2" s="1"/>
  <c r="L395" i="2" s="1"/>
  <c r="L125" i="2" s="1"/>
  <c r="H380" i="2"/>
  <c r="H381" i="2" s="1"/>
  <c r="H20" i="2"/>
  <c r="H106" i="2" s="1"/>
  <c r="I371" i="2"/>
  <c r="I373" i="2" s="1"/>
  <c r="J366" i="2"/>
  <c r="H335" i="2"/>
  <c r="H475" i="2"/>
  <c r="H410" i="2"/>
  <c r="H117" i="2" s="1"/>
  <c r="L223" i="2" l="1"/>
  <c r="L230" i="2"/>
  <c r="I378" i="2"/>
  <c r="H60" i="2"/>
  <c r="J303" i="2"/>
  <c r="K288" i="2"/>
  <c r="K292" i="2" s="1"/>
  <c r="K293" i="2" s="1"/>
  <c r="K11" i="2" s="1"/>
  <c r="K232" i="2"/>
  <c r="K301" i="2" s="1"/>
  <c r="K235" i="2"/>
  <c r="K237" i="2"/>
  <c r="K236" i="2"/>
  <c r="K10" i="2"/>
  <c r="K474" i="2" s="1"/>
  <c r="J398" i="2"/>
  <c r="J79" i="2" s="1"/>
  <c r="J70" i="2"/>
  <c r="I380" i="2"/>
  <c r="I20" i="2"/>
  <c r="I106" i="2" s="1"/>
  <c r="L393" i="2"/>
  <c r="K397" i="2"/>
  <c r="K70" i="2" s="1"/>
  <c r="H323" i="2"/>
  <c r="H327" i="2"/>
  <c r="H68" i="2" s="1"/>
  <c r="J371" i="2"/>
  <c r="J373" i="2" s="1"/>
  <c r="K366" i="2"/>
  <c r="H119" i="2"/>
  <c r="H433" i="2"/>
  <c r="I335" i="2"/>
  <c r="I410" i="2"/>
  <c r="I117" i="2" s="1"/>
  <c r="I413" i="2"/>
  <c r="I118" i="2" s="1"/>
  <c r="L231" i="2" l="1"/>
  <c r="L237" i="2" s="1"/>
  <c r="I381" i="2"/>
  <c r="K299" i="2"/>
  <c r="K303" i="2" s="1"/>
  <c r="J15" i="2"/>
  <c r="L288" i="2"/>
  <c r="L292" i="2" s="1"/>
  <c r="L293" i="2" s="1"/>
  <c r="L11" i="2" s="1"/>
  <c r="J380" i="2"/>
  <c r="J20" i="2"/>
  <c r="J106" i="2" s="1"/>
  <c r="K398" i="2"/>
  <c r="K79" i="2" s="1"/>
  <c r="L397" i="2"/>
  <c r="H52" i="2"/>
  <c r="H343" i="2"/>
  <c r="L366" i="2"/>
  <c r="L371" i="2" s="1"/>
  <c r="L373" i="2" s="1"/>
  <c r="K371" i="2"/>
  <c r="K373" i="2" s="1"/>
  <c r="I323" i="2"/>
  <c r="I327" i="2"/>
  <c r="I68" i="2" s="1"/>
  <c r="I119" i="2"/>
  <c r="I433" i="2"/>
  <c r="I459" i="2"/>
  <c r="J335" i="2"/>
  <c r="J410" i="2"/>
  <c r="J117" i="2" s="1"/>
  <c r="J413" i="2"/>
  <c r="J118" i="2" s="1"/>
  <c r="I60" i="2" l="1"/>
  <c r="J378" i="2"/>
  <c r="J381" i="2" s="1"/>
  <c r="L235" i="2"/>
  <c r="L10" i="2"/>
  <c r="L413" i="2" s="1"/>
  <c r="L118" i="2" s="1"/>
  <c r="L236" i="2"/>
  <c r="L232" i="2"/>
  <c r="L301" i="2" s="1"/>
  <c r="L299" i="2"/>
  <c r="K15" i="2"/>
  <c r="L398" i="2"/>
  <c r="L79" i="2" s="1"/>
  <c r="L70" i="2"/>
  <c r="L380" i="2"/>
  <c r="L20" i="2"/>
  <c r="L106" i="2" s="1"/>
  <c r="K380" i="2"/>
  <c r="K20" i="2"/>
  <c r="K106" i="2" s="1"/>
  <c r="I52" i="2"/>
  <c r="I343" i="2"/>
  <c r="J323" i="2"/>
  <c r="J327" i="2"/>
  <c r="J68" i="2" s="1"/>
  <c r="J119" i="2"/>
  <c r="J433" i="2"/>
  <c r="J459" i="2"/>
  <c r="K335" i="2"/>
  <c r="K410" i="2"/>
  <c r="K117" i="2" s="1"/>
  <c r="K413" i="2"/>
  <c r="K118" i="2" s="1"/>
  <c r="L303" i="2" l="1"/>
  <c r="L15" i="2" s="1"/>
  <c r="L474" i="2"/>
  <c r="L335" i="2"/>
  <c r="L410" i="2"/>
  <c r="K378" i="2"/>
  <c r="K381" i="2" s="1"/>
  <c r="J60" i="2"/>
  <c r="J343" i="2"/>
  <c r="J52" i="2"/>
  <c r="K323" i="2"/>
  <c r="K327" i="2"/>
  <c r="K68" i="2" s="1"/>
  <c r="K119" i="2"/>
  <c r="L459" i="2"/>
  <c r="K433" i="2"/>
  <c r="C445" i="2" a="1"/>
  <c r="K459" i="2"/>
  <c r="L327" i="2" l="1"/>
  <c r="L68" i="2" s="1"/>
  <c r="L323" i="2"/>
  <c r="L117" i="2"/>
  <c r="L119" i="2" s="1"/>
  <c r="L433" i="2"/>
  <c r="C421" i="2" a="1"/>
  <c r="L378" i="2"/>
  <c r="L381" i="2" s="1"/>
  <c r="L60" i="2" s="1"/>
  <c r="K60" i="2"/>
  <c r="K343" i="2"/>
  <c r="K52" i="2"/>
  <c r="I446" i="2"/>
  <c r="K448" i="2"/>
  <c r="L448" i="2" s="1"/>
  <c r="J447" i="2"/>
  <c r="K447" i="2" s="1"/>
  <c r="L447" i="2" s="1"/>
  <c r="L449" i="2"/>
  <c r="H445" i="2"/>
  <c r="K424" i="2" l="1"/>
  <c r="L424" i="2" s="1"/>
  <c r="I422" i="2"/>
  <c r="J422" i="2" s="1"/>
  <c r="K422" i="2" s="1"/>
  <c r="L422" i="2" s="1"/>
  <c r="L52" i="2"/>
  <c r="L343" i="2"/>
  <c r="H421" i="2"/>
  <c r="J423" i="2"/>
  <c r="K423" i="2" s="1"/>
  <c r="L423" i="2" s="1"/>
  <c r="L425" i="2"/>
  <c r="J446" i="2"/>
  <c r="K446" i="2" s="1"/>
  <c r="L446" i="2" s="1"/>
  <c r="I445" i="2"/>
  <c r="H450" i="2"/>
  <c r="H452" i="2" s="1"/>
  <c r="H21" i="2" s="1"/>
  <c r="H107" i="2" s="1"/>
  <c r="H426" i="2" l="1"/>
  <c r="H428" i="2" s="1"/>
  <c r="I421" i="2"/>
  <c r="H460" i="2"/>
  <c r="H461" i="2" s="1"/>
  <c r="H462" i="2" s="1"/>
  <c r="J445" i="2"/>
  <c r="K445" i="2" s="1"/>
  <c r="L445" i="2" s="1"/>
  <c r="I450" i="2"/>
  <c r="I452" i="2" s="1"/>
  <c r="I21" i="2" s="1"/>
  <c r="I107" i="2" s="1"/>
  <c r="J421" i="2" l="1"/>
  <c r="I426" i="2"/>
  <c r="I428" i="2" s="1"/>
  <c r="H19" i="2"/>
  <c r="H434" i="2"/>
  <c r="H435" i="2" s="1"/>
  <c r="I456" i="2"/>
  <c r="I458" i="2" s="1"/>
  <c r="H59" i="2"/>
  <c r="I460" i="2"/>
  <c r="J450" i="2"/>
  <c r="J452" i="2" s="1"/>
  <c r="J21" i="2" s="1"/>
  <c r="J107" i="2" s="1"/>
  <c r="K450" i="2"/>
  <c r="K452" i="2" s="1"/>
  <c r="K21" i="2" s="1"/>
  <c r="K107" i="2" s="1"/>
  <c r="L450" i="2"/>
  <c r="L452" i="2" s="1"/>
  <c r="L21" i="2" s="1"/>
  <c r="L107" i="2" s="1"/>
  <c r="J426" i="2" l="1"/>
  <c r="J428" i="2" s="1"/>
  <c r="K421" i="2"/>
  <c r="I19" i="2"/>
  <c r="I434" i="2"/>
  <c r="H105" i="2"/>
  <c r="H108" i="2" s="1"/>
  <c r="H22" i="2"/>
  <c r="H58" i="2"/>
  <c r="I432" i="2"/>
  <c r="I461" i="2"/>
  <c r="I462" i="2" s="1"/>
  <c r="J460" i="2"/>
  <c r="K460" i="2"/>
  <c r="L460" i="2"/>
  <c r="L421" i="2" l="1"/>
  <c r="L426" i="2" s="1"/>
  <c r="L428" i="2" s="1"/>
  <c r="K426" i="2"/>
  <c r="K428" i="2" s="1"/>
  <c r="J19" i="2"/>
  <c r="J434" i="2"/>
  <c r="I22" i="2"/>
  <c r="I105" i="2"/>
  <c r="I108" i="2" s="1"/>
  <c r="I435" i="2"/>
  <c r="J456" i="2"/>
  <c r="J458" i="2" s="1"/>
  <c r="J461" i="2" s="1"/>
  <c r="J462" i="2" s="1"/>
  <c r="I59" i="2"/>
  <c r="H336" i="2"/>
  <c r="H12" i="2"/>
  <c r="L19" i="2" l="1"/>
  <c r="L434" i="2"/>
  <c r="K19" i="2"/>
  <c r="K434" i="2"/>
  <c r="J105" i="2"/>
  <c r="J108" i="2" s="1"/>
  <c r="J22" i="2"/>
  <c r="I58" i="2"/>
  <c r="J432" i="2"/>
  <c r="J435" i="2" s="1"/>
  <c r="K456" i="2"/>
  <c r="K458" i="2" s="1"/>
  <c r="K461" i="2" s="1"/>
  <c r="K462" i="2" s="1"/>
  <c r="J59" i="2"/>
  <c r="H13" i="2"/>
  <c r="H16" i="2"/>
  <c r="I12" i="2"/>
  <c r="I336" i="2"/>
  <c r="H326" i="2"/>
  <c r="H324" i="2"/>
  <c r="L22" i="2" l="1"/>
  <c r="L105" i="2"/>
  <c r="L108" i="2" s="1"/>
  <c r="K105" i="2"/>
  <c r="K108" i="2" s="1"/>
  <c r="K22" i="2"/>
  <c r="J58" i="2"/>
  <c r="K432" i="2"/>
  <c r="K435" i="2" s="1"/>
  <c r="H23" i="2"/>
  <c r="H66" i="2"/>
  <c r="H328" i="2"/>
  <c r="L456" i="2"/>
  <c r="L458" i="2" s="1"/>
  <c r="L461" i="2" s="1"/>
  <c r="L462" i="2" s="1"/>
  <c r="L59" i="2" s="1"/>
  <c r="K59" i="2"/>
  <c r="H17" i="2"/>
  <c r="H146" i="2" s="1"/>
  <c r="L12" i="2"/>
  <c r="L336" i="2"/>
  <c r="H325" i="2"/>
  <c r="H51" i="2"/>
  <c r="I16" i="2"/>
  <c r="I13" i="2"/>
  <c r="I326" i="2"/>
  <c r="I324" i="2"/>
  <c r="H345" i="2"/>
  <c r="K12" i="2"/>
  <c r="K336" i="2"/>
  <c r="J12" i="2"/>
  <c r="J336" i="2"/>
  <c r="L432" i="2" l="1"/>
  <c r="L435" i="2" s="1"/>
  <c r="L58" i="2" s="1"/>
  <c r="K58" i="2"/>
  <c r="H329" i="2"/>
  <c r="H330" i="2" s="1"/>
  <c r="H109" i="2" s="1"/>
  <c r="I66" i="2"/>
  <c r="I328" i="2"/>
  <c r="H147" i="2"/>
  <c r="H24" i="2"/>
  <c r="L13" i="2"/>
  <c r="L16" i="2"/>
  <c r="L326" i="2"/>
  <c r="L324" i="2"/>
  <c r="I23" i="2"/>
  <c r="I17" i="2"/>
  <c r="I146" i="2" s="1"/>
  <c r="I345" i="2"/>
  <c r="I325" i="2"/>
  <c r="I51" i="2"/>
  <c r="K16" i="2"/>
  <c r="K13" i="2"/>
  <c r="K326" i="2"/>
  <c r="K324" i="2"/>
  <c r="J16" i="2"/>
  <c r="J13" i="2"/>
  <c r="J326" i="2"/>
  <c r="J324" i="2"/>
  <c r="L66" i="2" l="1"/>
  <c r="L328" i="2"/>
  <c r="K66" i="2"/>
  <c r="K328" i="2"/>
  <c r="J66" i="2"/>
  <c r="J328" i="2"/>
  <c r="I24" i="2"/>
  <c r="I147" i="2"/>
  <c r="K23" i="2"/>
  <c r="J23" i="2"/>
  <c r="L345" i="2"/>
  <c r="L51" i="2"/>
  <c r="L325" i="2"/>
  <c r="L23" i="2"/>
  <c r="L17" i="2"/>
  <c r="L146" i="2" s="1"/>
  <c r="I329" i="2"/>
  <c r="I330" i="2" s="1"/>
  <c r="I109" i="2" s="1"/>
  <c r="K325" i="2"/>
  <c r="K51" i="2"/>
  <c r="J325" i="2"/>
  <c r="J51" i="2"/>
  <c r="K345" i="2"/>
  <c r="J345" i="2"/>
  <c r="K17" i="2"/>
  <c r="K146" i="2" s="1"/>
  <c r="J17" i="2"/>
  <c r="J146" i="2" s="1"/>
  <c r="K147" i="2" l="1"/>
  <c r="K24" i="2"/>
  <c r="J147" i="2"/>
  <c r="J24" i="2"/>
  <c r="L24" i="2"/>
  <c r="L147" i="2"/>
  <c r="L329" i="2"/>
  <c r="J329" i="2"/>
  <c r="J330" i="2" s="1"/>
  <c r="J109" i="2" s="1"/>
  <c r="K329" i="2"/>
  <c r="L330" i="2" l="1"/>
  <c r="L109" i="2" s="1"/>
  <c r="K330" i="2"/>
  <c r="K109" i="2" s="1"/>
  <c r="H513" i="2" l="1"/>
  <c r="H26" i="2" s="1"/>
  <c r="J556" i="2" l="1"/>
  <c r="J78" i="2" s="1"/>
  <c r="K552" i="2" l="1"/>
  <c r="J61" i="2"/>
  <c r="K553" i="2" l="1"/>
  <c r="K554" i="2"/>
  <c r="K556" i="2" l="1"/>
  <c r="K78" i="2" s="1"/>
  <c r="K61" i="2" l="1"/>
  <c r="L553" i="2" s="1"/>
  <c r="L552" i="2"/>
  <c r="L554" i="2" l="1"/>
  <c r="L556" i="2" l="1"/>
  <c r="L78" i="2" s="1"/>
  <c r="L61" i="2" l="1"/>
  <c r="H27" i="2" l="1"/>
  <c r="H29" i="2" s="1"/>
  <c r="H534" i="2" s="1"/>
  <c r="H537" i="2" s="1"/>
  <c r="H153" i="2"/>
  <c r="H540" i="2" l="1"/>
  <c r="H545" i="2"/>
  <c r="H31" i="2"/>
  <c r="H546" i="2" l="1"/>
  <c r="H547" i="2" s="1"/>
  <c r="H111" i="2"/>
  <c r="H32" i="2"/>
  <c r="H36" i="2" s="1"/>
  <c r="H110" i="2"/>
  <c r="H104" i="2" l="1"/>
  <c r="H113" i="2" s="1"/>
  <c r="H577" i="2"/>
  <c r="H33" i="2"/>
  <c r="H148" i="2" s="1"/>
  <c r="H571" i="2"/>
  <c r="H572" i="2" s="1"/>
  <c r="H53" i="2"/>
  <c r="H69" i="2"/>
  <c r="H72" i="2" s="1"/>
  <c r="H170" i="2" l="1"/>
  <c r="H476" i="2"/>
  <c r="H477" i="2" s="1"/>
  <c r="H478" i="2" s="1"/>
  <c r="H126" i="2"/>
  <c r="H578" i="2"/>
  <c r="H581" i="2" s="1"/>
  <c r="I544" i="2"/>
  <c r="H172" i="2" l="1"/>
  <c r="H171" i="2"/>
  <c r="H481" i="2"/>
  <c r="H488" i="2" s="1"/>
  <c r="H124" i="2" s="1"/>
  <c r="H487" i="2"/>
  <c r="I576" i="2"/>
  <c r="H86" i="2"/>
  <c r="I539" i="2"/>
  <c r="H123" i="2" l="1"/>
  <c r="H128" i="2" s="1"/>
  <c r="H131" i="2" s="1"/>
  <c r="H132" i="2" s="1"/>
  <c r="H489" i="2"/>
  <c r="H177" i="2"/>
  <c r="H176" i="2"/>
  <c r="H54" i="2" l="1"/>
  <c r="I130" i="2"/>
  <c r="I486" i="2"/>
  <c r="I506" i="2" s="1"/>
  <c r="H74" i="2"/>
  <c r="H75" i="2" s="1"/>
  <c r="H492" i="2"/>
  <c r="I504" i="2" s="1"/>
  <c r="I507" i="2" l="1"/>
  <c r="H55" i="2"/>
  <c r="H166" i="2"/>
  <c r="I472" i="2"/>
  <c r="I475" i="2" s="1"/>
  <c r="I512" i="2"/>
  <c r="I513" i="2" s="1"/>
  <c r="H80" i="2"/>
  <c r="H87" i="2" s="1"/>
  <c r="H159" i="2"/>
  <c r="H155" i="2"/>
  <c r="H154" i="2"/>
  <c r="H62" i="2" l="1"/>
  <c r="H165" i="2"/>
  <c r="H164" i="2"/>
  <c r="H178" i="2" l="1"/>
  <c r="H88" i="2"/>
  <c r="I26" i="2" l="1"/>
  <c r="I153" i="2" l="1"/>
  <c r="I27" i="2"/>
  <c r="I29" i="2" s="1"/>
  <c r="I534" i="2" s="1"/>
  <c r="I537" i="2" s="1"/>
  <c r="I31" i="2" l="1"/>
  <c r="I540" i="2"/>
  <c r="I545" i="2"/>
  <c r="I32" i="2" l="1"/>
  <c r="I110" i="2"/>
  <c r="I111" i="2"/>
  <c r="I546" i="2"/>
  <c r="I547" i="2" s="1"/>
  <c r="I104" i="2" l="1"/>
  <c r="I113" i="2" s="1"/>
  <c r="I33" i="2"/>
  <c r="I148" i="2" s="1"/>
  <c r="I577" i="2"/>
  <c r="I571" i="2"/>
  <c r="I572" i="2" s="1"/>
  <c r="I36" i="2"/>
  <c r="I53" i="2"/>
  <c r="I69" i="2"/>
  <c r="I72" i="2" s="1"/>
  <c r="I170" i="2" l="1"/>
  <c r="I476" i="2"/>
  <c r="I477" i="2" s="1"/>
  <c r="I478" i="2" s="1"/>
  <c r="I578" i="2"/>
  <c r="I581" i="2" s="1"/>
  <c r="I126" i="2"/>
  <c r="J544" i="2"/>
  <c r="I172" i="2" l="1"/>
  <c r="I171" i="2"/>
  <c r="I481" i="2"/>
  <c r="I488" i="2" s="1"/>
  <c r="I124" i="2" s="1"/>
  <c r="I487" i="2"/>
  <c r="J576" i="2"/>
  <c r="I86" i="2"/>
  <c r="J539" i="2"/>
  <c r="I123" i="2" l="1"/>
  <c r="I128" i="2" s="1"/>
  <c r="I131" i="2" s="1"/>
  <c r="I132" i="2" s="1"/>
  <c r="I489" i="2"/>
  <c r="I176" i="2"/>
  <c r="I177" i="2"/>
  <c r="I54" i="2" l="1"/>
  <c r="J130" i="2"/>
  <c r="J486" i="2"/>
  <c r="J506" i="2" s="1"/>
  <c r="I74" i="2"/>
  <c r="I75" i="2" s="1"/>
  <c r="I492" i="2"/>
  <c r="J504" i="2" s="1"/>
  <c r="I55" i="2" l="1"/>
  <c r="J512" i="2"/>
  <c r="J513" i="2" s="1"/>
  <c r="I166" i="2"/>
  <c r="J472" i="2"/>
  <c r="J475" i="2" s="1"/>
  <c r="J507" i="2"/>
  <c r="I80" i="2"/>
  <c r="I87" i="2" s="1"/>
  <c r="I155" i="2"/>
  <c r="I154" i="2"/>
  <c r="I159" i="2"/>
  <c r="I164" i="2" l="1"/>
  <c r="I165" i="2"/>
  <c r="I62" i="2"/>
  <c r="J26" i="2"/>
  <c r="I178" i="2" l="1"/>
  <c r="I88" i="2"/>
  <c r="J153" i="2"/>
  <c r="J27" i="2"/>
  <c r="J29" i="2" s="1"/>
  <c r="J534" i="2" l="1"/>
  <c r="J537" i="2" s="1"/>
  <c r="J540" i="2" l="1"/>
  <c r="J545" i="2"/>
  <c r="J31" i="2"/>
  <c r="J546" i="2" l="1"/>
  <c r="J547" i="2" s="1"/>
  <c r="J111" i="2"/>
  <c r="J32" i="2"/>
  <c r="J110" i="2"/>
  <c r="J53" i="2" l="1"/>
  <c r="J69" i="2"/>
  <c r="J72" i="2" s="1"/>
  <c r="J577" i="2"/>
  <c r="J36" i="2"/>
  <c r="J104" i="2"/>
  <c r="J113" i="2" s="1"/>
  <c r="J33" i="2"/>
  <c r="J148" i="2" s="1"/>
  <c r="J571" i="2"/>
  <c r="J572" i="2" s="1"/>
  <c r="K544" i="2" l="1"/>
  <c r="K539" i="2" s="1"/>
  <c r="J476" i="2"/>
  <c r="J477" i="2" s="1"/>
  <c r="J478" i="2" s="1"/>
  <c r="J170" i="2"/>
  <c r="J126" i="2"/>
  <c r="J578" i="2"/>
  <c r="J581" i="2" s="1"/>
  <c r="J487" i="2" l="1"/>
  <c r="J481" i="2"/>
  <c r="J488" i="2" s="1"/>
  <c r="J124" i="2" s="1"/>
  <c r="J171" i="2"/>
  <c r="J172" i="2"/>
  <c r="J86" i="2"/>
  <c r="K576" i="2"/>
  <c r="J489" i="2" l="1"/>
  <c r="J123" i="2"/>
  <c r="J128" i="2" s="1"/>
  <c r="J131" i="2" s="1"/>
  <c r="J132" i="2" s="1"/>
  <c r="J177" i="2"/>
  <c r="J176" i="2"/>
  <c r="J74" i="2" l="1"/>
  <c r="J75" i="2" s="1"/>
  <c r="K486" i="2"/>
  <c r="K506" i="2" s="1"/>
  <c r="J492" i="2"/>
  <c r="K504" i="2" s="1"/>
  <c r="K130" i="2"/>
  <c r="J54" i="2"/>
  <c r="J55" i="2" s="1"/>
  <c r="J62" i="2" s="1"/>
  <c r="J80" i="2" l="1"/>
  <c r="J87" i="2" s="1"/>
  <c r="J154" i="2"/>
  <c r="J159" i="2"/>
  <c r="J155" i="2"/>
  <c r="K507" i="2"/>
  <c r="K472" i="2"/>
  <c r="K475" i="2" s="1"/>
  <c r="K512" i="2"/>
  <c r="K513" i="2" s="1"/>
  <c r="J166" i="2"/>
  <c r="J165" i="2" l="1"/>
  <c r="J164" i="2"/>
  <c r="K26" i="2"/>
  <c r="J178" i="2" l="1"/>
  <c r="J88" i="2"/>
  <c r="K153" i="2"/>
  <c r="K27" i="2"/>
  <c r="K29" i="2" s="1"/>
  <c r="K534" i="2" l="1"/>
  <c r="K537" i="2" s="1"/>
  <c r="K540" i="2" l="1"/>
  <c r="K31" i="2"/>
  <c r="K545" i="2"/>
  <c r="K111" i="2" l="1"/>
  <c r="K546" i="2"/>
  <c r="K547" i="2" s="1"/>
  <c r="K32" i="2"/>
  <c r="K110" i="2"/>
  <c r="K53" i="2" l="1"/>
  <c r="K69" i="2"/>
  <c r="K72" i="2" s="1"/>
  <c r="K571" i="2"/>
  <c r="K572" i="2" s="1"/>
  <c r="K33" i="2"/>
  <c r="K148" i="2" s="1"/>
  <c r="K104" i="2"/>
  <c r="K113" i="2" s="1"/>
  <c r="K577" i="2"/>
  <c r="K36" i="2"/>
  <c r="L544" i="2" l="1"/>
  <c r="L539" i="2" s="1"/>
  <c r="K578" i="2"/>
  <c r="K581" i="2" s="1"/>
  <c r="K126" i="2"/>
  <c r="K476" i="2"/>
  <c r="K477" i="2" s="1"/>
  <c r="K478" i="2" s="1"/>
  <c r="K170" i="2"/>
  <c r="K86" i="2" l="1"/>
  <c r="L576" i="2"/>
  <c r="K481" i="2"/>
  <c r="K488" i="2" s="1"/>
  <c r="K124" i="2" s="1"/>
  <c r="K487" i="2"/>
  <c r="K172" i="2"/>
  <c r="K171" i="2"/>
  <c r="K176" i="2" l="1"/>
  <c r="K177" i="2"/>
  <c r="K489" i="2"/>
  <c r="K123" i="2"/>
  <c r="K128" i="2" s="1"/>
  <c r="K131" i="2" s="1"/>
  <c r="K132" i="2" s="1"/>
  <c r="K74" i="2" l="1"/>
  <c r="K75" i="2" s="1"/>
  <c r="K492" i="2"/>
  <c r="L504" i="2" s="1"/>
  <c r="L486" i="2"/>
  <c r="L506" i="2" s="1"/>
  <c r="L130" i="2"/>
  <c r="K54" i="2"/>
  <c r="K80" i="2" l="1"/>
  <c r="K87" i="2" s="1"/>
  <c r="K154" i="2"/>
  <c r="K155" i="2"/>
  <c r="K159" i="2"/>
  <c r="L507" i="2"/>
  <c r="K55" i="2"/>
  <c r="K166" i="2"/>
  <c r="L472" i="2"/>
  <c r="L475" i="2" s="1"/>
  <c r="L512" i="2"/>
  <c r="L513" i="2" s="1"/>
  <c r="K164" i="2" l="1"/>
  <c r="K62" i="2"/>
  <c r="K165" i="2"/>
  <c r="L26" i="2"/>
  <c r="K178" i="2" l="1"/>
  <c r="K88" i="2"/>
  <c r="L27" i="2"/>
  <c r="L29" i="2" s="1"/>
  <c r="L153" i="2"/>
  <c r="L534" i="2" l="1"/>
  <c r="L537" i="2" s="1"/>
  <c r="L540" i="2" l="1"/>
  <c r="L545" i="2"/>
  <c r="L31" i="2"/>
  <c r="L111" i="2" l="1"/>
  <c r="L546" i="2"/>
  <c r="L547" i="2" s="1"/>
  <c r="L32" i="2"/>
  <c r="L110" i="2"/>
  <c r="L69" i="2" l="1"/>
  <c r="L72" i="2" s="1"/>
  <c r="L53" i="2"/>
  <c r="L577" i="2"/>
  <c r="L104" i="2"/>
  <c r="L113" i="2" s="1"/>
  <c r="L36" i="2"/>
  <c r="L33" i="2"/>
  <c r="L148" i="2" s="1"/>
  <c r="L571" i="2"/>
  <c r="L572" i="2" s="1"/>
  <c r="L170" i="2" l="1"/>
  <c r="L476" i="2"/>
  <c r="L477" i="2" s="1"/>
  <c r="L478" i="2" s="1"/>
  <c r="L578" i="2"/>
  <c r="L581" i="2" s="1"/>
  <c r="L86" i="2" s="1"/>
  <c r="L126" i="2"/>
  <c r="L171" i="2" l="1"/>
  <c r="L172" i="2"/>
  <c r="L487" i="2"/>
  <c r="L481" i="2"/>
  <c r="L488" i="2" s="1"/>
  <c r="L124" i="2" s="1"/>
  <c r="L176" i="2"/>
  <c r="L177" i="2"/>
  <c r="L489" i="2" l="1"/>
  <c r="L123" i="2"/>
  <c r="L128" i="2" s="1"/>
  <c r="L131" i="2" s="1"/>
  <c r="L132" i="2" s="1"/>
  <c r="L54" i="2" s="1"/>
  <c r="L492" i="2" l="1"/>
  <c r="L74" i="2"/>
  <c r="L75" i="2" s="1"/>
  <c r="L166" i="2"/>
  <c r="L55" i="2"/>
  <c r="L80" i="2" l="1"/>
  <c r="L87" i="2" s="1"/>
  <c r="L155" i="2"/>
  <c r="L159" i="2"/>
  <c r="L154" i="2"/>
  <c r="L165" i="2"/>
  <c r="L62" i="2"/>
  <c r="L164" i="2"/>
  <c r="L178" i="2" l="1"/>
  <c r="L8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<sst xmlns="http://schemas.openxmlformats.org/spreadsheetml/2006/main" count="464" uniqueCount="324">
  <si>
    <t>Modelled by Peter Hopkinson</t>
  </si>
  <si>
    <t>Financial Statements - Income Statement</t>
  </si>
  <si>
    <t>Earning per share</t>
  </si>
  <si>
    <t xml:space="preserve"> - Basic</t>
  </si>
  <si>
    <t>Financial Statements - Balance Sheet</t>
  </si>
  <si>
    <t>Assets</t>
  </si>
  <si>
    <t>Lease liabilities</t>
  </si>
  <si>
    <t>Executive Summary / Key Metrics</t>
  </si>
  <si>
    <t>Revenue</t>
  </si>
  <si>
    <t>Revenue Schedule</t>
  </si>
  <si>
    <t>Inventories</t>
  </si>
  <si>
    <t>Trade and other payables</t>
  </si>
  <si>
    <t>Total Revenue</t>
  </si>
  <si>
    <t>Operating Cost Schedule</t>
  </si>
  <si>
    <t>Intangible assets</t>
  </si>
  <si>
    <t>Cash</t>
  </si>
  <si>
    <t>ROU depreciation</t>
  </si>
  <si>
    <t>Closing ROU Assets</t>
  </si>
  <si>
    <t>Depreciation</t>
  </si>
  <si>
    <t>Total Depreciation</t>
  </si>
  <si>
    <t>Capital Expenditure</t>
  </si>
  <si>
    <t>Working Capital Schedule</t>
  </si>
  <si>
    <t>Inventory</t>
  </si>
  <si>
    <t>Change in NWC</t>
  </si>
  <si>
    <t>Debt Schedule</t>
  </si>
  <si>
    <t>Profit before tax</t>
  </si>
  <si>
    <t>Tax Schedule</t>
  </si>
  <si>
    <t>Amortization</t>
  </si>
  <si>
    <t>Additions</t>
  </si>
  <si>
    <t>Amortisation</t>
  </si>
  <si>
    <t>Cash tax paid</t>
  </si>
  <si>
    <t>Capital expenditure on PP&amp;E</t>
  </si>
  <si>
    <t>Additions to intangibles</t>
  </si>
  <si>
    <t>Cash flow from investing</t>
  </si>
  <si>
    <t>Lease principal payments</t>
  </si>
  <si>
    <t>Dividends</t>
  </si>
  <si>
    <t>Cash flow from financing</t>
  </si>
  <si>
    <t>Cash - Beginning of Period</t>
  </si>
  <si>
    <t>Cash Movement during the year</t>
  </si>
  <si>
    <t>Cash - End of Period</t>
  </si>
  <si>
    <t>PP&amp;E depreciation</t>
  </si>
  <si>
    <t>Share buybacks</t>
  </si>
  <si>
    <t>F = Forecast</t>
  </si>
  <si>
    <t>Financial Statements - Cash Flow Statement</t>
  </si>
  <si>
    <t>EBIT</t>
  </si>
  <si>
    <t>Net finance costs</t>
  </si>
  <si>
    <t>Net Profit</t>
  </si>
  <si>
    <t>Net Profit Margin</t>
  </si>
  <si>
    <t>Cash Tax Paid</t>
  </si>
  <si>
    <t>Cost of Sales</t>
  </si>
  <si>
    <t>Gross profit</t>
  </si>
  <si>
    <t>Gross profit margin</t>
  </si>
  <si>
    <t>Depreciation and Amortization</t>
  </si>
  <si>
    <t>Finance expense</t>
  </si>
  <si>
    <t>(£m in millions)</t>
  </si>
  <si>
    <t>Fiscal Years Ending December 31</t>
  </si>
  <si>
    <t>H = Historical</t>
  </si>
  <si>
    <t>Liabiltiies and Shareholders Equity</t>
  </si>
  <si>
    <t>Trade and other receivables</t>
  </si>
  <si>
    <t>Cash and cash equivalents</t>
  </si>
  <si>
    <t>Current Assets</t>
  </si>
  <si>
    <t xml:space="preserve">   PP&amp;E, gross</t>
  </si>
  <si>
    <t xml:space="preserve">   (-) Accumulated depreciation</t>
  </si>
  <si>
    <t>PP&amp;E, net</t>
  </si>
  <si>
    <t>Total Assets</t>
  </si>
  <si>
    <t>Right-of-use assets</t>
  </si>
  <si>
    <t>pence per share</t>
  </si>
  <si>
    <t>Total Current Liabilities</t>
  </si>
  <si>
    <t>Total Debt</t>
  </si>
  <si>
    <t>Total liabilities</t>
  </si>
  <si>
    <t>Retained earnings</t>
  </si>
  <si>
    <t>Total Liabilities and Equity</t>
  </si>
  <si>
    <t>Net Income</t>
  </si>
  <si>
    <t>Income Statement Adjustments</t>
  </si>
  <si>
    <t>(Increase) / decrease in working capital</t>
  </si>
  <si>
    <t>Balance Sheet Adjustments</t>
  </si>
  <si>
    <t>Operating Activities</t>
  </si>
  <si>
    <t>Investing Activities</t>
  </si>
  <si>
    <t>Borrowing Issuance</t>
  </si>
  <si>
    <t>Borrowing Repayments</t>
  </si>
  <si>
    <t>Financing Activities</t>
  </si>
  <si>
    <t>Growth Rate</t>
  </si>
  <si>
    <t>Revenue Growth</t>
  </si>
  <si>
    <t>ROU Asset / Lease Liability Schedule</t>
  </si>
  <si>
    <t>PP&amp;E. Intangible Asset and Depreciation Schedule</t>
  </si>
  <si>
    <t>ROU Additions</t>
  </si>
  <si>
    <t>(£m in millions), unless stated otherwise</t>
  </si>
  <si>
    <t>ROU Depreciation</t>
  </si>
  <si>
    <t>Opening ROU Assets</t>
  </si>
  <si>
    <t>Useful life (yrs)</t>
  </si>
  <si>
    <t>Midpoint convention</t>
  </si>
  <si>
    <t>Yes</t>
  </si>
  <si>
    <t>Average Lease Length (years)</t>
  </si>
  <si>
    <t>Depreciation of ROU additions</t>
  </si>
  <si>
    <t>Depreciation of Existing ROU Assets</t>
  </si>
  <si>
    <t>Total ROU depreciation expense</t>
  </si>
  <si>
    <t>ROU Assets</t>
  </si>
  <si>
    <t>Lease Liability</t>
  </si>
  <si>
    <t>Opening Lease Liability</t>
  </si>
  <si>
    <t>New Lease Liabilities</t>
  </si>
  <si>
    <t>Lease Liabiltiies</t>
  </si>
  <si>
    <t>Interest Rate on Leases</t>
  </si>
  <si>
    <t>Interest Accrued</t>
  </si>
  <si>
    <t>Lease Cash Payments</t>
  </si>
  <si>
    <t>Closing Lease Liability</t>
  </si>
  <si>
    <t>Capex / Revenue</t>
  </si>
  <si>
    <t>Depreciation (Straight-line)</t>
  </si>
  <si>
    <t>Depreciation of Capital Expenditure</t>
  </si>
  <si>
    <t>Depreciation of Existing Fixed Assets</t>
  </si>
  <si>
    <t>PP&amp;E Roll-Forward</t>
  </si>
  <si>
    <t>PP&amp;E - Opening Balance</t>
  </si>
  <si>
    <t>PP&amp;E - Closing Balance</t>
  </si>
  <si>
    <t>Finite life of intangile assets</t>
  </si>
  <si>
    <t>Capital Expenditure on PP&amp;E</t>
  </si>
  <si>
    <t>Intangible Asset Additions</t>
  </si>
  <si>
    <t>Additions / Revenue</t>
  </si>
  <si>
    <t>Amortization of Intangible Additions</t>
  </si>
  <si>
    <t>Amortization of Existing Intangible Assets</t>
  </si>
  <si>
    <t>Intangible Asset Roll-Forward</t>
  </si>
  <si>
    <t>Operating Days</t>
  </si>
  <si>
    <t>Net Working Capital</t>
  </si>
  <si>
    <t>Non-cash current assets</t>
  </si>
  <si>
    <t>Non-cash current liabilities</t>
  </si>
  <si>
    <t>Working Capital Drivers</t>
  </si>
  <si>
    <t>COGS</t>
  </si>
  <si>
    <t>Receivables / Revenue</t>
  </si>
  <si>
    <t>Inventory / COGS</t>
  </si>
  <si>
    <t>Payables / COGS</t>
  </si>
  <si>
    <t>Receivables Days</t>
  </si>
  <si>
    <t>Inventory Days</t>
  </si>
  <si>
    <t>Payables Days</t>
  </si>
  <si>
    <t>Amortization of Intangible Assets</t>
  </si>
  <si>
    <t>Wage Inflation</t>
  </si>
  <si>
    <t>Depreciation of PP&amp;E</t>
  </si>
  <si>
    <t>Depreciation of ROU assets</t>
  </si>
  <si>
    <t>Total Amortization</t>
  </si>
  <si>
    <t>Inflation</t>
  </si>
  <si>
    <t>Financing Schedule</t>
  </si>
  <si>
    <t>Beginning cash balance</t>
  </si>
  <si>
    <t>(-) Minimum cash balance</t>
  </si>
  <si>
    <t>Excess Cash / (Cash Deficit)</t>
  </si>
  <si>
    <t>Total cash available for debt service</t>
  </si>
  <si>
    <t>(+) Cash flow available for debt service</t>
  </si>
  <si>
    <t>Cash available for sweep / (revolver draw-down)</t>
  </si>
  <si>
    <t>Optional debt repayment</t>
  </si>
  <si>
    <t>Revolver</t>
  </si>
  <si>
    <t>Beginning Balance</t>
  </si>
  <si>
    <t>(+) Revolver draw-down</t>
  </si>
  <si>
    <t>(-) Revolver pay-down</t>
  </si>
  <si>
    <t>Ending balance</t>
  </si>
  <si>
    <t>Bank Revolver Commitment</t>
  </si>
  <si>
    <t>Undrawn Revolver Balance</t>
  </si>
  <si>
    <t>Debt Triggers</t>
  </si>
  <si>
    <t>Fixed Rate</t>
  </si>
  <si>
    <t>Senior</t>
  </si>
  <si>
    <t>Preferred</t>
  </si>
  <si>
    <t>Security?</t>
  </si>
  <si>
    <t>/ Coupon</t>
  </si>
  <si>
    <t>Spread to</t>
  </si>
  <si>
    <t>SONIA</t>
  </si>
  <si>
    <t>Debt?</t>
  </si>
  <si>
    <t>Convertible</t>
  </si>
  <si>
    <t>Sweep</t>
  </si>
  <si>
    <t>No</t>
  </si>
  <si>
    <t>Interest Rates</t>
  </si>
  <si>
    <t>Undrawn commitment fee</t>
  </si>
  <si>
    <t>Interest Expense</t>
  </si>
  <si>
    <t>Total interest expense</t>
  </si>
  <si>
    <t>% of Revenue - kept as minimum cash requirement</t>
  </si>
  <si>
    <t>EBITDA</t>
  </si>
  <si>
    <t>EBITDA Margin</t>
  </si>
  <si>
    <t>EBIT Margin</t>
  </si>
  <si>
    <t>Effective Tax Rate</t>
  </si>
  <si>
    <t>Current tax expense</t>
  </si>
  <si>
    <t>UK Corporate Tax Rate</t>
  </si>
  <si>
    <t>Equity Schedule</t>
  </si>
  <si>
    <t>Deferred tax liability</t>
  </si>
  <si>
    <t>Dividend payout ratio</t>
  </si>
  <si>
    <t>Dividends declared</t>
  </si>
  <si>
    <t>Retained Earnings</t>
  </si>
  <si>
    <t>Opening - Retained Earnings</t>
  </si>
  <si>
    <t>(+) Net Income</t>
  </si>
  <si>
    <t>(-) Dividends</t>
  </si>
  <si>
    <t>(-) Share buybacks</t>
  </si>
  <si>
    <t>(-) Other movements</t>
  </si>
  <si>
    <t>Closing - Retained Earnings</t>
  </si>
  <si>
    <t>Cash Flow from Operations</t>
  </si>
  <si>
    <t>Balance?</t>
  </si>
  <si>
    <t>Current Lease Liability</t>
  </si>
  <si>
    <t>Non-current lease liability</t>
  </si>
  <si>
    <t>Gross Margin</t>
  </si>
  <si>
    <t>Net Margin</t>
  </si>
  <si>
    <t>Effective Tax Rates</t>
  </si>
  <si>
    <t>EBIT / Finance expense</t>
  </si>
  <si>
    <t>Coverage Ratios</t>
  </si>
  <si>
    <t>EBITDA / Total Debt Expense (inc. lease interest)</t>
  </si>
  <si>
    <t>EBITDA / Total Debt Expense (excl. lease interst)</t>
  </si>
  <si>
    <t>Leverage Ratios</t>
  </si>
  <si>
    <t>Net Debt / EBITDA</t>
  </si>
  <si>
    <t>Cash Flow Metrics</t>
  </si>
  <si>
    <t>Free Cash Flow</t>
  </si>
  <si>
    <t>Free Cash Flow - after Lease Interest</t>
  </si>
  <si>
    <t>=</t>
  </si>
  <si>
    <t>Interest Earned</t>
  </si>
  <si>
    <t>Total finance income</t>
  </si>
  <si>
    <t>Free Cash Flow / Net Income</t>
  </si>
  <si>
    <t>Return Metrics</t>
  </si>
  <si>
    <t>Return on Equity</t>
  </si>
  <si>
    <t>Return on Tangible Equity</t>
  </si>
  <si>
    <t>Return on Assets</t>
  </si>
  <si>
    <t>Current Ratio</t>
  </si>
  <si>
    <t>Quick Ratio</t>
  </si>
  <si>
    <t>Cash Ratio</t>
  </si>
  <si>
    <t>Profitability</t>
  </si>
  <si>
    <t xml:space="preserve">Base </t>
  </si>
  <si>
    <t>Upside</t>
  </si>
  <si>
    <t>Downside</t>
  </si>
  <si>
    <t>Macro Assumptions</t>
  </si>
  <si>
    <t>Revenue Assumptions</t>
  </si>
  <si>
    <t>Assumptions</t>
  </si>
  <si>
    <t>Scenario Selector:</t>
  </si>
  <si>
    <t>Selected</t>
  </si>
  <si>
    <t xml:space="preserve">Upside </t>
  </si>
  <si>
    <t xml:space="preserve">Downside </t>
  </si>
  <si>
    <t>Shares Trading</t>
  </si>
  <si>
    <t>Debt/ Equity</t>
  </si>
  <si>
    <t>Solid State PLC</t>
  </si>
  <si>
    <t>Sales, general and administrative expenses</t>
  </si>
  <si>
    <t>(£ in 000s)</t>
  </si>
  <si>
    <t>Corporation tax asset</t>
  </si>
  <si>
    <t>Deferred tax asset</t>
  </si>
  <si>
    <t>Provisions</t>
  </si>
  <si>
    <t>Deferred and contingent consideration on acquisitions - current</t>
  </si>
  <si>
    <t>Contract Liabilities</t>
  </si>
  <si>
    <t xml:space="preserve">Corporation tax liabilities </t>
  </si>
  <si>
    <t>Borrowings - Non Current</t>
  </si>
  <si>
    <t>Borrowings - Current</t>
  </si>
  <si>
    <t>Deferred and contingent consideration on acquisitions - non current</t>
  </si>
  <si>
    <t>Deferrred tax liabilities</t>
  </si>
  <si>
    <t>Share capital</t>
  </si>
  <si>
    <t>Share premium reserves</t>
  </si>
  <si>
    <t>Shares held in treasury</t>
  </si>
  <si>
    <t>Foreign exchange reserves</t>
  </si>
  <si>
    <t>Exchange reserves</t>
  </si>
  <si>
    <t>Computing Revenue</t>
  </si>
  <si>
    <t>Communications Product</t>
  </si>
  <si>
    <t>Power products</t>
  </si>
  <si>
    <t>Total Computing Revenue</t>
  </si>
  <si>
    <t>Total Communications Revenue</t>
  </si>
  <si>
    <t>Total Electronic Revenues</t>
  </si>
  <si>
    <t>Adjusted Growth Rate</t>
  </si>
  <si>
    <t>Power Products Revenue</t>
  </si>
  <si>
    <t>Electronics Revenue</t>
  </si>
  <si>
    <t>Volume Growth</t>
  </si>
  <si>
    <t>Pricing Growth</t>
  </si>
  <si>
    <t>Adjusted Communications Revenue - start of period</t>
  </si>
  <si>
    <t>Contract liabilities</t>
  </si>
  <si>
    <t xml:space="preserve">Power Products </t>
  </si>
  <si>
    <t>Electronics</t>
  </si>
  <si>
    <t>Contract Liability Days</t>
  </si>
  <si>
    <t>Contract Liabilities / Revenue</t>
  </si>
  <si>
    <t>Goodwill</t>
  </si>
  <si>
    <t>Intangible Assets (excl. goodwill)  - Opening Balance</t>
  </si>
  <si>
    <t>Intangible Assets (inc. goodwill)</t>
  </si>
  <si>
    <t>Intangible Asset (excl. goodwill) - Closing Balance</t>
  </si>
  <si>
    <t>Intangible Asset (inc. goodwill) - Closing Balance</t>
  </si>
  <si>
    <t>Notes:</t>
  </si>
  <si>
    <t>Customer relationships have a value of £4.6m and a useful life of between 1-7 years. Brand has a NBV of £1.7m and remaining useful life of approximately 5 years.</t>
  </si>
  <si>
    <t>Tax (expense)/credit</t>
  </si>
  <si>
    <t>Total COGS</t>
  </si>
  <si>
    <t>Communications</t>
  </si>
  <si>
    <t>Computing</t>
  </si>
  <si>
    <t>Total Power Product Revenue</t>
  </si>
  <si>
    <t>Revenue Mix:</t>
  </si>
  <si>
    <t>FY2026 exceptional contract</t>
  </si>
  <si>
    <t>Project CAIN initial shipment</t>
  </si>
  <si>
    <t>Other confirmed client deliveries</t>
  </si>
  <si>
    <t>Opening normalised Revenue</t>
  </si>
  <si>
    <t>Volume growth</t>
  </si>
  <si>
    <t>Pricing growth</t>
  </si>
  <si>
    <t>Systems</t>
  </si>
  <si>
    <t>Components</t>
  </si>
  <si>
    <t>Power</t>
  </si>
  <si>
    <t>Systems (Computing, Communications)</t>
  </si>
  <si>
    <t>Total Revenue and Product Mix</t>
  </si>
  <si>
    <t>Systems COGS split assumptions:</t>
  </si>
  <si>
    <t>Materials</t>
  </si>
  <si>
    <t>Labour</t>
  </si>
  <si>
    <t>Other overhead</t>
  </si>
  <si>
    <t>Materials Cost</t>
  </si>
  <si>
    <t>Labour Cost</t>
  </si>
  <si>
    <t>Other Cost</t>
  </si>
  <si>
    <t>Overhead Inflation</t>
  </si>
  <si>
    <t>Systems COGS</t>
  </si>
  <si>
    <t>Components COGS split assumptions</t>
  </si>
  <si>
    <t>Power COGS</t>
  </si>
  <si>
    <t>Components COGS</t>
  </si>
  <si>
    <t>SGA expenses</t>
  </si>
  <si>
    <t>SG&amp;A</t>
  </si>
  <si>
    <t>Adjustment for Operating Leverage</t>
  </si>
  <si>
    <t>SG&amp;A - end of period</t>
  </si>
  <si>
    <t>Cost Split</t>
  </si>
  <si>
    <t>Variable Cost %</t>
  </si>
  <si>
    <t>Lease Principal Repayments</t>
  </si>
  <si>
    <t>Net Corporate Tax Asset / (Liability</t>
  </si>
  <si>
    <t>* Provisions and deferred consideration on acquisitions assumed to remain constant, based on materiality basis</t>
  </si>
  <si>
    <t>Income Statement Tax</t>
  </si>
  <si>
    <t>Deferred tax expense/(credit)</t>
  </si>
  <si>
    <t>Current Tax Roll-Forward</t>
  </si>
  <si>
    <t>Opening net tax payable/(receivable)</t>
  </si>
  <si>
    <t>Closing net tax payable/(receivable)</t>
  </si>
  <si>
    <t>Deferred Tax Roll Forward</t>
  </si>
  <si>
    <t>Opening net deferred tax liability</t>
  </si>
  <si>
    <t>Deferred tax calculation</t>
  </si>
  <si>
    <t>Less: deferred tax asset</t>
  </si>
  <si>
    <t>Total tax expense</t>
  </si>
  <si>
    <t>Net Corporate Tax Asset/(Liability)</t>
  </si>
  <si>
    <t>Deferred Tax expense/(credit)</t>
  </si>
  <si>
    <t>Add back total tax expense</t>
  </si>
  <si>
    <t>Minus cash paid</t>
  </si>
  <si>
    <t>Volume Growth - Communications</t>
  </si>
  <si>
    <t>Volume Growth - Power</t>
  </si>
  <si>
    <t>Volume Growth - Electronics</t>
  </si>
  <si>
    <t>Volume Growth - Computing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</si>
</sst>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9">
    <numFmt numFmtId="164" formatCode="[$-F800]dddd\,\ mmmm\ dd\,\ yyyy"/>
    <numFmt numFmtId="165" formatCode="0.0"/>
    <numFmt numFmtId="166" formatCode="0.0&quot;p&quot;"/>
    <numFmt numFmtId="167" formatCode="0.0%"/>
    <numFmt numFmtId="168" formatCode="#,##0.0;\(#,##0.0\);\-"/>
    <numFmt numFmtId="169" formatCode="&quot;£&quot;#,##0.0;\(&quot;£&quot;#,##0.0\);\-"/>
    <numFmt numFmtId="170" formatCode="&quot;£&quot;#,##0.0"/>
    <numFmt numFmtId="171" formatCode="&quot;£&quot;#,##0.00"/>
    <numFmt numFmtId="172" formatCode="&quot;FY&quot;0"/>
    <numFmt numFmtId="173" formatCode="0&quot;bps&quot;"/>
    <numFmt numFmtId="174" formatCode="0&quot;A&quot;"/>
    <numFmt numFmtId="175" formatCode="0&quot;F&quot;"/>
    <numFmt numFmtId="176" formatCode="0.000%"/>
    <numFmt numFmtId="177" formatCode="0\ &quot;years&quot;"/>
    <numFmt numFmtId="178" formatCode="#,##0;\(#,##0\);\-"/>
    <numFmt numFmtId="179" formatCode="0&quot;RM&quot;"/>
    <numFmt numFmtId="180" formatCode="#,##0.0;\(&quot;£&quot;#,##0.0\);\-"/>
    <numFmt numFmtId="181" formatCode="0&quot;PF&quot;"/>
    <numFmt numFmtId="182" formatCode="0.0,,&quot;m&quot;"/>
    <numFmt numFmtId="183" formatCode="0.0,&quot;k&quot;"/>
    <numFmt numFmtId="184" formatCode="&quot;$&quot;0"/>
    <numFmt numFmtId="185" formatCode="0&quot; years&quot;"/>
    <numFmt numFmtId="186" formatCode="0&quot; days&quot;"/>
    <numFmt numFmtId="187" formatCode="0.0%;\(0.0%\);\–"/>
    <numFmt numFmtId="188" formatCode="0.00&quot; sen&quot;"/>
    <numFmt numFmtId="189" formatCode="#,##0.0,,&quot;m&quot;"/>
    <numFmt numFmtId="190" formatCode="0.00&quot; sen&quot;;\(0.00&quot; sen&quot;\);\-"/>
    <numFmt numFmtId="191" formatCode="#,##0,;\(#,##0,\);\-"/>
    <numFmt numFmtId="192" formatCode="&quot;£&quot;#,##0.0;\(&quot;£&quot;#,##0.0\);\–"/>
    <numFmt numFmtId="193" formatCode="0&quot;H&quot;"/>
    <numFmt numFmtId="194" formatCode="&quot;£&quot;#,##0.0,,&quot;m&quot;;\(&quot;£&quot;#,##0.0,,&quot;m&quot;\);\-"/>
    <numFmt numFmtId="195" formatCode="&quot;£&quot;#,##0;\(&quot;£&quot;#,##0\);\-"/>
    <numFmt numFmtId="196" formatCode="0.00&quot;x&quot;"/>
    <numFmt numFmtId="197" formatCode="#,##0;\(#,##0\);\–"/>
    <numFmt numFmtId="201" formatCode="&quot;£&quot;#,##0;\(&quot;£&quot;#,##0\);\–"/>
    <numFmt numFmtId="202" formatCode="&quot;£&quot;#,##0;\ \(&quot;£&quot;#,##0\);\–"/>
    <numFmt numFmtId="203" formatCode="0&quot; employees&quot;"/>
    <numFmt numFmtId="204" formatCode="&quot;£&quot;#,##0"/>
    <numFmt numFmtId="205" formatCode="0.0&quot; p&quot;;\(0.0&quot;p&quot;\);\-"/>
  </numFmts>
  <fonts count="5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 tint="0.249977111117893"/>
      <name val="Aptos Narrow"/>
      <family val="2"/>
      <scheme val="minor"/>
    </font>
    <font>
      <b/>
      <sz val="11"/>
      <color theme="1" tint="0.249977111117893"/>
      <name val="Aptos Narrow"/>
      <family val="2"/>
      <scheme val="minor"/>
    </font>
    <font>
      <sz val="11"/>
      <name val="Arial"/>
      <family val="2"/>
    </font>
    <font>
      <b/>
      <sz val="11"/>
      <color theme="1" tint="0.34998626667073579"/>
      <name val="Arial"/>
      <family val="2"/>
    </font>
    <font>
      <b/>
      <sz val="11"/>
      <color theme="4"/>
      <name val="Arial"/>
      <family val="2"/>
    </font>
    <font>
      <sz val="10"/>
      <color theme="1"/>
      <name val="Arial"/>
      <family val="2"/>
    </font>
    <font>
      <sz val="10"/>
      <color theme="3" tint="0.499984740745262"/>
      <name val="Arial"/>
      <family val="2"/>
    </font>
    <font>
      <b/>
      <sz val="9"/>
      <color theme="1" tint="0.34998626667073579"/>
      <name val="Arial"/>
      <family val="2"/>
    </font>
    <font>
      <sz val="11"/>
      <color theme="1"/>
      <name val="Open Sans"/>
    </font>
    <font>
      <b/>
      <sz val="20"/>
      <color theme="0"/>
      <name val="Open Sans"/>
    </font>
    <font>
      <sz val="20"/>
      <color theme="0"/>
      <name val="Open Sans"/>
    </font>
    <font>
      <sz val="11"/>
      <color theme="0"/>
      <name val="Open Sans"/>
    </font>
    <font>
      <b/>
      <sz val="14"/>
      <color theme="0"/>
      <name val="Open Sans"/>
    </font>
    <font>
      <sz val="14"/>
      <color theme="0"/>
      <name val="Open Sans"/>
    </font>
    <font>
      <sz val="11"/>
      <name val="Open Sans"/>
    </font>
    <font>
      <b/>
      <sz val="11"/>
      <name val="Open Sans"/>
    </font>
    <font>
      <b/>
      <sz val="11"/>
      <color theme="1" tint="0.34998626667073579"/>
      <name val="Open Sans"/>
    </font>
    <font>
      <b/>
      <sz val="11"/>
      <color theme="4"/>
      <name val="Open Sans"/>
    </font>
    <font>
      <b/>
      <sz val="9"/>
      <color theme="1" tint="0.34998626667073579"/>
      <name val="Open Sans"/>
    </font>
    <font>
      <sz val="10"/>
      <color theme="1"/>
      <name val="Open Sans"/>
    </font>
    <font>
      <sz val="10"/>
      <color theme="3" tint="0.499984740745262"/>
      <name val="Open Sans"/>
    </font>
    <font>
      <sz val="10"/>
      <name val="Open Sans"/>
    </font>
    <font>
      <b/>
      <sz val="10"/>
      <color theme="1"/>
      <name val="Open Sans"/>
    </font>
    <font>
      <b/>
      <sz val="10"/>
      <color theme="3" tint="0.499984740745262"/>
      <name val="Open Sans"/>
    </font>
    <font>
      <b/>
      <sz val="10"/>
      <name val="Open Sans"/>
    </font>
    <font>
      <sz val="10"/>
      <color theme="4" tint="0.39997558519241921"/>
      <name val="Open Sans"/>
    </font>
    <font>
      <b/>
      <sz val="11"/>
      <color theme="1"/>
      <name val="Open Sans"/>
    </font>
    <font>
      <sz val="10"/>
      <color theme="9"/>
      <name val="Open Sans"/>
    </font>
    <font>
      <sz val="10"/>
      <color theme="1" tint="0.249977111117893"/>
      <name val="Open Sans"/>
    </font>
    <font>
      <sz val="11"/>
      <color theme="3" tint="0.499984740745262"/>
      <name val="Open Sans"/>
    </font>
    <font>
      <b/>
      <sz val="10"/>
      <color theme="9"/>
      <name val="Open Sans"/>
    </font>
    <font>
      <b/>
      <sz val="10"/>
      <color theme="1" tint="0.34998626667073579"/>
      <name val="Open Sans"/>
    </font>
    <font>
      <sz val="10"/>
      <color rgb="FF7896AF"/>
      <name val="Open Sans"/>
    </font>
    <font>
      <i/>
      <sz val="10"/>
      <color theme="1"/>
      <name val="Open Sans"/>
    </font>
    <font>
      <i/>
      <u/>
      <sz val="10"/>
      <color theme="1"/>
      <name val="Open Sans"/>
    </font>
    <font>
      <b/>
      <sz val="10"/>
      <color rgb="FFC00000"/>
      <name val="Open Sans"/>
    </font>
    <font>
      <i/>
      <sz val="10"/>
      <color theme="3" tint="0.499984740745262"/>
      <name val="Open Sans"/>
    </font>
    <font>
      <b/>
      <sz val="11"/>
      <color theme="0"/>
      <name val="Open Sans"/>
    </font>
    <font>
      <b/>
      <sz val="10"/>
      <color theme="0"/>
      <name val="Open Sans"/>
    </font>
    <font>
      <sz val="10"/>
      <color theme="0"/>
      <name val="Open Sans"/>
    </font>
    <font>
      <sz val="10"/>
      <name val="Open Sans"/>
      <family val="2"/>
    </font>
    <font>
      <b/>
      <sz val="10"/>
      <color theme="1"/>
      <name val="Open Sans"/>
      <family val="2"/>
    </font>
    <font>
      <b/>
      <sz val="10"/>
      <name val="Open Sans"/>
      <family val="2"/>
    </font>
    <font>
      <sz val="10"/>
      <color theme="1"/>
      <name val="Open Sans"/>
      <family val="2"/>
    </font>
    <font>
      <b/>
      <sz val="11"/>
      <color theme="1"/>
      <name val="Open Sans"/>
      <family val="2"/>
    </font>
    <font>
      <sz val="10"/>
      <color theme="3" tint="0.499984740745262"/>
      <name val="Open Sans"/>
      <family val="2"/>
    </font>
    <font>
      <sz val="10"/>
      <color theme="6" tint="0.39997558519241921"/>
      <name val="Open Sans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7896AF"/>
        <bgColor indexed="64"/>
      </patternFill>
    </fill>
    <fill>
      <patternFill patternType="solid">
        <fgColor rgb="FFFFF5D2"/>
        <bgColor indexed="64"/>
      </patternFill>
    </fill>
    <fill>
      <patternFill patternType="solid">
        <fgColor theme="3" tint="0.749992370372631"/>
        <bgColor indexed="64"/>
      </patternFill>
    </fill>
  </fills>
  <borders count="1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medium">
        <color theme="2" tint="-0.499984740745262"/>
      </bottom>
      <diagonal/>
    </border>
    <border>
      <left style="thin">
        <color theme="3" tint="0.249977111117893"/>
      </left>
      <right/>
      <top style="thin">
        <color theme="3" tint="0.249977111117893"/>
      </top>
      <bottom style="thin">
        <color theme="3" tint="0.249977111117893"/>
      </bottom>
      <diagonal/>
    </border>
    <border>
      <left/>
      <right/>
      <top style="thin">
        <color theme="3" tint="0.249977111117893"/>
      </top>
      <bottom style="thin">
        <color theme="3" tint="0.249977111117893"/>
      </bottom>
      <diagonal/>
    </border>
    <border>
      <left/>
      <right style="thin">
        <color theme="3" tint="0.249977111117893"/>
      </right>
      <top style="thin">
        <color theme="3" tint="0.249977111117893"/>
      </top>
      <bottom style="thin">
        <color theme="3" tint="0.249977111117893"/>
      </bottom>
      <diagonal/>
    </border>
    <border>
      <left/>
      <right/>
      <top/>
      <bottom style="medium">
        <color theme="3" tint="0.249977111117893"/>
      </bottom>
      <diagonal/>
    </border>
    <border>
      <left/>
      <right/>
      <top/>
      <bottom style="thin">
        <color theme="3" tint="0.249977111117893"/>
      </bottom>
      <diagonal/>
    </border>
    <border>
      <left/>
      <right/>
      <top style="thin">
        <color theme="3" tint="0.249977111117893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hair">
        <color theme="3" tint="0.249977111117893"/>
      </bottom>
      <diagonal/>
    </border>
    <border>
      <left/>
      <right/>
      <top style="hair">
        <color theme="3" tint="0.249977111117893"/>
      </top>
      <bottom/>
      <diagonal/>
    </border>
    <border>
      <left/>
      <right/>
      <top style="hair">
        <color theme="3" tint="0.249977111117893"/>
      </top>
      <bottom style="medium">
        <color theme="3" tint="0.249977111117893"/>
      </bottom>
      <diagonal/>
    </border>
    <border>
      <left/>
      <right/>
      <top style="thin">
        <color theme="3" tint="0.249977111117893"/>
      </top>
      <bottom style="medium">
        <color theme="3" tint="0.249977111117893"/>
      </bottom>
      <diagonal/>
    </border>
    <border>
      <left/>
      <right/>
      <top style="hair">
        <color theme="3" tint="0.249977111117893"/>
      </top>
      <bottom style="hair">
        <color theme="3" tint="0.249977111117893"/>
      </bottom>
      <diagonal/>
    </border>
    <border>
      <left style="thin">
        <color theme="3" tint="0.249977111117893"/>
      </left>
      <right/>
      <top style="thin">
        <color theme="3" tint="0.249977111117893"/>
      </top>
      <bottom/>
      <diagonal/>
    </border>
    <border>
      <left/>
      <right style="thin">
        <color theme="3" tint="0.249977111117893"/>
      </right>
      <top style="thin">
        <color theme="3" tint="0.249977111117893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3">
    <xf numFmtId="0" fontId="0" fillId="0" borderId="0" xfId="0"/>
    <xf numFmtId="0" fontId="3" fillId="0" borderId="0" xfId="0" applyFont="1"/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2" fillId="0" borderId="0" xfId="0" applyFont="1"/>
    <xf numFmtId="0" fontId="4" fillId="0" borderId="0" xfId="0" applyFont="1"/>
    <xf numFmtId="167" fontId="0" fillId="0" borderId="0" xfId="1" applyNumberFormat="1" applyFont="1" applyBorder="1"/>
    <xf numFmtId="168" fontId="0" fillId="0" borderId="0" xfId="0" applyNumberFormat="1"/>
    <xf numFmtId="169" fontId="4" fillId="0" borderId="0" xfId="0" applyNumberFormat="1" applyFont="1"/>
    <xf numFmtId="169" fontId="2" fillId="0" borderId="0" xfId="0" applyNumberFormat="1" applyFont="1"/>
    <xf numFmtId="9" fontId="0" fillId="0" borderId="0" xfId="1" applyFont="1" applyFill="1" applyBorder="1"/>
    <xf numFmtId="170" fontId="4" fillId="0" borderId="0" xfId="0" applyNumberFormat="1" applyFont="1"/>
    <xf numFmtId="10" fontId="4" fillId="0" borderId="0" xfId="1" applyNumberFormat="1" applyFont="1"/>
    <xf numFmtId="9" fontId="4" fillId="0" borderId="0" xfId="1" applyFont="1"/>
    <xf numFmtId="167" fontId="4" fillId="0" borderId="0" xfId="1" applyNumberFormat="1" applyFont="1"/>
    <xf numFmtId="173" fontId="4" fillId="0" borderId="0" xfId="0" applyNumberFormat="1" applyFont="1"/>
    <xf numFmtId="9" fontId="4" fillId="0" borderId="0" xfId="1" applyFont="1" applyFill="1"/>
    <xf numFmtId="10" fontId="4" fillId="0" borderId="0" xfId="1" applyNumberFormat="1" applyFont="1" applyFill="1"/>
    <xf numFmtId="167" fontId="4" fillId="0" borderId="0" xfId="1" applyNumberFormat="1" applyFont="1" applyFill="1"/>
    <xf numFmtId="176" fontId="4" fillId="0" borderId="0" xfId="1" applyNumberFormat="1" applyFont="1" applyFill="1"/>
    <xf numFmtId="176" fontId="5" fillId="0" borderId="0" xfId="1" applyNumberFormat="1" applyFont="1" applyFill="1"/>
    <xf numFmtId="10" fontId="6" fillId="0" borderId="0" xfId="1" applyNumberFormat="1" applyFont="1" applyFill="1"/>
    <xf numFmtId="10" fontId="5" fillId="0" borderId="0" xfId="1" applyNumberFormat="1" applyFont="1" applyFill="1"/>
    <xf numFmtId="10" fontId="1" fillId="0" borderId="0" xfId="1" applyNumberFormat="1" applyFont="1" applyFill="1"/>
    <xf numFmtId="177" fontId="4" fillId="0" borderId="0" xfId="0" applyNumberFormat="1" applyFont="1"/>
    <xf numFmtId="9" fontId="0" fillId="0" borderId="0" xfId="1" applyFont="1" applyBorder="1"/>
    <xf numFmtId="167" fontId="4" fillId="0" borderId="0" xfId="1" applyNumberFormat="1" applyFont="1" applyBorder="1"/>
    <xf numFmtId="174" fontId="2" fillId="0" borderId="0" xfId="0" applyNumberFormat="1" applyFont="1"/>
    <xf numFmtId="175" fontId="2" fillId="0" borderId="0" xfId="0" applyNumberFormat="1" applyFont="1"/>
    <xf numFmtId="170" fontId="0" fillId="0" borderId="0" xfId="0" applyNumberFormat="1"/>
    <xf numFmtId="170" fontId="2" fillId="0" borderId="0" xfId="0" applyNumberFormat="1" applyFont="1"/>
    <xf numFmtId="169" fontId="0" fillId="0" borderId="0" xfId="0" applyNumberFormat="1"/>
    <xf numFmtId="167" fontId="2" fillId="0" borderId="0" xfId="1" applyNumberFormat="1" applyFont="1" applyBorder="1"/>
    <xf numFmtId="173" fontId="0" fillId="0" borderId="0" xfId="0" applyNumberFormat="1"/>
    <xf numFmtId="171" fontId="0" fillId="0" borderId="0" xfId="0" applyNumberFormat="1"/>
    <xf numFmtId="173" fontId="2" fillId="0" borderId="0" xfId="0" applyNumberFormat="1" applyFont="1"/>
    <xf numFmtId="168" fontId="2" fillId="0" borderId="0" xfId="0" applyNumberFormat="1" applyFont="1"/>
    <xf numFmtId="169" fontId="5" fillId="0" borderId="0" xfId="0" applyNumberFormat="1" applyFont="1"/>
    <xf numFmtId="165" fontId="4" fillId="0" borderId="0" xfId="0" applyNumberFormat="1" applyFont="1"/>
    <xf numFmtId="1" fontId="7" fillId="0" borderId="0" xfId="0" applyNumberFormat="1" applyFont="1"/>
    <xf numFmtId="0" fontId="8" fillId="0" borderId="0" xfId="0" applyFont="1"/>
    <xf numFmtId="0" fontId="11" fillId="0" borderId="0" xfId="0" applyFont="1"/>
    <xf numFmtId="9" fontId="12" fillId="0" borderId="0" xfId="1" applyFont="1" applyBorder="1"/>
    <xf numFmtId="175" fontId="13" fillId="0" borderId="0" xfId="0" applyNumberFormat="1" applyFont="1"/>
    <xf numFmtId="9" fontId="12" fillId="0" borderId="0" xfId="1" applyFont="1"/>
    <xf numFmtId="175" fontId="10" fillId="0" borderId="1" xfId="0" applyNumberFormat="1" applyFont="1" applyBorder="1" applyAlignment="1">
      <alignment horizontal="center"/>
    </xf>
    <xf numFmtId="165" fontId="12" fillId="0" borderId="0" xfId="1" applyNumberFormat="1" applyFont="1" applyBorder="1"/>
    <xf numFmtId="0" fontId="14" fillId="0" borderId="0" xfId="0" applyFont="1"/>
    <xf numFmtId="0" fontId="15" fillId="4" borderId="0" xfId="0" applyFont="1" applyFill="1" applyAlignment="1">
      <alignment horizontal="left"/>
    </xf>
    <xf numFmtId="0" fontId="16" fillId="4" borderId="0" xfId="0" applyFont="1" applyFill="1" applyAlignment="1">
      <alignment horizontal="left"/>
    </xf>
    <xf numFmtId="0" fontId="17" fillId="4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20" fillId="0" borderId="0" xfId="0" applyFont="1" applyAlignment="1">
      <alignment horizontal="centerContinuous"/>
    </xf>
    <xf numFmtId="0" fontId="20" fillId="0" borderId="0" xfId="0" applyFont="1"/>
    <xf numFmtId="0" fontId="21" fillId="0" borderId="7" xfId="0" applyFont="1" applyBorder="1" applyAlignment="1">
      <alignment horizontal="centerContinuous"/>
    </xf>
    <xf numFmtId="193" fontId="22" fillId="2" borderId="9" xfId="0" applyNumberFormat="1" applyFont="1" applyFill="1" applyBorder="1" applyAlignment="1">
      <alignment horizontal="center"/>
    </xf>
    <xf numFmtId="175" fontId="23" fillId="3" borderId="9" xfId="0" applyNumberFormat="1" applyFont="1" applyFill="1" applyBorder="1" applyAlignment="1">
      <alignment horizontal="center"/>
    </xf>
    <xf numFmtId="0" fontId="20" fillId="0" borderId="6" xfId="0" applyFont="1" applyBorder="1"/>
    <xf numFmtId="181" fontId="24" fillId="0" borderId="6" xfId="0" applyNumberFormat="1" applyFont="1" applyBorder="1"/>
    <xf numFmtId="175" fontId="24" fillId="0" borderId="6" xfId="0" applyNumberFormat="1" applyFont="1" applyBorder="1"/>
    <xf numFmtId="181" fontId="21" fillId="0" borderId="0" xfId="0" applyNumberFormat="1" applyFont="1"/>
    <xf numFmtId="175" fontId="21" fillId="0" borderId="0" xfId="0" applyNumberFormat="1" applyFont="1"/>
    <xf numFmtId="9" fontId="25" fillId="0" borderId="0" xfId="1" applyFont="1"/>
    <xf numFmtId="0" fontId="25" fillId="0" borderId="0" xfId="0" applyFont="1"/>
    <xf numFmtId="192" fontId="26" fillId="0" borderId="0" xfId="0" applyNumberFormat="1" applyFont="1"/>
    <xf numFmtId="192" fontId="25" fillId="0" borderId="0" xfId="0" applyNumberFormat="1" applyFont="1"/>
    <xf numFmtId="0" fontId="27" fillId="0" borderId="6" xfId="0" applyFont="1" applyBorder="1"/>
    <xf numFmtId="192" fontId="25" fillId="0" borderId="6" xfId="0" applyNumberFormat="1" applyFont="1" applyBorder="1"/>
    <xf numFmtId="0" fontId="28" fillId="0" borderId="0" xfId="0" applyFont="1"/>
    <xf numFmtId="192" fontId="28" fillId="0" borderId="0" xfId="0" applyNumberFormat="1" applyFont="1"/>
    <xf numFmtId="0" fontId="25" fillId="0" borderId="6" xfId="0" applyFont="1" applyBorder="1"/>
    <xf numFmtId="0" fontId="28" fillId="0" borderId="6" xfId="0" applyFont="1" applyBorder="1"/>
    <xf numFmtId="0" fontId="25" fillId="0" borderId="7" xfId="0" applyFont="1" applyBorder="1"/>
    <xf numFmtId="192" fontId="25" fillId="0" borderId="7" xfId="0" applyNumberFormat="1" applyFont="1" applyBorder="1"/>
    <xf numFmtId="192" fontId="29" fillId="0" borderId="0" xfId="0" applyNumberFormat="1" applyFont="1"/>
    <xf numFmtId="192" fontId="30" fillId="0" borderId="0" xfId="0" applyNumberFormat="1" applyFont="1"/>
    <xf numFmtId="0" fontId="28" fillId="0" borderId="7" xfId="0" applyFont="1" applyBorder="1"/>
    <xf numFmtId="0" fontId="28" fillId="0" borderId="8" xfId="0" applyFont="1" applyBorder="1"/>
    <xf numFmtId="192" fontId="30" fillId="0" borderId="6" xfId="0" applyNumberFormat="1" applyFont="1" applyBorder="1"/>
    <xf numFmtId="166" fontId="31" fillId="0" borderId="0" xfId="0" applyNumberFormat="1" applyFont="1"/>
    <xf numFmtId="190" fontId="25" fillId="0" borderId="0" xfId="0" applyNumberFormat="1" applyFont="1"/>
    <xf numFmtId="181" fontId="24" fillId="0" borderId="0" xfId="0" applyNumberFormat="1" applyFont="1"/>
    <xf numFmtId="175" fontId="24" fillId="0" borderId="0" xfId="0" applyNumberFormat="1" applyFont="1"/>
    <xf numFmtId="0" fontId="32" fillId="3" borderId="3" xfId="0" applyFont="1" applyFill="1" applyBorder="1"/>
    <xf numFmtId="0" fontId="28" fillId="3" borderId="4" xfId="0" applyFont="1" applyFill="1" applyBorder="1"/>
    <xf numFmtId="0" fontId="25" fillId="3" borderId="4" xfId="0" applyFont="1" applyFill="1" applyBorder="1"/>
    <xf numFmtId="169" fontId="26" fillId="3" borderId="4" xfId="0" applyNumberFormat="1" applyFont="1" applyFill="1" applyBorder="1"/>
    <xf numFmtId="169" fontId="25" fillId="3" borderId="4" xfId="0" applyNumberFormat="1" applyFont="1" applyFill="1" applyBorder="1"/>
    <xf numFmtId="169" fontId="25" fillId="3" borderId="5" xfId="0" applyNumberFormat="1" applyFont="1" applyFill="1" applyBorder="1"/>
    <xf numFmtId="169" fontId="26" fillId="0" borderId="0" xfId="0" applyNumberFormat="1" applyFont="1"/>
    <xf numFmtId="169" fontId="25" fillId="0" borderId="0" xfId="0" applyNumberFormat="1" applyFont="1"/>
    <xf numFmtId="0" fontId="25" fillId="0" borderId="2" xfId="0" applyFont="1" applyBorder="1"/>
    <xf numFmtId="168" fontId="25" fillId="0" borderId="0" xfId="0" applyNumberFormat="1" applyFont="1"/>
    <xf numFmtId="0" fontId="28" fillId="3" borderId="3" xfId="0" applyFont="1" applyFill="1" applyBorder="1"/>
    <xf numFmtId="0" fontId="32" fillId="0" borderId="0" xfId="0" applyFont="1"/>
    <xf numFmtId="178" fontId="14" fillId="0" borderId="0" xfId="0" applyNumberFormat="1" applyFont="1"/>
    <xf numFmtId="1" fontId="14" fillId="0" borderId="0" xfId="0" applyNumberFormat="1" applyFont="1"/>
    <xf numFmtId="181" fontId="28" fillId="0" borderId="0" xfId="0" applyNumberFormat="1" applyFont="1"/>
    <xf numFmtId="175" fontId="28" fillId="0" borderId="0" xfId="0" applyNumberFormat="1" applyFont="1"/>
    <xf numFmtId="178" fontId="27" fillId="0" borderId="0" xfId="0" applyNumberFormat="1" applyFont="1"/>
    <xf numFmtId="178" fontId="30" fillId="0" borderId="0" xfId="0" applyNumberFormat="1" applyFont="1"/>
    <xf numFmtId="181" fontId="32" fillId="0" borderId="0" xfId="0" applyNumberFormat="1" applyFont="1"/>
    <xf numFmtId="175" fontId="32" fillId="0" borderId="0" xfId="0" applyNumberFormat="1" applyFont="1"/>
    <xf numFmtId="174" fontId="28" fillId="0" borderId="0" xfId="0" applyNumberFormat="1" applyFont="1"/>
    <xf numFmtId="174" fontId="32" fillId="0" borderId="0" xfId="0" applyNumberFormat="1" applyFont="1"/>
    <xf numFmtId="167" fontId="25" fillId="0" borderId="0" xfId="1" applyNumberFormat="1" applyFont="1" applyBorder="1"/>
    <xf numFmtId="9" fontId="27" fillId="0" borderId="0" xfId="1" applyFont="1" applyBorder="1"/>
    <xf numFmtId="169" fontId="35" fillId="0" borderId="0" xfId="0" applyNumberFormat="1" applyFont="1"/>
    <xf numFmtId="169" fontId="14" fillId="0" borderId="0" xfId="0" applyNumberFormat="1" applyFont="1"/>
    <xf numFmtId="169" fontId="34" fillId="0" borderId="0" xfId="0" applyNumberFormat="1" applyFont="1"/>
    <xf numFmtId="167" fontId="34" fillId="0" borderId="0" xfId="1" applyNumberFormat="1" applyFont="1" applyBorder="1"/>
    <xf numFmtId="183" fontId="35" fillId="0" borderId="0" xfId="0" applyNumberFormat="1" applyFont="1"/>
    <xf numFmtId="169" fontId="27" fillId="0" borderId="0" xfId="0" applyNumberFormat="1" applyFont="1"/>
    <xf numFmtId="178" fontId="25" fillId="0" borderId="0" xfId="0" applyNumberFormat="1" applyFont="1"/>
    <xf numFmtId="167" fontId="14" fillId="0" borderId="0" xfId="1" applyNumberFormat="1" applyFont="1" applyBorder="1"/>
    <xf numFmtId="170" fontId="28" fillId="0" borderId="0" xfId="0" applyNumberFormat="1" applyFont="1"/>
    <xf numFmtId="178" fontId="33" fillId="0" borderId="0" xfId="0" applyNumberFormat="1" applyFont="1"/>
    <xf numFmtId="178" fontId="32" fillId="0" borderId="0" xfId="0" applyNumberFormat="1" applyFont="1"/>
    <xf numFmtId="170" fontId="25" fillId="0" borderId="0" xfId="0" applyNumberFormat="1" applyFont="1"/>
    <xf numFmtId="167" fontId="25" fillId="0" borderId="0" xfId="0" applyNumberFormat="1" applyFont="1"/>
    <xf numFmtId="167" fontId="25" fillId="0" borderId="0" xfId="1" applyNumberFormat="1" applyFont="1"/>
    <xf numFmtId="10" fontId="32" fillId="0" borderId="0" xfId="1" applyNumberFormat="1" applyFont="1"/>
    <xf numFmtId="0" fontId="30" fillId="0" borderId="0" xfId="0" applyFont="1"/>
    <xf numFmtId="189" fontId="14" fillId="0" borderId="0" xfId="0" applyNumberFormat="1" applyFont="1"/>
    <xf numFmtId="0" fontId="25" fillId="0" borderId="10" xfId="0" applyFont="1" applyBorder="1"/>
    <xf numFmtId="192" fontId="26" fillId="0" borderId="10" xfId="0" applyNumberFormat="1" applyFont="1" applyBorder="1"/>
    <xf numFmtId="192" fontId="27" fillId="0" borderId="0" xfId="0" applyNumberFormat="1" applyFont="1"/>
    <xf numFmtId="0" fontId="25" fillId="0" borderId="0" xfId="0" applyFont="1" applyAlignment="1">
      <alignment horizontal="left" indent="2"/>
    </xf>
    <xf numFmtId="0" fontId="25" fillId="0" borderId="10" xfId="0" applyFont="1" applyBorder="1" applyAlignment="1">
      <alignment horizontal="left" indent="2"/>
    </xf>
    <xf numFmtId="0" fontId="28" fillId="0" borderId="11" xfId="0" applyFont="1" applyBorder="1"/>
    <xf numFmtId="0" fontId="25" fillId="0" borderId="11" xfId="0" applyFont="1" applyBorder="1"/>
    <xf numFmtId="192" fontId="25" fillId="0" borderId="11" xfId="0" applyNumberFormat="1" applyFont="1" applyBorder="1"/>
    <xf numFmtId="0" fontId="25" fillId="0" borderId="11" xfId="0" applyFont="1" applyBorder="1" applyAlignment="1">
      <alignment horizontal="left" indent="2"/>
    </xf>
    <xf numFmtId="181" fontId="28" fillId="0" borderId="11" xfId="0" applyNumberFormat="1" applyFont="1" applyBorder="1"/>
    <xf numFmtId="0" fontId="25" fillId="0" borderId="0" xfId="0" applyFont="1" applyAlignment="1">
      <alignment horizontal="left"/>
    </xf>
    <xf numFmtId="9" fontId="25" fillId="0" borderId="0" xfId="1" applyFont="1" applyFill="1" applyBorder="1"/>
    <xf numFmtId="179" fontId="25" fillId="0" borderId="0" xfId="0" applyNumberFormat="1" applyFont="1"/>
    <xf numFmtId="179" fontId="25" fillId="0" borderId="0" xfId="1" applyNumberFormat="1" applyFont="1" applyFill="1" applyBorder="1"/>
    <xf numFmtId="188" fontId="26" fillId="0" borderId="0" xfId="0" applyNumberFormat="1" applyFont="1"/>
    <xf numFmtId="188" fontId="25" fillId="0" borderId="0" xfId="0" applyNumberFormat="1" applyFont="1"/>
    <xf numFmtId="187" fontId="25" fillId="0" borderId="0" xfId="1" applyNumberFormat="1" applyFont="1" applyFill="1"/>
    <xf numFmtId="182" fontId="26" fillId="0" borderId="0" xfId="0" applyNumberFormat="1" applyFont="1"/>
    <xf numFmtId="167" fontId="33" fillId="0" borderId="0" xfId="1" applyNumberFormat="1" applyFont="1" applyFill="1" applyBorder="1"/>
    <xf numFmtId="167" fontId="25" fillId="0" borderId="0" xfId="1" applyNumberFormat="1" applyFont="1" applyFill="1" applyBorder="1"/>
    <xf numFmtId="167" fontId="26" fillId="0" borderId="0" xfId="1" applyNumberFormat="1" applyFont="1" applyFill="1" applyBorder="1"/>
    <xf numFmtId="167" fontId="27" fillId="0" borderId="0" xfId="1" applyNumberFormat="1" applyFont="1" applyFill="1" applyBorder="1"/>
    <xf numFmtId="167" fontId="28" fillId="0" borderId="0" xfId="1" applyNumberFormat="1" applyFont="1" applyFill="1" applyBorder="1"/>
    <xf numFmtId="3" fontId="26" fillId="0" borderId="0" xfId="0" applyNumberFormat="1" applyFont="1"/>
    <xf numFmtId="3" fontId="25" fillId="0" borderId="0" xfId="0" applyNumberFormat="1" applyFont="1"/>
    <xf numFmtId="9" fontId="27" fillId="0" borderId="0" xfId="1" applyFont="1" applyFill="1" applyBorder="1"/>
    <xf numFmtId="180" fontId="27" fillId="0" borderId="0" xfId="0" applyNumberFormat="1" applyFont="1"/>
    <xf numFmtId="1" fontId="33" fillId="0" borderId="0" xfId="0" applyNumberFormat="1" applyFont="1"/>
    <xf numFmtId="1" fontId="30" fillId="0" borderId="0" xfId="0" applyNumberFormat="1" applyFont="1"/>
    <xf numFmtId="165" fontId="28" fillId="0" borderId="0" xfId="1" applyNumberFormat="1" applyFont="1" applyFill="1" applyBorder="1"/>
    <xf numFmtId="0" fontId="25" fillId="0" borderId="8" xfId="0" applyFont="1" applyBorder="1"/>
    <xf numFmtId="169" fontId="29" fillId="0" borderId="0" xfId="0" applyNumberFormat="1" applyFont="1"/>
    <xf numFmtId="169" fontId="28" fillId="0" borderId="0" xfId="0" applyNumberFormat="1" applyFont="1"/>
    <xf numFmtId="186" fontId="33" fillId="0" borderId="0" xfId="1" applyNumberFormat="1" applyFont="1" applyFill="1" applyBorder="1"/>
    <xf numFmtId="167" fontId="27" fillId="0" borderId="0" xfId="1" applyNumberFormat="1" applyFont="1"/>
    <xf numFmtId="184" fontId="33" fillId="0" borderId="0" xfId="0" applyNumberFormat="1" applyFont="1"/>
    <xf numFmtId="9" fontId="33" fillId="0" borderId="0" xfId="1" applyFont="1" applyFill="1" applyBorder="1"/>
    <xf numFmtId="184" fontId="28" fillId="0" borderId="0" xfId="0" applyNumberFormat="1" applyFont="1"/>
    <xf numFmtId="165" fontId="28" fillId="0" borderId="0" xfId="0" applyNumberFormat="1" applyFont="1"/>
    <xf numFmtId="181" fontId="22" fillId="0" borderId="1" xfId="0" applyNumberFormat="1" applyFont="1" applyBorder="1" applyAlignment="1">
      <alignment horizontal="center"/>
    </xf>
    <xf numFmtId="175" fontId="23" fillId="0" borderId="1" xfId="0" applyNumberFormat="1" applyFont="1" applyBorder="1" applyAlignment="1">
      <alignment horizontal="center"/>
    </xf>
    <xf numFmtId="168" fontId="30" fillId="0" borderId="0" xfId="0" applyNumberFormat="1" applyFont="1"/>
    <xf numFmtId="178" fontId="36" fillId="0" borderId="0" xfId="0" applyNumberFormat="1" applyFont="1"/>
    <xf numFmtId="168" fontId="27" fillId="0" borderId="0" xfId="0" applyNumberFormat="1" applyFont="1"/>
    <xf numFmtId="169" fontId="26" fillId="0" borderId="8" xfId="0" applyNumberFormat="1" applyFont="1" applyBorder="1"/>
    <xf numFmtId="178" fontId="28" fillId="0" borderId="8" xfId="0" applyNumberFormat="1" applyFont="1" applyBorder="1"/>
    <xf numFmtId="194" fontId="30" fillId="0" borderId="0" xfId="0" applyNumberFormat="1" applyFont="1"/>
    <xf numFmtId="184" fontId="38" fillId="5" borderId="0" xfId="0" applyNumberFormat="1" applyFont="1" applyFill="1" applyAlignment="1">
      <alignment horizontal="right"/>
    </xf>
    <xf numFmtId="185" fontId="38" fillId="5" borderId="0" xfId="0" applyNumberFormat="1" applyFont="1" applyFill="1" applyAlignment="1">
      <alignment horizontal="right"/>
    </xf>
    <xf numFmtId="169" fontId="26" fillId="0" borderId="11" xfId="0" applyNumberFormat="1" applyFont="1" applyBorder="1"/>
    <xf numFmtId="184" fontId="33" fillId="0" borderId="11" xfId="0" applyNumberFormat="1" applyFont="1" applyBorder="1"/>
    <xf numFmtId="9" fontId="26" fillId="5" borderId="0" xfId="1" applyFont="1" applyFill="1" applyBorder="1"/>
    <xf numFmtId="178" fontId="27" fillId="0" borderId="8" xfId="0" applyNumberFormat="1" applyFont="1" applyBorder="1"/>
    <xf numFmtId="167" fontId="26" fillId="5" borderId="0" xfId="1" applyNumberFormat="1" applyFont="1" applyFill="1" applyBorder="1"/>
    <xf numFmtId="170" fontId="27" fillId="0" borderId="0" xfId="0" applyNumberFormat="1" applyFont="1"/>
    <xf numFmtId="185" fontId="26" fillId="5" borderId="0" xfId="0" applyNumberFormat="1" applyFont="1" applyFill="1"/>
    <xf numFmtId="0" fontId="26" fillId="5" borderId="0" xfId="0" applyFont="1" applyFill="1" applyAlignment="1">
      <alignment horizontal="right"/>
    </xf>
    <xf numFmtId="170" fontId="28" fillId="0" borderId="11" xfId="0" applyNumberFormat="1" applyFont="1" applyBorder="1"/>
    <xf numFmtId="185" fontId="26" fillId="0" borderId="0" xfId="0" applyNumberFormat="1" applyFont="1"/>
    <xf numFmtId="0" fontId="26" fillId="0" borderId="0" xfId="0" applyFont="1" applyAlignment="1">
      <alignment horizontal="right"/>
    </xf>
    <xf numFmtId="169" fontId="28" fillId="0" borderId="11" xfId="0" applyNumberFormat="1" applyFont="1" applyBorder="1"/>
    <xf numFmtId="0" fontId="28" fillId="0" borderId="10" xfId="0" applyFont="1" applyBorder="1"/>
    <xf numFmtId="169" fontId="28" fillId="0" borderId="10" xfId="0" applyNumberFormat="1" applyFont="1" applyBorder="1"/>
    <xf numFmtId="1" fontId="29" fillId="5" borderId="0" xfId="1" applyNumberFormat="1" applyFont="1" applyFill="1" applyBorder="1"/>
    <xf numFmtId="10" fontId="34" fillId="0" borderId="0" xfId="1" applyNumberFormat="1" applyFont="1"/>
    <xf numFmtId="10" fontId="34" fillId="0" borderId="0" xfId="1" applyNumberFormat="1" applyFont="1" applyBorder="1"/>
    <xf numFmtId="10" fontId="25" fillId="5" borderId="0" xfId="1" applyNumberFormat="1" applyFont="1" applyFill="1" applyBorder="1"/>
    <xf numFmtId="195" fontId="25" fillId="0" borderId="0" xfId="0" applyNumberFormat="1" applyFont="1"/>
    <xf numFmtId="169" fontId="27" fillId="0" borderId="8" xfId="0" applyNumberFormat="1" applyFont="1" applyBorder="1"/>
    <xf numFmtId="0" fontId="27" fillId="0" borderId="0" xfId="0" applyFont="1"/>
    <xf numFmtId="9" fontId="26" fillId="0" borderId="0" xfId="1" applyFont="1" applyBorder="1"/>
    <xf numFmtId="167" fontId="27" fillId="0" borderId="0" xfId="1" applyNumberFormat="1" applyFont="1" applyBorder="1"/>
    <xf numFmtId="194" fontId="26" fillId="0" borderId="8" xfId="0" applyNumberFormat="1" applyFont="1" applyBorder="1"/>
    <xf numFmtId="169" fontId="25" fillId="0" borderId="7" xfId="0" applyNumberFormat="1" applyFont="1" applyBorder="1"/>
    <xf numFmtId="167" fontId="26" fillId="0" borderId="0" xfId="1" applyNumberFormat="1" applyFont="1"/>
    <xf numFmtId="167" fontId="25" fillId="5" borderId="0" xfId="1" applyNumberFormat="1" applyFont="1" applyFill="1"/>
    <xf numFmtId="169" fontId="28" fillId="0" borderId="8" xfId="0" applyNumberFormat="1" applyFont="1" applyBorder="1"/>
    <xf numFmtId="169" fontId="25" fillId="0" borderId="8" xfId="0" applyNumberFormat="1" applyFont="1" applyBorder="1"/>
    <xf numFmtId="178" fontId="26" fillId="0" borderId="11" xfId="0" applyNumberFormat="1" applyFont="1" applyBorder="1"/>
    <xf numFmtId="0" fontId="40" fillId="0" borderId="0" xfId="0" applyFont="1"/>
    <xf numFmtId="178" fontId="28" fillId="0" borderId="0" xfId="0" applyNumberFormat="1" applyFont="1"/>
    <xf numFmtId="169" fontId="28" fillId="0" borderId="7" xfId="0" applyNumberFormat="1" applyFont="1" applyBorder="1"/>
    <xf numFmtId="0" fontId="41" fillId="0" borderId="0" xfId="0" applyFont="1"/>
    <xf numFmtId="0" fontId="32" fillId="0" borderId="0" xfId="0" applyFont="1" applyAlignment="1">
      <alignment horizontal="center"/>
    </xf>
    <xf numFmtId="178" fontId="32" fillId="0" borderId="0" xfId="0" applyNumberFormat="1" applyFont="1" applyAlignment="1">
      <alignment horizontal="center"/>
    </xf>
    <xf numFmtId="0" fontId="32" fillId="0" borderId="6" xfId="0" applyFont="1" applyBorder="1"/>
    <xf numFmtId="0" fontId="32" fillId="0" borderId="6" xfId="0" applyFont="1" applyBorder="1" applyAlignment="1">
      <alignment horizontal="center"/>
    </xf>
    <xf numFmtId="178" fontId="32" fillId="0" borderId="6" xfId="0" applyNumberFormat="1" applyFont="1" applyBorder="1" applyAlignment="1">
      <alignment horizontal="center"/>
    </xf>
    <xf numFmtId="0" fontId="14" fillId="0" borderId="6" xfId="0" applyFont="1" applyBorder="1"/>
    <xf numFmtId="169" fontId="14" fillId="0" borderId="6" xfId="0" applyNumberFormat="1" applyFont="1" applyBorder="1"/>
    <xf numFmtId="0" fontId="29" fillId="5" borderId="0" xfId="0" applyFont="1" applyFill="1"/>
    <xf numFmtId="178" fontId="29" fillId="5" borderId="0" xfId="0" applyNumberFormat="1" applyFont="1" applyFill="1" applyAlignment="1">
      <alignment horizontal="center" vertical="center"/>
    </xf>
    <xf numFmtId="10" fontId="29" fillId="5" borderId="0" xfId="1" applyNumberFormat="1" applyFont="1" applyFill="1" applyAlignment="1">
      <alignment horizontal="center" vertical="center"/>
    </xf>
    <xf numFmtId="9" fontId="29" fillId="5" borderId="0" xfId="1" applyFont="1" applyFill="1" applyAlignment="1">
      <alignment horizontal="center" vertical="center"/>
    </xf>
    <xf numFmtId="10" fontId="25" fillId="0" borderId="0" xfId="1" applyNumberFormat="1" applyFont="1" applyFill="1" applyBorder="1"/>
    <xf numFmtId="10" fontId="42" fillId="5" borderId="0" xfId="1" applyNumberFormat="1" applyFont="1" applyFill="1" applyBorder="1"/>
    <xf numFmtId="9" fontId="42" fillId="5" borderId="0" xfId="1" applyFont="1" applyFill="1" applyBorder="1"/>
    <xf numFmtId="9" fontId="39" fillId="0" borderId="0" xfId="1" applyFont="1" applyFill="1" applyBorder="1"/>
    <xf numFmtId="167" fontId="42" fillId="5" borderId="0" xfId="1" applyNumberFormat="1" applyFont="1" applyFill="1" applyBorder="1"/>
    <xf numFmtId="167" fontId="39" fillId="0" borderId="0" xfId="1" applyNumberFormat="1" applyFont="1" applyFill="1" applyBorder="1"/>
    <xf numFmtId="169" fontId="39" fillId="0" borderId="0" xfId="0" applyNumberFormat="1" applyFont="1"/>
    <xf numFmtId="10" fontId="39" fillId="0" borderId="0" xfId="1" applyNumberFormat="1" applyFont="1" applyFill="1" applyBorder="1"/>
    <xf numFmtId="169" fontId="25" fillId="0" borderId="0" xfId="1" applyNumberFormat="1" applyFont="1" applyFill="1" applyBorder="1"/>
    <xf numFmtId="9" fontId="33" fillId="0" borderId="0" xfId="1" applyFont="1" applyBorder="1"/>
    <xf numFmtId="0" fontId="25" fillId="0" borderId="12" xfId="0" applyFont="1" applyBorder="1"/>
    <xf numFmtId="181" fontId="28" fillId="0" borderId="8" xfId="0" applyNumberFormat="1" applyFont="1" applyBorder="1"/>
    <xf numFmtId="192" fontId="25" fillId="0" borderId="10" xfId="0" applyNumberFormat="1" applyFont="1" applyBorder="1" applyAlignment="1">
      <alignment horizontal="right"/>
    </xf>
    <xf numFmtId="0" fontId="25" fillId="0" borderId="13" xfId="0" applyFont="1" applyBorder="1"/>
    <xf numFmtId="192" fontId="27" fillId="0" borderId="13" xfId="0" applyNumberFormat="1" applyFont="1" applyBorder="1"/>
    <xf numFmtId="181" fontId="37" fillId="0" borderId="0" xfId="0" applyNumberFormat="1" applyFont="1"/>
    <xf numFmtId="173" fontId="14" fillId="0" borderId="0" xfId="0" applyNumberFormat="1" applyFont="1"/>
    <xf numFmtId="170" fontId="25" fillId="0" borderId="8" xfId="0" applyNumberFormat="1" applyFont="1" applyBorder="1"/>
    <xf numFmtId="169" fontId="25" fillId="0" borderId="8" xfId="1" applyNumberFormat="1" applyFont="1" applyFill="1" applyBorder="1"/>
    <xf numFmtId="167" fontId="26" fillId="5" borderId="0" xfId="1" applyNumberFormat="1" applyFont="1" applyFill="1"/>
    <xf numFmtId="167" fontId="26" fillId="0" borderId="0" xfId="1" applyNumberFormat="1" applyFont="1" applyBorder="1"/>
    <xf numFmtId="167" fontId="25" fillId="0" borderId="6" xfId="1" applyNumberFormat="1" applyFont="1" applyBorder="1"/>
    <xf numFmtId="167" fontId="26" fillId="5" borderId="6" xfId="1" applyNumberFormat="1" applyFont="1" applyFill="1" applyBorder="1"/>
    <xf numFmtId="170" fontId="25" fillId="0" borderId="6" xfId="0" applyNumberFormat="1" applyFont="1" applyBorder="1"/>
    <xf numFmtId="178" fontId="25" fillId="0" borderId="6" xfId="0" applyNumberFormat="1" applyFont="1" applyBorder="1"/>
    <xf numFmtId="181" fontId="37" fillId="0" borderId="6" xfId="0" applyNumberFormat="1" applyFont="1" applyBorder="1"/>
    <xf numFmtId="0" fontId="25" fillId="0" borderId="0" xfId="0" applyFont="1" applyAlignment="1">
      <alignment horizontal="left" indent="1"/>
    </xf>
    <xf numFmtId="0" fontId="27" fillId="0" borderId="11" xfId="0" applyFont="1" applyBorder="1" applyAlignment="1">
      <alignment horizontal="left" indent="1"/>
    </xf>
    <xf numFmtId="0" fontId="27" fillId="0" borderId="11" xfId="0" applyFont="1" applyBorder="1"/>
    <xf numFmtId="181" fontId="37" fillId="0" borderId="11" xfId="0" applyNumberFormat="1" applyFont="1" applyBorder="1"/>
    <xf numFmtId="0" fontId="25" fillId="0" borderId="6" xfId="0" applyFont="1" applyBorder="1" applyAlignment="1">
      <alignment horizontal="left" indent="1"/>
    </xf>
    <xf numFmtId="178" fontId="26" fillId="5" borderId="6" xfId="0" applyNumberFormat="1" applyFont="1" applyFill="1" applyBorder="1"/>
    <xf numFmtId="178" fontId="26" fillId="5" borderId="0" xfId="0" applyNumberFormat="1" applyFont="1" applyFill="1"/>
    <xf numFmtId="181" fontId="28" fillId="0" borderId="12" xfId="0" applyNumberFormat="1" applyFont="1" applyBorder="1"/>
    <xf numFmtId="0" fontId="25" fillId="0" borderId="11" xfId="0" applyFont="1" applyBorder="1" applyAlignment="1">
      <alignment horizontal="left"/>
    </xf>
    <xf numFmtId="181" fontId="28" fillId="0" borderId="6" xfId="0" applyNumberFormat="1" applyFont="1" applyBorder="1"/>
    <xf numFmtId="181" fontId="25" fillId="0" borderId="7" xfId="0" applyNumberFormat="1" applyFont="1" applyBorder="1"/>
    <xf numFmtId="167" fontId="34" fillId="0" borderId="0" xfId="1" applyNumberFormat="1" applyFont="1"/>
    <xf numFmtId="167" fontId="25" fillId="0" borderId="0" xfId="1" applyNumberFormat="1" applyFont="1" applyFill="1"/>
    <xf numFmtId="196" fontId="27" fillId="0" borderId="0" xfId="0" applyNumberFormat="1" applyFont="1"/>
    <xf numFmtId="196" fontId="27" fillId="0" borderId="0" xfId="0" applyNumberFormat="1" applyFont="1" applyAlignment="1">
      <alignment horizontal="right"/>
    </xf>
    <xf numFmtId="196" fontId="27" fillId="2" borderId="0" xfId="0" applyNumberFormat="1" applyFont="1" applyFill="1" applyAlignment="1">
      <alignment horizontal="right"/>
    </xf>
    <xf numFmtId="174" fontId="28" fillId="2" borderId="0" xfId="0" applyNumberFormat="1" applyFont="1" applyFill="1"/>
    <xf numFmtId="187" fontId="25" fillId="2" borderId="0" xfId="1" applyNumberFormat="1" applyFont="1" applyFill="1"/>
    <xf numFmtId="181" fontId="9" fillId="0" borderId="1" xfId="0" applyNumberFormat="1" applyFont="1" applyBorder="1" applyAlignment="1">
      <alignment horizontal="center"/>
    </xf>
    <xf numFmtId="181" fontId="13" fillId="0" borderId="0" xfId="0" applyNumberFormat="1" applyFont="1"/>
    <xf numFmtId="172" fontId="28" fillId="0" borderId="0" xfId="1" applyNumberFormat="1" applyFont="1" applyBorder="1"/>
    <xf numFmtId="172" fontId="28" fillId="0" borderId="0" xfId="1" applyNumberFormat="1" applyFont="1"/>
    <xf numFmtId="184" fontId="26" fillId="0" borderId="0" xfId="1" applyNumberFormat="1" applyFont="1" applyBorder="1"/>
    <xf numFmtId="184" fontId="26" fillId="0" borderId="0" xfId="1" applyNumberFormat="1" applyFont="1"/>
    <xf numFmtId="184" fontId="25" fillId="0" borderId="0" xfId="1" applyNumberFormat="1" applyFont="1" applyBorder="1"/>
    <xf numFmtId="10" fontId="26" fillId="0" borderId="0" xfId="1" applyNumberFormat="1" applyFont="1"/>
    <xf numFmtId="1" fontId="26" fillId="0" borderId="0" xfId="1" applyNumberFormat="1" applyFont="1" applyBorder="1"/>
    <xf numFmtId="1" fontId="26" fillId="0" borderId="0" xfId="1" applyNumberFormat="1" applyFont="1"/>
    <xf numFmtId="9" fontId="26" fillId="0" borderId="0" xfId="1" applyFont="1" applyFill="1"/>
    <xf numFmtId="10" fontId="26" fillId="0" borderId="0" xfId="1" applyNumberFormat="1" applyFont="1" applyFill="1" applyBorder="1"/>
    <xf numFmtId="10" fontId="26" fillId="0" borderId="0" xfId="1" applyNumberFormat="1" applyFont="1" applyFill="1"/>
    <xf numFmtId="167" fontId="26" fillId="0" borderId="0" xfId="1" applyNumberFormat="1" applyFont="1" applyFill="1"/>
    <xf numFmtId="0" fontId="43" fillId="4" borderId="0" xfId="0" applyFont="1" applyFill="1" applyAlignment="1">
      <alignment horizontal="right"/>
    </xf>
    <xf numFmtId="0" fontId="43" fillId="4" borderId="0" xfId="0" applyFont="1" applyFill="1"/>
    <xf numFmtId="0" fontId="17" fillId="4" borderId="0" xfId="0" applyFont="1" applyFill="1"/>
    <xf numFmtId="0" fontId="25" fillId="0" borderId="7" xfId="0" applyFont="1" applyBorder="1" applyAlignment="1">
      <alignment horizontal="left" indent="2"/>
    </xf>
    <xf numFmtId="184" fontId="26" fillId="0" borderId="7" xfId="1" applyNumberFormat="1" applyFont="1" applyBorder="1"/>
    <xf numFmtId="10" fontId="26" fillId="0" borderId="7" xfId="1" applyNumberFormat="1" applyFont="1" applyFill="1" applyBorder="1"/>
    <xf numFmtId="0" fontId="44" fillId="4" borderId="0" xfId="0" applyFont="1" applyFill="1" applyAlignment="1">
      <alignment horizontal="left"/>
    </xf>
    <xf numFmtId="0" fontId="45" fillId="4" borderId="0" xfId="0" applyFont="1" applyFill="1"/>
    <xf numFmtId="172" fontId="44" fillId="4" borderId="0" xfId="1" applyNumberFormat="1" applyFont="1" applyFill="1" applyBorder="1"/>
    <xf numFmtId="172" fontId="44" fillId="4" borderId="0" xfId="1" applyNumberFormat="1" applyFont="1" applyFill="1"/>
    <xf numFmtId="184" fontId="30" fillId="6" borderId="0" xfId="1" applyNumberFormat="1" applyFont="1" applyFill="1" applyBorder="1"/>
    <xf numFmtId="167" fontId="30" fillId="6" borderId="0" xfId="1" applyNumberFormat="1" applyFont="1" applyFill="1"/>
    <xf numFmtId="0" fontId="28" fillId="0" borderId="0" xfId="0" applyFont="1" applyAlignment="1">
      <alignment horizontal="left" indent="2"/>
    </xf>
    <xf numFmtId="197" fontId="25" fillId="5" borderId="0" xfId="0" applyNumberFormat="1" applyFont="1" applyFill="1"/>
    <xf numFmtId="175" fontId="24" fillId="0" borderId="6" xfId="0" applyNumberFormat="1" applyFont="1" applyBorder="1" applyAlignment="1">
      <alignment horizontal="right"/>
    </xf>
    <xf numFmtId="201" fontId="26" fillId="0" borderId="0" xfId="0" applyNumberFormat="1" applyFont="1"/>
    <xf numFmtId="201" fontId="25" fillId="0" borderId="6" xfId="0" applyNumberFormat="1" applyFont="1" applyBorder="1"/>
    <xf numFmtId="201" fontId="28" fillId="0" borderId="0" xfId="0" applyNumberFormat="1" applyFont="1"/>
    <xf numFmtId="201" fontId="26" fillId="0" borderId="6" xfId="0" applyNumberFormat="1" applyFont="1" applyBorder="1"/>
    <xf numFmtId="201" fontId="26" fillId="0" borderId="7" xfId="0" applyNumberFormat="1" applyFont="1" applyBorder="1"/>
    <xf numFmtId="201" fontId="30" fillId="0" borderId="0" xfId="0" applyNumberFormat="1" applyFont="1"/>
    <xf numFmtId="201" fontId="30" fillId="0" borderId="8" xfId="0" applyNumberFormat="1" applyFont="1" applyBorder="1"/>
    <xf numFmtId="166" fontId="26" fillId="0" borderId="0" xfId="0" applyNumberFormat="1" applyFont="1"/>
    <xf numFmtId="201" fontId="26" fillId="0" borderId="10" xfId="0" applyNumberFormat="1" applyFont="1" applyBorder="1"/>
    <xf numFmtId="201" fontId="27" fillId="0" borderId="0" xfId="0" applyNumberFormat="1" applyFont="1"/>
    <xf numFmtId="201" fontId="25" fillId="0" borderId="11" xfId="0" applyNumberFormat="1" applyFont="1" applyBorder="1"/>
    <xf numFmtId="201" fontId="25" fillId="0" borderId="0" xfId="0" applyNumberFormat="1" applyFont="1"/>
    <xf numFmtId="201" fontId="27" fillId="0" borderId="11" xfId="0" applyNumberFormat="1" applyFont="1" applyBorder="1"/>
    <xf numFmtId="201" fontId="26" fillId="0" borderId="2" xfId="0" applyNumberFormat="1" applyFont="1" applyBorder="1"/>
    <xf numFmtId="201" fontId="25" fillId="0" borderId="2" xfId="0" applyNumberFormat="1" applyFont="1" applyBorder="1"/>
    <xf numFmtId="202" fontId="30" fillId="0" borderId="0" xfId="0" applyNumberFormat="1" applyFont="1"/>
    <xf numFmtId="195" fontId="26" fillId="0" borderId="0" xfId="0" applyNumberFormat="1" applyFont="1"/>
    <xf numFmtId="169" fontId="26" fillId="0" borderId="6" xfId="0" applyNumberFormat="1" applyFont="1" applyBorder="1"/>
    <xf numFmtId="195" fontId="27" fillId="0" borderId="0" xfId="0" applyNumberFormat="1" applyFont="1"/>
    <xf numFmtId="203" fontId="27" fillId="0" borderId="0" xfId="0" applyNumberFormat="1" applyFont="1"/>
    <xf numFmtId="9" fontId="26" fillId="5" borderId="7" xfId="1" applyFont="1" applyFill="1" applyBorder="1"/>
    <xf numFmtId="195" fontId="25" fillId="0" borderId="11" xfId="0" applyNumberFormat="1" applyFont="1" applyBorder="1"/>
    <xf numFmtId="195" fontId="25" fillId="0" borderId="7" xfId="0" applyNumberFormat="1" applyFont="1" applyBorder="1"/>
    <xf numFmtId="195" fontId="25" fillId="0" borderId="6" xfId="0" applyNumberFormat="1" applyFont="1" applyBorder="1"/>
    <xf numFmtId="186" fontId="27" fillId="0" borderId="0" xfId="0" applyNumberFormat="1" applyFont="1"/>
    <xf numFmtId="195" fontId="26" fillId="0" borderId="6" xfId="0" applyNumberFormat="1" applyFont="1" applyBorder="1"/>
    <xf numFmtId="0" fontId="32" fillId="3" borderId="15" xfId="0" applyFont="1" applyFill="1" applyBorder="1"/>
    <xf numFmtId="0" fontId="28" fillId="3" borderId="8" xfId="0" applyFont="1" applyFill="1" applyBorder="1"/>
    <xf numFmtId="0" fontId="25" fillId="3" borderId="8" xfId="0" applyFont="1" applyFill="1" applyBorder="1"/>
    <xf numFmtId="169" fontId="26" fillId="3" borderId="8" xfId="0" applyNumberFormat="1" applyFont="1" applyFill="1" applyBorder="1"/>
    <xf numFmtId="169" fontId="25" fillId="3" borderId="8" xfId="0" applyNumberFormat="1" applyFont="1" applyFill="1" applyBorder="1"/>
    <xf numFmtId="169" fontId="25" fillId="3" borderId="16" xfId="0" applyNumberFormat="1" applyFont="1" applyFill="1" applyBorder="1"/>
    <xf numFmtId="0" fontId="32" fillId="0" borderId="8" xfId="0" applyFont="1" applyBorder="1"/>
    <xf numFmtId="195" fontId="27" fillId="0" borderId="6" xfId="0" applyNumberFormat="1" applyFont="1" applyBorder="1"/>
    <xf numFmtId="195" fontId="26" fillId="0" borderId="8" xfId="0" applyNumberFormat="1" applyFont="1" applyBorder="1"/>
    <xf numFmtId="195" fontId="25" fillId="0" borderId="8" xfId="0" applyNumberFormat="1" applyFont="1" applyBorder="1"/>
    <xf numFmtId="195" fontId="25" fillId="0" borderId="10" xfId="0" applyNumberFormat="1" applyFont="1" applyBorder="1"/>
    <xf numFmtId="195" fontId="25" fillId="2" borderId="0" xfId="0" applyNumberFormat="1" applyFont="1" applyFill="1"/>
    <xf numFmtId="201" fontId="27" fillId="0" borderId="0" xfId="1" applyNumberFormat="1" applyFont="1" applyFill="1" applyBorder="1"/>
    <xf numFmtId="201" fontId="27" fillId="0" borderId="8" xfId="1" applyNumberFormat="1" applyFont="1" applyFill="1" applyBorder="1"/>
    <xf numFmtId="195" fontId="26" fillId="5" borderId="8" xfId="0" applyNumberFormat="1" applyFont="1" applyFill="1" applyBorder="1"/>
    <xf numFmtId="204" fontId="26" fillId="0" borderId="0" xfId="0" applyNumberFormat="1" applyFont="1"/>
    <xf numFmtId="204" fontId="27" fillId="0" borderId="0" xfId="0" applyNumberFormat="1" applyFont="1"/>
    <xf numFmtId="204" fontId="27" fillId="2" borderId="0" xfId="0" applyNumberFormat="1" applyFont="1" applyFill="1"/>
    <xf numFmtId="204" fontId="27" fillId="0" borderId="11" xfId="0" applyNumberFormat="1" applyFont="1" applyBorder="1"/>
    <xf numFmtId="195" fontId="26" fillId="0" borderId="7" xfId="0" applyNumberFormat="1" applyFont="1" applyBorder="1"/>
    <xf numFmtId="195" fontId="41" fillId="0" borderId="8" xfId="0" applyNumberFormat="1" applyFont="1" applyBorder="1"/>
    <xf numFmtId="195" fontId="28" fillId="0" borderId="8" xfId="0" applyNumberFormat="1" applyFont="1" applyBorder="1"/>
    <xf numFmtId="195" fontId="26" fillId="5" borderId="7" xfId="0" applyNumberFormat="1" applyFont="1" applyFill="1" applyBorder="1"/>
    <xf numFmtId="195" fontId="26" fillId="5" borderId="0" xfId="0" applyNumberFormat="1" applyFont="1" applyFill="1"/>
    <xf numFmtId="195" fontId="28" fillId="0" borderId="0" xfId="0" applyNumberFormat="1" applyFont="1"/>
    <xf numFmtId="9" fontId="26" fillId="5" borderId="6" xfId="1" applyFont="1" applyFill="1" applyBorder="1"/>
    <xf numFmtId="201" fontId="0" fillId="0" borderId="0" xfId="0" applyNumberFormat="1"/>
    <xf numFmtId="195" fontId="30" fillId="0" borderId="0" xfId="0" applyNumberFormat="1" applyFont="1"/>
    <xf numFmtId="0" fontId="25" fillId="0" borderId="6" xfId="0" applyFont="1" applyBorder="1" applyAlignment="1">
      <alignment horizontal="left" indent="2"/>
    </xf>
    <xf numFmtId="201" fontId="26" fillId="0" borderId="8" xfId="0" applyNumberFormat="1" applyFont="1" applyBorder="1"/>
    <xf numFmtId="201" fontId="27" fillId="0" borderId="6" xfId="0" applyNumberFormat="1" applyFont="1" applyBorder="1"/>
    <xf numFmtId="201" fontId="26" fillId="5" borderId="0" xfId="0" applyNumberFormat="1" applyFont="1" applyFill="1"/>
    <xf numFmtId="201" fontId="26" fillId="5" borderId="6" xfId="0" applyNumberFormat="1" applyFont="1" applyFill="1" applyBorder="1"/>
    <xf numFmtId="195" fontId="27" fillId="0" borderId="11" xfId="0" applyNumberFormat="1" applyFont="1" applyBorder="1"/>
    <xf numFmtId="195" fontId="27" fillId="0" borderId="7" xfId="0" applyNumberFormat="1" applyFont="1" applyBorder="1"/>
    <xf numFmtId="9" fontId="26" fillId="0" borderId="0" xfId="1" applyFont="1" applyFill="1" applyBorder="1"/>
    <xf numFmtId="0" fontId="27" fillId="0" borderId="0" xfId="0" applyFont="1" applyAlignment="1">
      <alignment horizontal="left"/>
    </xf>
    <xf numFmtId="0" fontId="27" fillId="0" borderId="8" xfId="0" applyFont="1" applyBorder="1" applyAlignment="1">
      <alignment horizontal="left"/>
    </xf>
    <xf numFmtId="0" fontId="27" fillId="0" borderId="8" xfId="0" applyFont="1" applyBorder="1"/>
    <xf numFmtId="195" fontId="27" fillId="0" borderId="8" xfId="0" applyNumberFormat="1" applyFont="1" applyBorder="1"/>
    <xf numFmtId="195" fontId="27" fillId="0" borderId="0" xfId="1" applyNumberFormat="1" applyFont="1" applyFill="1" applyBorder="1"/>
    <xf numFmtId="201" fontId="25" fillId="0" borderId="10" xfId="0" applyNumberFormat="1" applyFont="1" applyBorder="1"/>
    <xf numFmtId="201" fontId="25" fillId="0" borderId="14" xfId="0" applyNumberFormat="1" applyFont="1" applyBorder="1"/>
    <xf numFmtId="201" fontId="25" fillId="0" borderId="7" xfId="0" applyNumberFormat="1" applyFont="1" applyBorder="1"/>
    <xf numFmtId="201" fontId="25" fillId="0" borderId="8" xfId="0" applyNumberFormat="1" applyFont="1" applyBorder="1"/>
    <xf numFmtId="201" fontId="27" fillId="0" borderId="13" xfId="0" applyNumberFormat="1" applyFont="1" applyBorder="1"/>
    <xf numFmtId="169" fontId="46" fillId="0" borderId="0" xfId="0" applyNumberFormat="1" applyFont="1"/>
    <xf numFmtId="195" fontId="34" fillId="0" borderId="0" xfId="0" applyNumberFormat="1" applyFont="1"/>
    <xf numFmtId="201" fontId="27" fillId="2" borderId="0" xfId="0" applyNumberFormat="1" applyFont="1" applyFill="1"/>
    <xf numFmtId="201" fontId="27" fillId="2" borderId="10" xfId="0" applyNumberFormat="1" applyFont="1" applyFill="1" applyBorder="1"/>
    <xf numFmtId="170" fontId="25" fillId="0" borderId="7" xfId="0" applyNumberFormat="1" applyFont="1" applyBorder="1"/>
    <xf numFmtId="178" fontId="25" fillId="0" borderId="7" xfId="0" applyNumberFormat="1" applyFont="1" applyBorder="1"/>
    <xf numFmtId="0" fontId="47" fillId="0" borderId="0" xfId="0" applyFont="1"/>
    <xf numFmtId="170" fontId="47" fillId="0" borderId="0" xfId="0" applyNumberFormat="1" applyFont="1"/>
    <xf numFmtId="178" fontId="47" fillId="0" borderId="0" xfId="0" applyNumberFormat="1" applyFont="1"/>
    <xf numFmtId="0" fontId="49" fillId="0" borderId="0" xfId="0" applyFont="1"/>
    <xf numFmtId="205" fontId="27" fillId="0" borderId="0" xfId="0" applyNumberFormat="1" applyFont="1"/>
    <xf numFmtId="0" fontId="25" fillId="0" borderId="0" xfId="0" applyFont="1" applyBorder="1"/>
    <xf numFmtId="204" fontId="28" fillId="0" borderId="0" xfId="0" applyNumberFormat="1" applyFont="1"/>
    <xf numFmtId="0" fontId="49" fillId="0" borderId="6" xfId="0" applyFont="1" applyBorder="1"/>
    <xf numFmtId="170" fontId="28" fillId="0" borderId="6" xfId="0" applyNumberFormat="1" applyFont="1" applyBorder="1"/>
    <xf numFmtId="201" fontId="49" fillId="0" borderId="6" xfId="0" applyNumberFormat="1" applyFont="1" applyBorder="1"/>
    <xf numFmtId="201" fontId="49" fillId="0" borderId="0" xfId="0" applyNumberFormat="1" applyFont="1" applyBorder="1"/>
    <xf numFmtId="170" fontId="49" fillId="0" borderId="0" xfId="0" applyNumberFormat="1" applyFont="1"/>
    <xf numFmtId="0" fontId="50" fillId="3" borderId="3" xfId="0" applyFont="1" applyFill="1" applyBorder="1"/>
    <xf numFmtId="201" fontId="48" fillId="0" borderId="0" xfId="1" applyNumberFormat="1" applyFont="1" applyBorder="1"/>
    <xf numFmtId="201" fontId="27" fillId="0" borderId="7" xfId="1" applyNumberFormat="1" applyFont="1" applyBorder="1"/>
    <xf numFmtId="0" fontId="49" fillId="0" borderId="7" xfId="0" applyFont="1" applyBorder="1"/>
    <xf numFmtId="178" fontId="25" fillId="0" borderId="8" xfId="0" applyNumberFormat="1" applyFont="1" applyBorder="1"/>
    <xf numFmtId="201" fontId="49" fillId="0" borderId="6" xfId="0" applyNumberFormat="1" applyFont="1" applyFill="1" applyBorder="1"/>
    <xf numFmtId="201" fontId="51" fillId="5" borderId="0" xfId="0" applyNumberFormat="1" applyFont="1" applyFill="1" applyBorder="1"/>
    <xf numFmtId="191" fontId="46" fillId="0" borderId="6" xfId="0" applyNumberFormat="1" applyFont="1" applyBorder="1"/>
    <xf numFmtId="181" fontId="28" fillId="0" borderId="0" xfId="0" applyNumberFormat="1" applyFont="1" applyBorder="1"/>
    <xf numFmtId="0" fontId="49" fillId="0" borderId="0" xfId="0" applyFont="1" applyBorder="1" applyAlignment="1">
      <alignment horizontal="left" indent="2"/>
    </xf>
    <xf numFmtId="201" fontId="25" fillId="0" borderId="12" xfId="0" applyNumberFormat="1" applyFont="1" applyBorder="1"/>
    <xf numFmtId="165" fontId="25" fillId="0" borderId="7" xfId="0" applyNumberFormat="1" applyFont="1" applyBorder="1"/>
    <xf numFmtId="201" fontId="27" fillId="0" borderId="7" xfId="1" applyNumberFormat="1" applyFont="1" applyFill="1" applyBorder="1"/>
    <xf numFmtId="201" fontId="46" fillId="0" borderId="8" xfId="1" applyNumberFormat="1" applyFont="1" applyBorder="1"/>
    <xf numFmtId="201" fontId="46" fillId="0" borderId="7" xfId="1" applyNumberFormat="1" applyFont="1" applyBorder="1"/>
    <xf numFmtId="187" fontId="26" fillId="5" borderId="0" xfId="1" applyNumberFormat="1" applyFont="1" applyFill="1" applyBorder="1"/>
    <xf numFmtId="167" fontId="52" fillId="5" borderId="0" xfId="1" applyNumberFormat="1" applyFont="1" applyFill="1" applyBorder="1"/>
    <xf numFmtId="9" fontId="52" fillId="5" borderId="0" xfId="1" applyFont="1" applyFill="1"/>
    <xf numFmtId="9" fontId="52" fillId="5" borderId="8" xfId="1" applyFont="1" applyFill="1" applyBorder="1"/>
    <xf numFmtId="167" fontId="52" fillId="5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5D2"/>
      <color rgb="FF7896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Style="combo" dx="26" fmlaLink="$B10" fmlaRange="$F$15:$F$17" noThreeD="1" sel="2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0</xdr:rowOff>
        </xdr:from>
        <xdr:to>
          <xdr:col>3</xdr:col>
          <xdr:colOff>857250</xdr:colOff>
          <xdr:row>10</xdr:row>
          <xdr:rowOff>19050</xdr:rowOff>
        </xdr:to>
        <xdr:sp macro="" textlink="">
          <xdr:nvSpPr>
            <xdr:cNvPr id="3074" name="Drop Down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DEE092C-B555-4B4A-B7D3-470FFC0FB9A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c5385fa-52c6-4ac1-8924-0dcd8eb2862f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F8FFD-10C2-4AE9-904F-88D2A28BAA10}">
  <dimension ref="B2:B5"/>
  <sheetViews>
    <sheetView showGridLines="0" tabSelected="1" workbookViewId="0">
      <selection activeCell="B6" sqref="B6"/>
    </sheetView>
  </sheetViews>
  <sheetFormatPr defaultRowHeight="14.4" x14ac:dyDescent="0.3"/>
  <cols>
    <col min="2" max="2" width="50.77734375" customWidth="1"/>
  </cols>
  <sheetData>
    <row r="2" spans="2:2" ht="25.8" x14ac:dyDescent="0.5">
      <c r="B2" s="1" t="s">
        <v>226</v>
      </c>
    </row>
    <row r="4" spans="2:2" x14ac:dyDescent="0.3">
      <c r="B4" t="s">
        <v>0</v>
      </c>
    </row>
    <row r="5" spans="2:2" x14ac:dyDescent="0.3">
      <c r="B5" s="2">
        <f>DATE(2026, 10, 14)</f>
        <v>46309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6BE84-BC98-4EF8-8B10-DF23F73FD3D0}">
  <dimension ref="A2:L131"/>
  <sheetViews>
    <sheetView showGridLines="0" workbookViewId="0">
      <selection activeCell="G7" sqref="G7"/>
    </sheetView>
  </sheetViews>
  <sheetFormatPr defaultRowHeight="14.4" x14ac:dyDescent="0.3"/>
  <cols>
    <col min="1" max="1" width="4.77734375" customWidth="1"/>
    <col min="2" max="12" width="15.77734375" customWidth="1"/>
  </cols>
  <sheetData>
    <row r="2" spans="1:12" ht="28.8" x14ac:dyDescent="0.65">
      <c r="A2" s="48"/>
      <c r="B2" s="49" t="str">
        <f>Cover!$B$2</f>
        <v>Solid State PLC</v>
      </c>
      <c r="C2" s="49"/>
      <c r="D2" s="50"/>
      <c r="E2" s="51"/>
      <c r="F2" s="51"/>
      <c r="G2" s="51"/>
      <c r="H2" s="51"/>
      <c r="I2" s="51"/>
      <c r="J2" s="51"/>
      <c r="K2" s="51"/>
      <c r="L2" s="51"/>
    </row>
    <row r="3" spans="1:12" ht="21" x14ac:dyDescent="0.5">
      <c r="A3" s="48"/>
      <c r="B3" s="52" t="s">
        <v>219</v>
      </c>
      <c r="C3" s="53"/>
      <c r="D3" s="51"/>
      <c r="E3" s="51"/>
      <c r="F3" s="51"/>
      <c r="G3" s="51"/>
      <c r="H3" s="279"/>
      <c r="I3" s="280"/>
      <c r="J3" s="280"/>
      <c r="K3" s="280"/>
      <c r="L3" s="278" t="str">
        <f>"Currently Running: "&amp;CHOOSE(Assumptions!$B$10,Assumptions!$F$15,Assumptions!$F$16,Assumptions!$F$17)&amp;"Scenario"</f>
        <v>Currently Running: Upside Scenario</v>
      </c>
    </row>
    <row r="4" spans="1:12" ht="15.6" x14ac:dyDescent="0.35">
      <c r="A4" s="48"/>
      <c r="B4" s="54"/>
      <c r="C4" s="54"/>
      <c r="D4" s="54"/>
      <c r="E4" s="54"/>
      <c r="F4" s="54"/>
      <c r="G4" s="54"/>
      <c r="H4" s="54"/>
      <c r="I4" s="54"/>
      <c r="J4" s="54"/>
      <c r="K4" s="55"/>
      <c r="L4" s="55"/>
    </row>
    <row r="5" spans="1:12" ht="15.6" x14ac:dyDescent="0.35">
      <c r="A5" s="48"/>
      <c r="B5" s="55"/>
      <c r="C5" s="55"/>
      <c r="D5" s="55"/>
      <c r="E5" s="55"/>
      <c r="F5" s="56" t="s">
        <v>55</v>
      </c>
      <c r="G5" s="56"/>
      <c r="H5" s="56"/>
      <c r="I5" s="56"/>
      <c r="J5" s="56"/>
      <c r="K5" s="56"/>
      <c r="L5" s="56"/>
    </row>
    <row r="6" spans="1:12" ht="15.6" x14ac:dyDescent="0.35">
      <c r="A6" s="48"/>
      <c r="B6" s="55"/>
      <c r="C6" s="55"/>
      <c r="D6" s="55"/>
      <c r="E6" s="55"/>
      <c r="F6" s="57">
        <v>2025</v>
      </c>
      <c r="G6" s="57">
        <f>F6+1</f>
        <v>2026</v>
      </c>
      <c r="H6" s="58">
        <f>G6+1</f>
        <v>2027</v>
      </c>
      <c r="I6" s="58">
        <f t="shared" ref="I6:L6" si="0">H6+1</f>
        <v>2028</v>
      </c>
      <c r="J6" s="58">
        <f t="shared" si="0"/>
        <v>2029</v>
      </c>
      <c r="K6" s="58">
        <f t="shared" si="0"/>
        <v>2030</v>
      </c>
      <c r="L6" s="58">
        <f t="shared" si="0"/>
        <v>2031</v>
      </c>
    </row>
    <row r="7" spans="1:12" ht="16.2" thickBot="1" x14ac:dyDescent="0.4">
      <c r="A7" s="48"/>
      <c r="B7" s="59" t="s">
        <v>54</v>
      </c>
      <c r="C7" s="59"/>
      <c r="D7" s="59"/>
      <c r="E7" s="59"/>
      <c r="F7" s="60" t="s">
        <v>56</v>
      </c>
      <c r="G7" s="60"/>
      <c r="H7" s="61"/>
      <c r="I7" s="61"/>
      <c r="J7" s="61"/>
      <c r="K7" s="61"/>
      <c r="L7" s="292" t="s">
        <v>42</v>
      </c>
    </row>
    <row r="8" spans="1:12" x14ac:dyDescent="0.3">
      <c r="B8" s="41"/>
      <c r="C8" s="41"/>
      <c r="D8" s="41"/>
      <c r="E8" s="41"/>
      <c r="F8" s="41"/>
      <c r="G8" s="41"/>
      <c r="H8" s="41"/>
      <c r="I8" s="41"/>
      <c r="J8" s="41"/>
      <c r="K8" s="41"/>
    </row>
    <row r="9" spans="1:12" ht="15" x14ac:dyDescent="0.35">
      <c r="B9" s="124" t="s">
        <v>220</v>
      </c>
      <c r="C9" s="41"/>
      <c r="D9" s="264"/>
      <c r="E9" s="264"/>
      <c r="F9" s="46"/>
      <c r="G9" s="46"/>
      <c r="H9" s="46"/>
      <c r="I9" s="46"/>
      <c r="J9" s="46"/>
      <c r="K9" s="46"/>
    </row>
    <row r="10" spans="1:12" x14ac:dyDescent="0.3">
      <c r="B10" s="41">
        <v>2</v>
      </c>
      <c r="C10" s="41"/>
      <c r="D10" s="265"/>
      <c r="E10" s="265"/>
      <c r="F10" s="44"/>
      <c r="G10" s="44"/>
      <c r="H10" s="44"/>
      <c r="I10" s="44"/>
      <c r="J10" s="44"/>
      <c r="K10" s="44"/>
    </row>
    <row r="12" spans="1:12" ht="15" x14ac:dyDescent="0.35">
      <c r="B12" s="284" t="s">
        <v>217</v>
      </c>
      <c r="C12" s="285"/>
      <c r="D12" s="285"/>
      <c r="E12" s="285"/>
      <c r="F12" s="286"/>
      <c r="G12" s="287"/>
      <c r="H12" s="287"/>
      <c r="I12" s="285"/>
      <c r="J12" s="285"/>
      <c r="K12" s="285"/>
      <c r="L12" s="285"/>
    </row>
    <row r="13" spans="1:12" ht="15" x14ac:dyDescent="0.35">
      <c r="B13" s="70"/>
      <c r="C13" s="65"/>
      <c r="D13" s="65"/>
      <c r="E13" s="65"/>
      <c r="F13" s="266"/>
      <c r="G13" s="267"/>
      <c r="H13" s="267"/>
      <c r="I13" s="65"/>
      <c r="J13" s="65"/>
      <c r="K13" s="65"/>
      <c r="L13" s="65"/>
    </row>
    <row r="14" spans="1:12" ht="15" x14ac:dyDescent="0.35">
      <c r="B14" s="371" t="s">
        <v>136</v>
      </c>
      <c r="C14" s="65"/>
      <c r="D14" s="65"/>
      <c r="E14" s="65"/>
      <c r="F14" s="288" t="s">
        <v>221</v>
      </c>
      <c r="G14" s="240"/>
      <c r="H14" s="289">
        <f>CHOOSE($B$10,H15,H16,H17)</f>
        <v>0.03</v>
      </c>
      <c r="I14" s="289">
        <f t="shared" ref="I14:L14" si="1">CHOOSE($B$10,I15,I16,I17)</f>
        <v>0.03</v>
      </c>
      <c r="J14" s="289">
        <f t="shared" si="1"/>
        <v>0.03</v>
      </c>
      <c r="K14" s="289">
        <f t="shared" si="1"/>
        <v>0.03</v>
      </c>
      <c r="L14" s="289">
        <f t="shared" si="1"/>
        <v>0.03</v>
      </c>
    </row>
    <row r="15" spans="1:12" ht="15" x14ac:dyDescent="0.35">
      <c r="B15" s="290"/>
      <c r="C15" s="65"/>
      <c r="D15" s="200"/>
      <c r="E15" s="240"/>
      <c r="F15" s="136" t="s">
        <v>214</v>
      </c>
      <c r="G15" s="200"/>
      <c r="H15" s="239">
        <v>0.04</v>
      </c>
      <c r="I15" s="239">
        <v>0.04</v>
      </c>
      <c r="J15" s="239">
        <v>3.5000000000000003E-2</v>
      </c>
      <c r="K15" s="239">
        <v>0.03</v>
      </c>
      <c r="L15" s="239">
        <v>0.03</v>
      </c>
    </row>
    <row r="16" spans="1:12" ht="15" x14ac:dyDescent="0.35">
      <c r="B16" s="290"/>
      <c r="C16" s="65"/>
      <c r="D16" s="65"/>
      <c r="E16" s="268"/>
      <c r="F16" s="136" t="s">
        <v>222</v>
      </c>
      <c r="G16" s="269"/>
      <c r="H16" s="239">
        <v>0.03</v>
      </c>
      <c r="I16" s="239">
        <v>0.03</v>
      </c>
      <c r="J16" s="239">
        <v>0.03</v>
      </c>
      <c r="K16" s="239">
        <v>0.03</v>
      </c>
      <c r="L16" s="239">
        <v>0.03</v>
      </c>
    </row>
    <row r="17" spans="2:12" ht="15" x14ac:dyDescent="0.35">
      <c r="B17" s="290"/>
      <c r="C17" s="65"/>
      <c r="D17" s="65"/>
      <c r="E17" s="268"/>
      <c r="F17" s="136" t="s">
        <v>223</v>
      </c>
      <c r="G17" s="269"/>
      <c r="H17" s="239">
        <v>0.04</v>
      </c>
      <c r="I17" s="239">
        <v>4.4999999999999998E-2</v>
      </c>
      <c r="J17" s="239">
        <v>4.4999999999999998E-2</v>
      </c>
      <c r="K17" s="239">
        <v>0.04</v>
      </c>
      <c r="L17" s="239">
        <v>0.03</v>
      </c>
    </row>
    <row r="18" spans="2:12" ht="15" x14ac:dyDescent="0.35">
      <c r="B18" s="290"/>
      <c r="C18" s="65"/>
      <c r="D18" s="65"/>
      <c r="E18" s="268"/>
      <c r="F18" s="268"/>
      <c r="G18" s="269"/>
      <c r="H18" s="277"/>
      <c r="I18" s="277"/>
      <c r="J18" s="277"/>
      <c r="K18" s="277"/>
      <c r="L18" s="277"/>
    </row>
    <row r="19" spans="2:12" ht="15" x14ac:dyDescent="0.35">
      <c r="B19" s="371" t="s">
        <v>132</v>
      </c>
      <c r="C19" s="65"/>
      <c r="D19" s="65"/>
      <c r="E19" s="65"/>
      <c r="F19" s="288" t="s">
        <v>221</v>
      </c>
      <c r="G19" s="240"/>
      <c r="H19" s="289">
        <f>CHOOSE($B$10,H20,H21,H22)</f>
        <v>0.03</v>
      </c>
      <c r="I19" s="289">
        <f t="shared" ref="I19" si="2">CHOOSE($B$10,I20,I21,I22)</f>
        <v>0.03</v>
      </c>
      <c r="J19" s="289">
        <f t="shared" ref="J19" si="3">CHOOSE($B$10,J20,J21,J22)</f>
        <v>0.03</v>
      </c>
      <c r="K19" s="289">
        <f t="shared" ref="K19" si="4">CHOOSE($B$10,K20,K21,K22)</f>
        <v>0.03</v>
      </c>
      <c r="L19" s="289">
        <f t="shared" ref="L19" si="5">CHOOSE($B$10,L20,L21,L22)</f>
        <v>0.03</v>
      </c>
    </row>
    <row r="20" spans="2:12" ht="15" x14ac:dyDescent="0.35">
      <c r="B20" s="290"/>
      <c r="C20" s="65"/>
      <c r="D20" s="200"/>
      <c r="E20" s="240"/>
      <c r="F20" s="136" t="s">
        <v>214</v>
      </c>
      <c r="G20" s="200"/>
      <c r="H20" s="239">
        <v>0.04</v>
      </c>
      <c r="I20" s="239">
        <v>0.04</v>
      </c>
      <c r="J20" s="239">
        <v>3.5000000000000003E-2</v>
      </c>
      <c r="K20" s="239">
        <v>0.03</v>
      </c>
      <c r="L20" s="239">
        <v>0.03</v>
      </c>
    </row>
    <row r="21" spans="2:12" ht="15" x14ac:dyDescent="0.35">
      <c r="B21" s="290"/>
      <c r="C21" s="65"/>
      <c r="D21" s="65"/>
      <c r="E21" s="268"/>
      <c r="F21" s="136" t="s">
        <v>215</v>
      </c>
      <c r="G21" s="269"/>
      <c r="H21" s="239">
        <v>0.03</v>
      </c>
      <c r="I21" s="239">
        <v>0.03</v>
      </c>
      <c r="J21" s="239">
        <v>0.03</v>
      </c>
      <c r="K21" s="239">
        <v>0.03</v>
      </c>
      <c r="L21" s="239">
        <v>0.03</v>
      </c>
    </row>
    <row r="22" spans="2:12" ht="15" x14ac:dyDescent="0.35">
      <c r="B22" s="290"/>
      <c r="C22" s="65"/>
      <c r="D22" s="65"/>
      <c r="E22" s="268"/>
      <c r="F22" s="136" t="s">
        <v>216</v>
      </c>
      <c r="G22" s="269"/>
      <c r="H22" s="239">
        <v>0.04</v>
      </c>
      <c r="I22" s="239">
        <v>4.4999999999999998E-2</v>
      </c>
      <c r="J22" s="239">
        <v>4.4999999999999998E-2</v>
      </c>
      <c r="K22" s="239">
        <v>0.04</v>
      </c>
      <c r="L22" s="239">
        <v>0.03</v>
      </c>
    </row>
    <row r="23" spans="2:12" ht="15" x14ac:dyDescent="0.35">
      <c r="B23" s="70"/>
      <c r="C23" s="65"/>
      <c r="D23" s="65"/>
      <c r="E23" s="270"/>
      <c r="F23" s="270"/>
      <c r="G23" s="270"/>
      <c r="H23" s="107"/>
      <c r="I23" s="107"/>
      <c r="J23" s="107"/>
      <c r="K23" s="121"/>
      <c r="L23" s="121"/>
    </row>
    <row r="24" spans="2:12" ht="15" x14ac:dyDescent="0.35">
      <c r="B24" s="371" t="s">
        <v>292</v>
      </c>
      <c r="C24" s="65"/>
      <c r="D24" s="65"/>
      <c r="E24" s="65"/>
      <c r="F24" s="288" t="s">
        <v>221</v>
      </c>
      <c r="G24" s="240"/>
      <c r="H24" s="289">
        <f>CHOOSE($B$10,H25,H26,H27)</f>
        <v>0.03</v>
      </c>
      <c r="I24" s="289">
        <f t="shared" ref="I24" si="6">CHOOSE($B$10,I25,I26,I27)</f>
        <v>0.03</v>
      </c>
      <c r="J24" s="289">
        <f t="shared" ref="J24" si="7">CHOOSE($B$10,J25,J26,J27)</f>
        <v>0.03</v>
      </c>
      <c r="K24" s="289">
        <f t="shared" ref="K24" si="8">CHOOSE($B$10,K25,K26,K27)</f>
        <v>0.03</v>
      </c>
      <c r="L24" s="289">
        <f t="shared" ref="L24" si="9">CHOOSE($B$10,L25,L26,L27)</f>
        <v>0.03</v>
      </c>
    </row>
    <row r="25" spans="2:12" ht="15" x14ac:dyDescent="0.35">
      <c r="B25" s="129"/>
      <c r="C25" s="65"/>
      <c r="D25" s="200"/>
      <c r="E25" s="240"/>
      <c r="F25" s="136" t="s">
        <v>214</v>
      </c>
      <c r="G25" s="200"/>
      <c r="H25" s="239">
        <v>0.04</v>
      </c>
      <c r="I25" s="239">
        <v>0.04</v>
      </c>
      <c r="J25" s="239">
        <v>3.5000000000000003E-2</v>
      </c>
      <c r="K25" s="239">
        <v>0.03</v>
      </c>
      <c r="L25" s="239">
        <v>0.03</v>
      </c>
    </row>
    <row r="26" spans="2:12" ht="15" x14ac:dyDescent="0.35">
      <c r="B26" s="129"/>
      <c r="C26" s="65"/>
      <c r="D26" s="65"/>
      <c r="E26" s="268"/>
      <c r="F26" s="136" t="s">
        <v>215</v>
      </c>
      <c r="G26" s="269"/>
      <c r="H26" s="239">
        <v>0.03</v>
      </c>
      <c r="I26" s="239">
        <v>0.03</v>
      </c>
      <c r="J26" s="239">
        <v>0.03</v>
      </c>
      <c r="K26" s="239">
        <v>0.03</v>
      </c>
      <c r="L26" s="239">
        <v>0.03</v>
      </c>
    </row>
    <row r="27" spans="2:12" ht="15" x14ac:dyDescent="0.35">
      <c r="B27" s="129"/>
      <c r="C27" s="65"/>
      <c r="D27" s="65"/>
      <c r="E27" s="268"/>
      <c r="F27" s="136" t="s">
        <v>216</v>
      </c>
      <c r="G27" s="269"/>
      <c r="H27" s="239">
        <v>0.04</v>
      </c>
      <c r="I27" s="239">
        <v>4.4999999999999998E-2</v>
      </c>
      <c r="J27" s="239">
        <v>4.4999999999999998E-2</v>
      </c>
      <c r="K27" s="239">
        <v>0.04</v>
      </c>
      <c r="L27" s="239">
        <v>0.03</v>
      </c>
    </row>
    <row r="28" spans="2:12" ht="15" x14ac:dyDescent="0.35">
      <c r="B28" s="281"/>
      <c r="C28" s="74"/>
      <c r="D28" s="74"/>
      <c r="E28" s="282"/>
      <c r="F28" s="282"/>
      <c r="G28" s="282"/>
      <c r="H28" s="283"/>
      <c r="I28" s="283"/>
      <c r="J28" s="283"/>
      <c r="K28" s="283"/>
      <c r="L28" s="283"/>
    </row>
    <row r="29" spans="2:12" ht="15" x14ac:dyDescent="0.35">
      <c r="B29" s="129"/>
      <c r="C29" s="65"/>
      <c r="D29" s="65"/>
      <c r="E29" s="268"/>
      <c r="F29" s="268"/>
      <c r="G29" s="268"/>
      <c r="H29" s="275"/>
      <c r="I29" s="275"/>
      <c r="J29" s="275"/>
      <c r="K29" s="275"/>
      <c r="L29" s="275"/>
    </row>
    <row r="30" spans="2:12" ht="15" x14ac:dyDescent="0.35">
      <c r="B30" s="284" t="s">
        <v>218</v>
      </c>
      <c r="C30" s="285"/>
      <c r="D30" s="285"/>
      <c r="E30" s="285"/>
      <c r="F30" s="286"/>
      <c r="G30" s="287"/>
      <c r="H30" s="287"/>
      <c r="I30" s="285"/>
      <c r="J30" s="285"/>
      <c r="K30" s="285"/>
      <c r="L30" s="285"/>
    </row>
    <row r="31" spans="2:12" ht="15" x14ac:dyDescent="0.35">
      <c r="B31" s="129"/>
      <c r="C31" s="65"/>
      <c r="D31" s="200"/>
      <c r="E31" s="240"/>
      <c r="F31" s="240"/>
      <c r="G31" s="200"/>
      <c r="H31" s="271"/>
      <c r="I31" s="271"/>
      <c r="J31" s="271"/>
      <c r="K31" s="271"/>
      <c r="L31" s="271"/>
    </row>
    <row r="32" spans="2:12" ht="15" x14ac:dyDescent="0.35">
      <c r="B32" s="129"/>
      <c r="C32" s="65"/>
      <c r="D32" s="200"/>
      <c r="E32" s="240"/>
      <c r="F32" s="240"/>
      <c r="G32" s="200"/>
      <c r="H32" s="271"/>
      <c r="I32" s="271"/>
      <c r="J32" s="271"/>
      <c r="K32" s="271"/>
      <c r="L32" s="271"/>
    </row>
    <row r="33" spans="2:12" ht="15" x14ac:dyDescent="0.35">
      <c r="B33" s="371" t="s">
        <v>320</v>
      </c>
      <c r="C33" s="65"/>
      <c r="D33" s="65"/>
      <c r="E33" s="268"/>
      <c r="F33" s="288" t="s">
        <v>221</v>
      </c>
      <c r="G33" s="269"/>
      <c r="H33" s="289">
        <f t="shared" ref="H33:L33" si="10">CHOOSE($B$10,H34,H35,H36)</f>
        <v>0.03</v>
      </c>
      <c r="I33" s="289">
        <f t="shared" si="10"/>
        <v>0.03</v>
      </c>
      <c r="J33" s="289">
        <f t="shared" si="10"/>
        <v>0.03</v>
      </c>
      <c r="K33" s="289">
        <f t="shared" si="10"/>
        <v>0.03</v>
      </c>
      <c r="L33" s="289">
        <f t="shared" si="10"/>
        <v>0.03</v>
      </c>
    </row>
    <row r="34" spans="2:12" ht="15" x14ac:dyDescent="0.35">
      <c r="B34" s="129"/>
      <c r="C34" s="65"/>
      <c r="D34" s="65"/>
      <c r="E34" s="268"/>
      <c r="F34" s="136" t="s">
        <v>214</v>
      </c>
      <c r="G34" s="269"/>
      <c r="H34" s="398">
        <v>0.02</v>
      </c>
      <c r="I34" s="398">
        <v>0.02</v>
      </c>
      <c r="J34" s="398">
        <v>0.02</v>
      </c>
      <c r="K34" s="398">
        <v>0.02</v>
      </c>
      <c r="L34" s="398">
        <v>0.02</v>
      </c>
    </row>
    <row r="35" spans="2:12" ht="15" x14ac:dyDescent="0.35">
      <c r="B35" s="129"/>
      <c r="C35" s="65"/>
      <c r="D35" s="65"/>
      <c r="E35" s="65"/>
      <c r="F35" s="136" t="s">
        <v>215</v>
      </c>
      <c r="G35" s="200"/>
      <c r="H35" s="398">
        <v>0.03</v>
      </c>
      <c r="I35" s="398">
        <v>0.03</v>
      </c>
      <c r="J35" s="398">
        <v>0.03</v>
      </c>
      <c r="K35" s="398">
        <v>0.03</v>
      </c>
      <c r="L35" s="398">
        <v>0.03</v>
      </c>
    </row>
    <row r="36" spans="2:12" ht="15" x14ac:dyDescent="0.35">
      <c r="B36" s="129"/>
      <c r="C36" s="65"/>
      <c r="D36" s="65"/>
      <c r="E36" s="65"/>
      <c r="F36" s="136" t="s">
        <v>216</v>
      </c>
      <c r="G36" s="200"/>
      <c r="H36" s="398">
        <v>-0.01</v>
      </c>
      <c r="I36" s="398">
        <v>-5.0000000000000001E-3</v>
      </c>
      <c r="J36" s="398">
        <v>0</v>
      </c>
      <c r="K36" s="398">
        <v>0.01</v>
      </c>
      <c r="L36" s="398">
        <v>0.01</v>
      </c>
    </row>
    <row r="37" spans="2:12" ht="15" x14ac:dyDescent="0.35">
      <c r="B37" s="65"/>
      <c r="C37" s="65"/>
      <c r="D37" s="65"/>
      <c r="E37" s="65"/>
      <c r="F37" s="272"/>
      <c r="G37" s="273"/>
      <c r="H37" s="273"/>
      <c r="I37" s="273"/>
      <c r="J37" s="273"/>
      <c r="K37" s="65"/>
      <c r="L37" s="65"/>
    </row>
    <row r="38" spans="2:12" ht="15" x14ac:dyDescent="0.35">
      <c r="B38" s="371" t="s">
        <v>321</v>
      </c>
      <c r="C38" s="65"/>
      <c r="D38" s="65"/>
      <c r="E38" s="65"/>
      <c r="F38" s="288" t="s">
        <v>221</v>
      </c>
      <c r="G38" s="273"/>
      <c r="H38" s="289">
        <f t="shared" ref="H38" si="11">CHOOSE($B$10,H39,H40,H41)</f>
        <v>0.1</v>
      </c>
      <c r="I38" s="289">
        <f t="shared" ref="I38" si="12">CHOOSE($B$10,I39,I40,I41)</f>
        <v>0.1</v>
      </c>
      <c r="J38" s="289">
        <f t="shared" ref="J38" si="13">CHOOSE($B$10,J39,J40,J41)</f>
        <v>0.09</v>
      </c>
      <c r="K38" s="289">
        <f t="shared" ref="K38" si="14">CHOOSE($B$10,K39,K40,K41)</f>
        <v>0.08</v>
      </c>
      <c r="L38" s="289">
        <f t="shared" ref="L38" si="15">CHOOSE($B$10,L39,L40,L41)</f>
        <v>0.08</v>
      </c>
    </row>
    <row r="39" spans="2:12" ht="15" x14ac:dyDescent="0.35">
      <c r="B39" s="129"/>
      <c r="C39" s="65"/>
      <c r="D39" s="65"/>
      <c r="E39" s="65"/>
      <c r="F39" s="136" t="s">
        <v>214</v>
      </c>
      <c r="G39" s="274"/>
      <c r="H39" s="179">
        <v>0.08</v>
      </c>
      <c r="I39" s="179">
        <v>0.08</v>
      </c>
      <c r="J39" s="179">
        <v>0.08</v>
      </c>
      <c r="K39" s="179">
        <v>7.4999999999999997E-2</v>
      </c>
      <c r="L39" s="179">
        <v>7.4999999999999997E-2</v>
      </c>
    </row>
    <row r="40" spans="2:12" ht="15" x14ac:dyDescent="0.35">
      <c r="B40" s="129"/>
      <c r="C40" s="65"/>
      <c r="D40" s="65"/>
      <c r="E40" s="65"/>
      <c r="F40" s="136" t="s">
        <v>215</v>
      </c>
      <c r="G40" s="276"/>
      <c r="H40" s="179">
        <v>0.1</v>
      </c>
      <c r="I40" s="179">
        <v>0.1</v>
      </c>
      <c r="J40" s="179">
        <v>0.09</v>
      </c>
      <c r="K40" s="179">
        <v>0.08</v>
      </c>
      <c r="L40" s="179">
        <v>0.08</v>
      </c>
    </row>
    <row r="41" spans="2:12" ht="15" x14ac:dyDescent="0.35">
      <c r="B41" s="129"/>
      <c r="C41" s="65"/>
      <c r="D41" s="65"/>
      <c r="E41" s="65"/>
      <c r="F41" s="136" t="s">
        <v>216</v>
      </c>
      <c r="G41" s="277"/>
      <c r="H41" s="179">
        <v>0.03</v>
      </c>
      <c r="I41" s="179">
        <v>0.03</v>
      </c>
      <c r="J41" s="179">
        <v>0.03</v>
      </c>
      <c r="K41" s="179">
        <v>0.03</v>
      </c>
      <c r="L41" s="179">
        <v>0.03</v>
      </c>
    </row>
    <row r="42" spans="2:12" x14ac:dyDescent="0.3">
      <c r="B42" s="42"/>
      <c r="C42" s="42"/>
      <c r="D42" s="42"/>
      <c r="E42" s="42"/>
      <c r="F42" s="43"/>
      <c r="G42" s="45"/>
      <c r="H42" s="45"/>
      <c r="I42" s="45"/>
      <c r="J42" s="45"/>
    </row>
    <row r="43" spans="2:12" ht="15" x14ac:dyDescent="0.35">
      <c r="B43" s="371" t="s">
        <v>323</v>
      </c>
      <c r="C43" s="65"/>
      <c r="D43" s="65"/>
      <c r="E43" s="65"/>
      <c r="F43" s="288" t="s">
        <v>221</v>
      </c>
      <c r="G43" s="273"/>
      <c r="H43" s="289">
        <f t="shared" ref="H43:L43" si="16">CHOOSE($B$10,H44,H45,H46)</f>
        <v>0.04</v>
      </c>
      <c r="I43" s="289">
        <f t="shared" si="16"/>
        <v>0.04</v>
      </c>
      <c r="J43" s="289">
        <f t="shared" si="16"/>
        <v>3.5000000000000003E-2</v>
      </c>
      <c r="K43" s="289">
        <f t="shared" si="16"/>
        <v>3.5000000000000003E-2</v>
      </c>
      <c r="L43" s="289">
        <f t="shared" si="16"/>
        <v>0.04</v>
      </c>
    </row>
    <row r="44" spans="2:12" ht="15" x14ac:dyDescent="0.35">
      <c r="B44" s="129"/>
      <c r="C44" s="65"/>
      <c r="D44" s="65"/>
      <c r="E44" s="65"/>
      <c r="F44" s="136" t="s">
        <v>214</v>
      </c>
      <c r="G44" s="274"/>
      <c r="H44" s="398">
        <v>0.03</v>
      </c>
      <c r="I44" s="398">
        <v>0.03</v>
      </c>
      <c r="J44" s="398">
        <v>0.03</v>
      </c>
      <c r="K44" s="398">
        <v>0.03</v>
      </c>
      <c r="L44" s="398">
        <v>0.03</v>
      </c>
    </row>
    <row r="45" spans="2:12" ht="15" x14ac:dyDescent="0.35">
      <c r="B45" s="129"/>
      <c r="C45" s="65"/>
      <c r="D45" s="65"/>
      <c r="E45" s="65"/>
      <c r="F45" s="136" t="s">
        <v>215</v>
      </c>
      <c r="G45" s="276"/>
      <c r="H45" s="398">
        <v>0.04</v>
      </c>
      <c r="I45" s="398">
        <v>0.04</v>
      </c>
      <c r="J45" s="398">
        <v>3.5000000000000003E-2</v>
      </c>
      <c r="K45" s="398">
        <v>3.5000000000000003E-2</v>
      </c>
      <c r="L45" s="398">
        <v>0.04</v>
      </c>
    </row>
    <row r="46" spans="2:12" ht="15" x14ac:dyDescent="0.35">
      <c r="B46" s="129"/>
      <c r="C46" s="65"/>
      <c r="D46" s="65"/>
      <c r="E46" s="65"/>
      <c r="F46" s="136" t="s">
        <v>216</v>
      </c>
      <c r="G46" s="277"/>
      <c r="H46" s="398">
        <v>-0.01</v>
      </c>
      <c r="I46" s="398">
        <v>-5.0000000000000001E-3</v>
      </c>
      <c r="J46" s="398">
        <v>0</v>
      </c>
      <c r="K46" s="398">
        <v>0.01</v>
      </c>
      <c r="L46" s="398">
        <v>0.01</v>
      </c>
    </row>
    <row r="47" spans="2:12" x14ac:dyDescent="0.3">
      <c r="B47" s="42"/>
      <c r="C47" s="42"/>
      <c r="D47" s="42"/>
      <c r="E47" s="42"/>
      <c r="F47" s="47"/>
      <c r="G47" s="47"/>
      <c r="H47" s="47"/>
      <c r="I47" s="47"/>
      <c r="J47" s="47"/>
    </row>
    <row r="48" spans="2:12" ht="15" x14ac:dyDescent="0.35">
      <c r="B48" s="371" t="s">
        <v>322</v>
      </c>
      <c r="C48" s="65"/>
      <c r="D48" s="65"/>
      <c r="E48" s="65"/>
      <c r="F48" s="288" t="s">
        <v>221</v>
      </c>
      <c r="G48" s="273"/>
      <c r="H48" s="289">
        <f t="shared" ref="H48:L48" si="17">CHOOSE($B$10,H49,H50,H51)</f>
        <v>0.09</v>
      </c>
      <c r="I48" s="289">
        <f t="shared" si="17"/>
        <v>0.08</v>
      </c>
      <c r="J48" s="289">
        <f t="shared" si="17"/>
        <v>7.4999999999999997E-2</v>
      </c>
      <c r="K48" s="289">
        <f t="shared" si="17"/>
        <v>7.0000000000000007E-2</v>
      </c>
      <c r="L48" s="289">
        <f t="shared" si="17"/>
        <v>6.5000000000000002E-2</v>
      </c>
    </row>
    <row r="49" spans="2:12" ht="15" x14ac:dyDescent="0.35">
      <c r="B49" s="129"/>
      <c r="C49" s="65"/>
      <c r="D49" s="65"/>
      <c r="E49" s="65"/>
      <c r="F49" s="136" t="s">
        <v>214</v>
      </c>
      <c r="G49" s="274"/>
      <c r="H49" s="179">
        <v>0.06</v>
      </c>
      <c r="I49" s="179">
        <v>0.06</v>
      </c>
      <c r="J49" s="179">
        <v>5.5E-2</v>
      </c>
      <c r="K49" s="179">
        <v>0.05</v>
      </c>
      <c r="L49" s="179">
        <v>0.05</v>
      </c>
    </row>
    <row r="50" spans="2:12" ht="15" x14ac:dyDescent="0.35">
      <c r="B50" s="129"/>
      <c r="C50" s="65"/>
      <c r="D50" s="65"/>
      <c r="E50" s="65"/>
      <c r="F50" s="136" t="s">
        <v>215</v>
      </c>
      <c r="G50" s="276"/>
      <c r="H50" s="179">
        <v>0.09</v>
      </c>
      <c r="I50" s="179">
        <v>0.08</v>
      </c>
      <c r="J50" s="179">
        <v>7.4999999999999997E-2</v>
      </c>
      <c r="K50" s="179">
        <v>7.0000000000000007E-2</v>
      </c>
      <c r="L50" s="179">
        <v>6.5000000000000002E-2</v>
      </c>
    </row>
    <row r="51" spans="2:12" ht="15" x14ac:dyDescent="0.35">
      <c r="B51" s="129"/>
      <c r="C51" s="65"/>
      <c r="D51" s="65"/>
      <c r="E51" s="65"/>
      <c r="F51" s="136" t="s">
        <v>216</v>
      </c>
      <c r="G51" s="277"/>
      <c r="H51" s="179">
        <v>0.02</v>
      </c>
      <c r="I51" s="179">
        <v>0.02</v>
      </c>
      <c r="J51" s="179">
        <v>0.02</v>
      </c>
      <c r="K51" s="179">
        <v>0.02</v>
      </c>
      <c r="L51" s="179">
        <v>0.02</v>
      </c>
    </row>
    <row r="52" spans="2:12" x14ac:dyDescent="0.3">
      <c r="F52" s="19"/>
      <c r="G52" s="19"/>
      <c r="H52" s="19"/>
      <c r="I52" s="19"/>
      <c r="J52" s="19"/>
    </row>
    <row r="53" spans="2:12" x14ac:dyDescent="0.3">
      <c r="B53" s="42"/>
      <c r="F53" s="14"/>
      <c r="G53" s="14"/>
      <c r="H53" s="14"/>
      <c r="I53" s="14"/>
      <c r="J53" s="14"/>
    </row>
    <row r="54" spans="2:12" x14ac:dyDescent="0.3">
      <c r="F54" s="17"/>
      <c r="G54" s="17"/>
      <c r="H54" s="17"/>
      <c r="I54" s="17"/>
      <c r="J54" s="17"/>
    </row>
    <row r="55" spans="2:12" x14ac:dyDescent="0.3">
      <c r="F55" s="6"/>
      <c r="G55" s="6"/>
      <c r="H55" s="6"/>
    </row>
    <row r="56" spans="2:12" x14ac:dyDescent="0.3">
      <c r="F56" s="19"/>
      <c r="G56" s="19"/>
      <c r="H56" s="19"/>
      <c r="I56" s="19"/>
      <c r="J56" s="19"/>
    </row>
    <row r="57" spans="2:12" x14ac:dyDescent="0.3">
      <c r="F57" s="18"/>
      <c r="G57" s="18"/>
      <c r="H57" s="18"/>
      <c r="I57" s="18"/>
      <c r="J57" s="18"/>
    </row>
    <row r="58" spans="2:12" x14ac:dyDescent="0.3">
      <c r="F58" s="24"/>
      <c r="G58" s="24"/>
      <c r="H58" s="24"/>
      <c r="I58" s="24"/>
      <c r="J58" s="24"/>
    </row>
    <row r="59" spans="2:12" x14ac:dyDescent="0.3">
      <c r="F59" s="18"/>
      <c r="G59" s="18"/>
      <c r="H59" s="18"/>
    </row>
    <row r="60" spans="2:12" x14ac:dyDescent="0.3">
      <c r="F60" s="18"/>
      <c r="G60" s="18"/>
      <c r="H60" s="18"/>
      <c r="I60" s="18"/>
      <c r="J60" s="18"/>
    </row>
    <row r="61" spans="2:12" x14ac:dyDescent="0.3">
      <c r="F61" s="18"/>
      <c r="G61" s="18"/>
      <c r="H61" s="18"/>
      <c r="I61" s="18"/>
      <c r="J61" s="18"/>
    </row>
    <row r="62" spans="2:12" x14ac:dyDescent="0.3">
      <c r="F62" s="12"/>
      <c r="G62" s="12"/>
      <c r="H62" s="12"/>
      <c r="I62" s="12"/>
      <c r="J62" s="12"/>
    </row>
    <row r="63" spans="2:12" x14ac:dyDescent="0.3">
      <c r="F63" s="18"/>
      <c r="G63" s="18"/>
      <c r="H63" s="18"/>
    </row>
    <row r="64" spans="2:12" x14ac:dyDescent="0.3">
      <c r="F64" s="18"/>
      <c r="G64" s="18"/>
      <c r="H64" s="18"/>
      <c r="I64" s="18"/>
      <c r="J64" s="18"/>
    </row>
    <row r="65" spans="6:10" x14ac:dyDescent="0.3">
      <c r="F65" s="24"/>
      <c r="G65" s="24"/>
      <c r="H65" s="24"/>
      <c r="I65" s="24"/>
      <c r="J65" s="24"/>
    </row>
    <row r="66" spans="6:10" x14ac:dyDescent="0.3">
      <c r="F66" s="12"/>
      <c r="G66" s="12"/>
      <c r="H66" s="12"/>
      <c r="I66" s="12"/>
      <c r="J66" s="12"/>
    </row>
    <row r="67" spans="6:10" x14ac:dyDescent="0.3">
      <c r="F67" s="12"/>
      <c r="G67" s="12"/>
      <c r="H67" s="12"/>
      <c r="I67" s="12"/>
      <c r="J67" s="12"/>
    </row>
    <row r="68" spans="6:10" x14ac:dyDescent="0.3">
      <c r="F68" s="18"/>
      <c r="G68" s="18"/>
      <c r="H68" s="18"/>
      <c r="I68" s="18"/>
      <c r="J68" s="18"/>
    </row>
    <row r="69" spans="6:10" x14ac:dyDescent="0.3">
      <c r="F69" s="12"/>
      <c r="G69" s="12"/>
      <c r="H69" s="12"/>
      <c r="I69" s="12"/>
      <c r="J69" s="12"/>
    </row>
    <row r="70" spans="6:10" x14ac:dyDescent="0.3">
      <c r="F70" s="12"/>
      <c r="G70" s="12"/>
      <c r="H70" s="12"/>
      <c r="I70" s="12"/>
      <c r="J70" s="12"/>
    </row>
    <row r="71" spans="6:10" x14ac:dyDescent="0.3">
      <c r="F71" s="18"/>
      <c r="G71" s="18"/>
      <c r="H71" s="22"/>
      <c r="I71" s="23"/>
      <c r="J71" s="23"/>
    </row>
    <row r="72" spans="6:10" x14ac:dyDescent="0.3">
      <c r="F72" s="20"/>
      <c r="G72" s="20"/>
      <c r="H72" s="20"/>
      <c r="I72" s="21"/>
      <c r="J72" s="23"/>
    </row>
    <row r="73" spans="6:10" x14ac:dyDescent="0.3">
      <c r="F73" s="15"/>
      <c r="G73" s="15"/>
      <c r="H73" s="15"/>
      <c r="I73" s="15"/>
      <c r="J73" s="15"/>
    </row>
    <row r="74" spans="6:10" x14ac:dyDescent="0.3">
      <c r="F74" s="15"/>
      <c r="G74" s="15"/>
      <c r="H74" s="15"/>
    </row>
    <row r="75" spans="6:10" x14ac:dyDescent="0.3">
      <c r="F75" s="13"/>
      <c r="G75" s="13"/>
      <c r="H75" s="13"/>
      <c r="I75" s="13"/>
      <c r="J75" s="13"/>
    </row>
    <row r="76" spans="6:10" x14ac:dyDescent="0.3">
      <c r="F76" s="12"/>
      <c r="G76" s="12"/>
      <c r="H76" s="12"/>
      <c r="I76" s="12"/>
      <c r="J76" s="12"/>
    </row>
    <row r="77" spans="6:10" x14ac:dyDescent="0.3">
      <c r="F77" s="12"/>
      <c r="G77" s="12"/>
      <c r="H77" s="12"/>
      <c r="I77" s="12"/>
      <c r="J77" s="12"/>
    </row>
    <row r="78" spans="6:10" x14ac:dyDescent="0.3">
      <c r="F78" s="13"/>
      <c r="G78" s="13"/>
      <c r="H78" s="13"/>
    </row>
    <row r="79" spans="6:10" x14ac:dyDescent="0.3">
      <c r="F79" s="14"/>
      <c r="G79" s="14"/>
      <c r="H79" s="14"/>
      <c r="I79" s="14"/>
      <c r="J79" s="14"/>
    </row>
    <row r="80" spans="6:10" x14ac:dyDescent="0.3">
      <c r="F80" s="15"/>
      <c r="G80" s="15"/>
      <c r="H80" s="15"/>
      <c r="I80" s="15"/>
      <c r="J80" s="15"/>
    </row>
    <row r="81" spans="2:10" x14ac:dyDescent="0.3">
      <c r="F81" s="15"/>
      <c r="G81" s="15"/>
      <c r="H81" s="15"/>
      <c r="I81" s="15"/>
      <c r="J81" s="15"/>
    </row>
    <row r="82" spans="2:10" x14ac:dyDescent="0.3">
      <c r="F82" s="23"/>
      <c r="G82" s="23"/>
      <c r="H82" s="23"/>
      <c r="I82" s="23"/>
      <c r="J82" s="23"/>
    </row>
    <row r="83" spans="2:10" x14ac:dyDescent="0.3">
      <c r="F83" s="15"/>
      <c r="G83" s="15"/>
      <c r="H83" s="15"/>
      <c r="I83" s="15"/>
      <c r="J83" s="15"/>
    </row>
    <row r="84" spans="2:10" x14ac:dyDescent="0.3">
      <c r="F84" s="13"/>
      <c r="G84" s="13"/>
      <c r="H84" s="13"/>
      <c r="I84" s="13"/>
      <c r="J84" s="13"/>
    </row>
    <row r="85" spans="2:10" x14ac:dyDescent="0.3">
      <c r="B85" s="5"/>
      <c r="F85" s="6"/>
      <c r="G85" s="6"/>
      <c r="H85" s="6"/>
    </row>
    <row r="86" spans="2:10" x14ac:dyDescent="0.3">
      <c r="B86" s="5"/>
      <c r="F86" s="6"/>
      <c r="G86" s="6"/>
      <c r="H86" s="6"/>
    </row>
    <row r="87" spans="2:10" x14ac:dyDescent="0.3">
      <c r="B87" s="5"/>
      <c r="F87" s="6"/>
      <c r="G87" s="6"/>
      <c r="H87" s="6"/>
    </row>
    <row r="88" spans="2:10" x14ac:dyDescent="0.3">
      <c r="F88" s="6"/>
      <c r="G88" s="6"/>
      <c r="H88" s="6"/>
    </row>
    <row r="89" spans="2:10" x14ac:dyDescent="0.3">
      <c r="F89" s="16"/>
      <c r="G89" s="16"/>
      <c r="H89" s="16"/>
    </row>
    <row r="90" spans="2:10" x14ac:dyDescent="0.3">
      <c r="F90" s="16"/>
      <c r="G90" s="16"/>
      <c r="H90" s="16"/>
      <c r="I90" s="16"/>
      <c r="J90" s="16"/>
    </row>
    <row r="91" spans="2:10" x14ac:dyDescent="0.3">
      <c r="F91" s="16"/>
      <c r="G91" s="16"/>
      <c r="H91" s="16"/>
      <c r="I91" s="16"/>
      <c r="J91" s="16"/>
    </row>
    <row r="92" spans="2:10" x14ac:dyDescent="0.3">
      <c r="F92" s="16"/>
      <c r="G92" s="16"/>
      <c r="H92" s="16"/>
      <c r="I92" s="16"/>
      <c r="J92" s="16"/>
    </row>
    <row r="93" spans="2:10" x14ac:dyDescent="0.3">
      <c r="F93" s="16"/>
      <c r="G93" s="16"/>
      <c r="H93" s="16"/>
      <c r="I93" s="16"/>
      <c r="J93" s="16"/>
    </row>
    <row r="94" spans="2:10" x14ac:dyDescent="0.3">
      <c r="F94" s="16"/>
      <c r="G94" s="16"/>
      <c r="H94" s="16"/>
      <c r="I94" s="16"/>
      <c r="J94" s="16"/>
    </row>
    <row r="95" spans="2:10" x14ac:dyDescent="0.3">
      <c r="F95" s="13"/>
      <c r="G95" s="13"/>
      <c r="H95" s="13"/>
    </row>
    <row r="96" spans="2:10" x14ac:dyDescent="0.3">
      <c r="F96" s="9"/>
      <c r="G96" s="9"/>
      <c r="H96" s="9"/>
    </row>
    <row r="97" spans="2:10" x14ac:dyDescent="0.3">
      <c r="F97" s="16"/>
      <c r="G97" s="16"/>
      <c r="H97" s="16"/>
    </row>
    <row r="98" spans="2:10" x14ac:dyDescent="0.3">
      <c r="F98" s="16"/>
      <c r="G98" s="16"/>
      <c r="H98" s="16"/>
      <c r="I98" s="16"/>
      <c r="J98" s="16"/>
    </row>
    <row r="99" spans="2:10" x14ac:dyDescent="0.3">
      <c r="F99" s="16"/>
      <c r="G99" s="16"/>
      <c r="H99" s="16"/>
      <c r="I99" s="16"/>
      <c r="J99" s="16"/>
    </row>
    <row r="100" spans="2:10" x14ac:dyDescent="0.3">
      <c r="F100" s="16"/>
      <c r="G100" s="16"/>
      <c r="H100" s="16"/>
      <c r="I100" s="16"/>
      <c r="J100" s="16"/>
    </row>
    <row r="101" spans="2:10" x14ac:dyDescent="0.3">
      <c r="F101" s="16"/>
      <c r="G101" s="16"/>
      <c r="H101" s="16"/>
      <c r="I101" s="16"/>
      <c r="J101" s="16"/>
    </row>
    <row r="102" spans="2:10" x14ac:dyDescent="0.3">
      <c r="F102" s="16"/>
      <c r="G102" s="16"/>
      <c r="H102" s="16"/>
      <c r="I102" s="16"/>
      <c r="J102" s="16"/>
    </row>
    <row r="103" spans="2:10" x14ac:dyDescent="0.3">
      <c r="F103" s="14"/>
      <c r="G103" s="14"/>
      <c r="H103" s="14"/>
      <c r="I103" s="14"/>
      <c r="J103" s="14"/>
    </row>
    <row r="104" spans="2:10" x14ac:dyDescent="0.3">
      <c r="F104" s="14"/>
      <c r="G104" s="14"/>
      <c r="H104" s="14"/>
      <c r="I104" s="14"/>
      <c r="J104" s="14"/>
    </row>
    <row r="105" spans="2:10" x14ac:dyDescent="0.3">
      <c r="F105" s="14"/>
      <c r="G105" s="14"/>
      <c r="H105" s="14"/>
      <c r="I105" s="14"/>
      <c r="J105" s="14"/>
    </row>
    <row r="106" spans="2:10" x14ac:dyDescent="0.3">
      <c r="F106" s="14"/>
      <c r="G106" s="14"/>
      <c r="H106" s="14"/>
      <c r="I106" s="14"/>
      <c r="J106" s="14"/>
    </row>
    <row r="107" spans="2:10" x14ac:dyDescent="0.3">
      <c r="F107" s="14"/>
      <c r="G107" s="14"/>
      <c r="H107" s="14"/>
      <c r="I107" s="14"/>
      <c r="J107" s="14"/>
    </row>
    <row r="108" spans="2:10" x14ac:dyDescent="0.3">
      <c r="F108" s="13"/>
      <c r="G108" s="13"/>
      <c r="H108" s="13"/>
    </row>
    <row r="109" spans="2:10" x14ac:dyDescent="0.3">
      <c r="F109" s="12"/>
      <c r="G109" s="12"/>
      <c r="H109" s="12"/>
      <c r="I109" s="12"/>
      <c r="J109" s="12"/>
    </row>
    <row r="110" spans="2:10" x14ac:dyDescent="0.3">
      <c r="F110" s="13"/>
      <c r="G110" s="13"/>
      <c r="H110" s="13"/>
    </row>
    <row r="111" spans="2:10" x14ac:dyDescent="0.3">
      <c r="B111" s="5"/>
      <c r="F111" s="13"/>
      <c r="G111" s="13"/>
      <c r="H111" s="13"/>
    </row>
    <row r="112" spans="2:10" x14ac:dyDescent="0.3">
      <c r="B112" s="5"/>
      <c r="F112" s="13"/>
      <c r="G112" s="13"/>
      <c r="H112" s="13"/>
    </row>
    <row r="113" spans="2:10" x14ac:dyDescent="0.3">
      <c r="F113" s="14"/>
      <c r="G113" s="14"/>
      <c r="H113" s="14"/>
      <c r="I113" s="14"/>
      <c r="J113" s="14"/>
    </row>
    <row r="114" spans="2:10" x14ac:dyDescent="0.3">
      <c r="F114" s="13"/>
      <c r="G114" s="13"/>
      <c r="H114" s="13"/>
      <c r="I114" s="13"/>
      <c r="J114" s="13"/>
    </row>
    <row r="115" spans="2:10" x14ac:dyDescent="0.3">
      <c r="F115" s="13"/>
      <c r="G115" s="13"/>
      <c r="H115" s="13"/>
      <c r="I115" s="13"/>
      <c r="J115" s="13"/>
    </row>
    <row r="116" spans="2:10" x14ac:dyDescent="0.3">
      <c r="F116" s="13"/>
      <c r="G116" s="13"/>
      <c r="H116" s="13"/>
      <c r="I116" s="13"/>
      <c r="J116" s="13"/>
    </row>
    <row r="117" spans="2:10" x14ac:dyDescent="0.3">
      <c r="F117" s="25"/>
      <c r="G117" s="25"/>
      <c r="H117" s="25"/>
      <c r="I117" s="25"/>
      <c r="J117" s="25"/>
    </row>
    <row r="118" spans="2:10" x14ac:dyDescent="0.3">
      <c r="F118" s="12"/>
      <c r="G118" s="25"/>
      <c r="H118" s="25"/>
      <c r="I118" s="25"/>
      <c r="J118" s="25"/>
    </row>
    <row r="119" spans="2:10" x14ac:dyDescent="0.3">
      <c r="F119" s="9"/>
      <c r="G119" s="9"/>
      <c r="H119" s="9"/>
    </row>
    <row r="120" spans="2:10" x14ac:dyDescent="0.3">
      <c r="B120" s="5"/>
      <c r="F120" s="15"/>
      <c r="G120" s="15"/>
      <c r="H120" s="15"/>
    </row>
    <row r="121" spans="2:10" x14ac:dyDescent="0.3">
      <c r="F121" s="6"/>
      <c r="G121" s="6"/>
      <c r="H121" s="6"/>
    </row>
    <row r="122" spans="2:10" x14ac:dyDescent="0.3">
      <c r="F122" s="14"/>
      <c r="G122" s="14"/>
      <c r="H122" s="14"/>
      <c r="I122" s="14"/>
      <c r="J122" s="14"/>
    </row>
    <row r="123" spans="2:10" x14ac:dyDescent="0.3">
      <c r="F123" s="14"/>
      <c r="G123" s="6"/>
      <c r="H123" s="6"/>
    </row>
    <row r="124" spans="2:10" x14ac:dyDescent="0.3">
      <c r="F124" s="14"/>
      <c r="G124" s="6"/>
      <c r="H124" s="6"/>
    </row>
    <row r="125" spans="2:10" x14ac:dyDescent="0.3">
      <c r="F125" s="14"/>
      <c r="G125" s="6"/>
      <c r="H125" s="6"/>
    </row>
    <row r="126" spans="2:10" x14ac:dyDescent="0.3">
      <c r="F126" s="15"/>
      <c r="G126" s="6"/>
      <c r="H126" s="6"/>
    </row>
    <row r="127" spans="2:10" x14ac:dyDescent="0.3">
      <c r="F127" s="6"/>
      <c r="G127" s="6"/>
      <c r="H127" s="6"/>
    </row>
    <row r="128" spans="2:10" x14ac:dyDescent="0.3">
      <c r="B128" s="5"/>
      <c r="F128" s="6"/>
      <c r="G128" s="6"/>
      <c r="H128" s="6"/>
    </row>
    <row r="129" spans="6:8" x14ac:dyDescent="0.3">
      <c r="F129" s="6"/>
      <c r="G129" s="6"/>
      <c r="H129" s="6"/>
    </row>
    <row r="130" spans="6:8" x14ac:dyDescent="0.3">
      <c r="F130" s="14"/>
      <c r="G130" s="6"/>
      <c r="H130" s="6"/>
    </row>
    <row r="131" spans="6:8" x14ac:dyDescent="0.3">
      <c r="F131" s="9"/>
      <c r="G131" s="9"/>
      <c r="H131" s="9"/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4" r:id="rId4" name="Drop Down 2">
              <controlPr defaultSize="0" autoLine="0" autoPict="0">
                <anchor moveWithCells="1">
                  <from>
                    <xdr:col>1</xdr:col>
                    <xdr:colOff>0</xdr:colOff>
                    <xdr:row>9</xdr:row>
                    <xdr:rowOff>0</xdr:rowOff>
                  </from>
                  <to>
                    <xdr:col>3</xdr:col>
                    <xdr:colOff>861060</xdr:colOff>
                    <xdr:row>10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A95AF-FDE0-40AF-9B1D-946EE3A6BF23}">
  <dimension ref="A2:R782"/>
  <sheetViews>
    <sheetView showGridLines="0" showWhiteSpace="0" zoomScale="77" zoomScaleNormal="79" zoomScalePageLayoutView="50" workbookViewId="0">
      <selection activeCell="H208" sqref="H208"/>
    </sheetView>
  </sheetViews>
  <sheetFormatPr defaultRowHeight="14.4" x14ac:dyDescent="0.3"/>
  <cols>
    <col min="2" max="12" width="14.5546875" bestFit="1" customWidth="1"/>
    <col min="13" max="13" width="8.88671875" customWidth="1"/>
    <col min="15" max="16" width="10.44140625" bestFit="1" customWidth="1"/>
    <col min="17" max="17" width="11" bestFit="1" customWidth="1"/>
    <col min="18" max="18" width="14" bestFit="1" customWidth="1"/>
  </cols>
  <sheetData>
    <row r="2" spans="1:16" ht="15.6" x14ac:dyDescent="0.3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6" ht="28.8" x14ac:dyDescent="0.65">
      <c r="A3" s="48"/>
      <c r="B3" s="49" t="str">
        <f>Cover!$B$2</f>
        <v>Solid State PLC</v>
      </c>
      <c r="C3" s="49"/>
      <c r="D3" s="50"/>
      <c r="E3" s="51"/>
      <c r="F3" s="51"/>
      <c r="G3" s="51"/>
      <c r="H3" s="51"/>
      <c r="I3" s="51"/>
      <c r="J3" s="51"/>
      <c r="K3" s="51"/>
      <c r="L3" s="51"/>
    </row>
    <row r="4" spans="1:16" ht="21" x14ac:dyDescent="0.5">
      <c r="A4" s="48"/>
      <c r="B4" s="52" t="s">
        <v>1</v>
      </c>
      <c r="C4" s="53"/>
      <c r="D4" s="51"/>
      <c r="E4" s="51"/>
      <c r="F4" s="51"/>
      <c r="G4" s="51"/>
      <c r="H4" s="51"/>
      <c r="I4" s="51"/>
      <c r="J4" s="51"/>
      <c r="K4" s="51"/>
      <c r="L4" s="278" t="str">
        <f>"Currently Running: "&amp;CHOOSE(Assumptions!$B$10,Assumptions!$F$15,Assumptions!$F$16,Assumptions!$F$17)&amp;"Scenario"</f>
        <v>Currently Running: Upside Scenario</v>
      </c>
    </row>
    <row r="5" spans="1:16" ht="15.6" x14ac:dyDescent="0.35">
      <c r="A5" s="48"/>
      <c r="B5" s="54"/>
      <c r="C5" s="54"/>
      <c r="D5" s="54"/>
      <c r="E5" s="54"/>
      <c r="F5" s="54"/>
      <c r="G5" s="54"/>
      <c r="H5" s="54"/>
      <c r="I5" s="54"/>
      <c r="J5" s="54"/>
      <c r="K5" s="55"/>
      <c r="L5" s="55"/>
    </row>
    <row r="6" spans="1:16" ht="15.6" x14ac:dyDescent="0.35">
      <c r="A6" s="48"/>
      <c r="B6" s="55"/>
      <c r="C6" s="55"/>
      <c r="D6" s="55"/>
      <c r="E6" s="55"/>
      <c r="F6" s="56" t="s">
        <v>55</v>
      </c>
      <c r="G6" s="56"/>
      <c r="H6" s="56"/>
      <c r="I6" s="56"/>
      <c r="J6" s="56"/>
      <c r="K6" s="56"/>
      <c r="L6" s="56"/>
    </row>
    <row r="7" spans="1:16" ht="15.6" x14ac:dyDescent="0.35">
      <c r="A7" s="48"/>
      <c r="B7" s="55"/>
      <c r="C7" s="55"/>
      <c r="D7" s="55"/>
      <c r="E7" s="55"/>
      <c r="F7" s="57">
        <v>2025</v>
      </c>
      <c r="G7" s="57">
        <v>2026</v>
      </c>
      <c r="H7" s="58">
        <f>G7+1</f>
        <v>2027</v>
      </c>
      <c r="I7" s="58">
        <f t="shared" ref="I7:L7" si="0">H7+1</f>
        <v>2028</v>
      </c>
      <c r="J7" s="58">
        <f t="shared" si="0"/>
        <v>2029</v>
      </c>
      <c r="K7" s="58">
        <f t="shared" si="0"/>
        <v>2030</v>
      </c>
      <c r="L7" s="58">
        <f t="shared" si="0"/>
        <v>2031</v>
      </c>
    </row>
    <row r="8" spans="1:16" ht="16.2" thickBot="1" x14ac:dyDescent="0.4">
      <c r="A8" s="48"/>
      <c r="B8" s="59" t="s">
        <v>228</v>
      </c>
      <c r="C8" s="59"/>
      <c r="D8" s="59"/>
      <c r="E8" s="59"/>
      <c r="F8" s="60" t="s">
        <v>56</v>
      </c>
      <c r="G8" s="60"/>
      <c r="H8" s="61"/>
      <c r="I8" s="61"/>
      <c r="J8" s="61"/>
      <c r="K8" s="61"/>
      <c r="L8" s="61" t="s">
        <v>42</v>
      </c>
    </row>
    <row r="9" spans="1:16" ht="15.6" x14ac:dyDescent="0.35">
      <c r="A9" s="48"/>
      <c r="B9" s="55"/>
      <c r="C9" s="55"/>
      <c r="D9" s="55"/>
      <c r="E9" s="55"/>
      <c r="F9" s="62"/>
      <c r="G9" s="62"/>
      <c r="H9" s="63"/>
      <c r="I9" s="63"/>
      <c r="J9" s="63"/>
      <c r="K9" s="63"/>
      <c r="L9" s="63"/>
    </row>
    <row r="10" spans="1:16" ht="15.6" x14ac:dyDescent="0.35">
      <c r="A10" s="48"/>
      <c r="B10" s="64" t="s">
        <v>8</v>
      </c>
      <c r="C10" s="64"/>
      <c r="D10" s="65"/>
      <c r="E10" s="65"/>
      <c r="F10" s="293">
        <v>125064</v>
      </c>
      <c r="G10" s="293">
        <v>154144</v>
      </c>
      <c r="H10" s="304">
        <f>H231</f>
        <v>152272.39230000001</v>
      </c>
      <c r="I10" s="304">
        <f t="shared" ref="I10:L10" si="1">I231</f>
        <v>158508.23479596002</v>
      </c>
      <c r="J10" s="304">
        <f t="shared" si="1"/>
        <v>173337.27369714287</v>
      </c>
      <c r="K10" s="304">
        <f t="shared" si="1"/>
        <v>188771.5307312248</v>
      </c>
      <c r="L10" s="304">
        <f t="shared" si="1"/>
        <v>205330.41826145869</v>
      </c>
    </row>
    <row r="11" spans="1:16" ht="16.2" thickBot="1" x14ac:dyDescent="0.4">
      <c r="A11" s="48"/>
      <c r="B11" s="68" t="s">
        <v>49</v>
      </c>
      <c r="C11" s="68"/>
      <c r="D11" s="68"/>
      <c r="E11" s="68"/>
      <c r="F11" s="294">
        <v>-85737</v>
      </c>
      <c r="G11" s="294">
        <v>-102528</v>
      </c>
      <c r="H11" s="294">
        <f>-H293</f>
        <v>-93965.270952000021</v>
      </c>
      <c r="I11" s="294">
        <f t="shared" ref="I11:L11" si="2">-I293</f>
        <v>-103045.8484701711</v>
      </c>
      <c r="J11" s="294">
        <f t="shared" si="2"/>
        <v>-112542.74844307023</v>
      </c>
      <c r="K11" s="294">
        <f t="shared" si="2"/>
        <v>-122449.69017266939</v>
      </c>
      <c r="L11" s="294">
        <f t="shared" si="2"/>
        <v>-133046.03413951141</v>
      </c>
    </row>
    <row r="12" spans="1:16" ht="15.6" x14ac:dyDescent="0.35">
      <c r="A12" s="48"/>
      <c r="B12" s="70" t="s">
        <v>50</v>
      </c>
      <c r="C12" s="70"/>
      <c r="D12" s="70"/>
      <c r="E12" s="70"/>
      <c r="F12" s="295">
        <f>SUM(F10:F11)</f>
        <v>39327</v>
      </c>
      <c r="G12" s="295">
        <f t="shared" ref="G12:L12" si="3">SUM(G10:G11)</f>
        <v>51616</v>
      </c>
      <c r="H12" s="295">
        <f t="shared" si="3"/>
        <v>58307.121347999986</v>
      </c>
      <c r="I12" s="295">
        <f t="shared" si="3"/>
        <v>55462.386325788917</v>
      </c>
      <c r="J12" s="295">
        <f t="shared" si="3"/>
        <v>60794.525254072636</v>
      </c>
      <c r="K12" s="295">
        <f t="shared" si="3"/>
        <v>66321.840558555414</v>
      </c>
      <c r="L12" s="295">
        <f t="shared" si="3"/>
        <v>72284.384121947282</v>
      </c>
      <c r="O12" s="345"/>
      <c r="P12" s="345"/>
    </row>
    <row r="13" spans="1:16" ht="15.6" x14ac:dyDescent="0.35">
      <c r="A13" s="48"/>
      <c r="B13" s="65" t="s">
        <v>51</v>
      </c>
      <c r="C13" s="65"/>
      <c r="D13" s="70"/>
      <c r="E13" s="70"/>
      <c r="F13" s="64">
        <f>F12/F10</f>
        <v>0.31445499904049129</v>
      </c>
      <c r="G13" s="64">
        <f>G12/G10</f>
        <v>0.33485571932738217</v>
      </c>
      <c r="H13" s="64">
        <f t="shared" ref="H13:L13" si="4">H12/H10</f>
        <v>0.38291328104392031</v>
      </c>
      <c r="I13" s="64">
        <f t="shared" si="4"/>
        <v>0.34990223944631627</v>
      </c>
      <c r="J13" s="64">
        <f t="shared" si="4"/>
        <v>0.35072967260517562</v>
      </c>
      <c r="K13" s="64">
        <f t="shared" si="4"/>
        <v>0.35133391301988887</v>
      </c>
      <c r="L13" s="64">
        <f t="shared" si="4"/>
        <v>0.35203933608075322</v>
      </c>
    </row>
    <row r="14" spans="1:16" ht="15.6" x14ac:dyDescent="0.35">
      <c r="A14" s="48"/>
      <c r="B14" s="70"/>
      <c r="C14" s="70"/>
      <c r="D14" s="70"/>
      <c r="E14" s="70"/>
      <c r="F14" s="71"/>
      <c r="G14" s="71"/>
      <c r="H14" s="295"/>
      <c r="I14" s="295"/>
      <c r="J14" s="295"/>
      <c r="K14" s="295"/>
      <c r="L14" s="295"/>
    </row>
    <row r="15" spans="1:16" ht="16.2" thickBot="1" x14ac:dyDescent="0.4">
      <c r="A15" s="48"/>
      <c r="B15" s="72" t="s">
        <v>227</v>
      </c>
      <c r="C15" s="73"/>
      <c r="D15" s="73"/>
      <c r="E15" s="73"/>
      <c r="F15" s="296">
        <v>-37993</v>
      </c>
      <c r="G15" s="296">
        <v>-44669</v>
      </c>
      <c r="H15" s="294">
        <f>-H303</f>
        <v>-46009.07</v>
      </c>
      <c r="I15" s="294">
        <f t="shared" ref="I15:L15" si="5">-I303</f>
        <v>-49135.956978595364</v>
      </c>
      <c r="J15" s="294">
        <f t="shared" si="5"/>
        <v>-54871.318201607435</v>
      </c>
      <c r="K15" s="294">
        <f t="shared" si="5"/>
        <v>-61046.630591246452</v>
      </c>
      <c r="L15" s="294">
        <f t="shared" si="5"/>
        <v>-67842.078872020502</v>
      </c>
    </row>
    <row r="16" spans="1:16" ht="15.6" x14ac:dyDescent="0.35">
      <c r="A16" s="48"/>
      <c r="B16" s="70" t="s">
        <v>44</v>
      </c>
      <c r="C16" s="70"/>
      <c r="D16" s="70"/>
      <c r="E16" s="70"/>
      <c r="F16" s="295">
        <f t="shared" ref="F16:L16" si="6">SUM(F15:F15)+F12</f>
        <v>1334</v>
      </c>
      <c r="G16" s="295">
        <f t="shared" si="6"/>
        <v>6947</v>
      </c>
      <c r="H16" s="295">
        <f t="shared" si="6"/>
        <v>12298.051347999986</v>
      </c>
      <c r="I16" s="295">
        <f t="shared" si="6"/>
        <v>6326.4293471935525</v>
      </c>
      <c r="J16" s="295">
        <f t="shared" si="6"/>
        <v>5923.2070524652008</v>
      </c>
      <c r="K16" s="295">
        <f t="shared" si="6"/>
        <v>5275.2099673089615</v>
      </c>
      <c r="L16" s="295">
        <f t="shared" si="6"/>
        <v>4442.3052499267797</v>
      </c>
    </row>
    <row r="17" spans="1:12" ht="15.6" x14ac:dyDescent="0.35">
      <c r="A17" s="48"/>
      <c r="B17" s="65" t="s">
        <v>171</v>
      </c>
      <c r="C17" s="70"/>
      <c r="D17" s="70"/>
      <c r="E17" s="70"/>
      <c r="F17" s="64">
        <f t="shared" ref="F17:L17" si="7">F16/F10</f>
        <v>1.0666538732169129E-2</v>
      </c>
      <c r="G17" s="64">
        <f t="shared" si="7"/>
        <v>4.5068247872119577E-2</v>
      </c>
      <c r="H17" s="64">
        <f t="shared" si="7"/>
        <v>8.0763499950607831E-2</v>
      </c>
      <c r="I17" s="64">
        <f t="shared" si="7"/>
        <v>3.9912307113490093E-2</v>
      </c>
      <c r="J17" s="64">
        <f t="shared" si="7"/>
        <v>3.4171571561776755E-2</v>
      </c>
      <c r="K17" s="64">
        <f t="shared" si="7"/>
        <v>2.7944944594531416E-2</v>
      </c>
      <c r="L17" s="64">
        <f t="shared" si="7"/>
        <v>2.16349106359397E-2</v>
      </c>
    </row>
    <row r="18" spans="1:12" ht="15.6" x14ac:dyDescent="0.35">
      <c r="A18" s="48"/>
      <c r="B18" s="70"/>
      <c r="C18" s="70"/>
      <c r="D18" s="70"/>
      <c r="E18" s="70"/>
      <c r="F18" s="71"/>
      <c r="G18" s="71"/>
      <c r="H18" s="71"/>
      <c r="I18" s="71"/>
      <c r="J18" s="71"/>
      <c r="K18" s="71"/>
      <c r="L18" s="71"/>
    </row>
    <row r="19" spans="1:12" ht="15.6" x14ac:dyDescent="0.35">
      <c r="A19" s="48"/>
      <c r="B19" s="65" t="s">
        <v>133</v>
      </c>
      <c r="C19" s="65"/>
      <c r="D19" s="70"/>
      <c r="E19" s="70"/>
      <c r="F19" s="67"/>
      <c r="G19" s="67"/>
      <c r="H19" s="304">
        <f>-H428</f>
        <v>-780.05877268500001</v>
      </c>
      <c r="I19" s="304">
        <f t="shared" ref="I19:L19" si="8">-I428</f>
        <v>-1075.3003684261621</v>
      </c>
      <c r="J19" s="304">
        <f t="shared" si="8"/>
        <v>-1390.5536014946097</v>
      </c>
      <c r="K19" s="304">
        <f t="shared" si="8"/>
        <v>-1734.556965701559</v>
      </c>
      <c r="L19" s="304">
        <f t="shared" si="8"/>
        <v>-2108.9538172446082</v>
      </c>
    </row>
    <row r="20" spans="1:12" ht="15.6" x14ac:dyDescent="0.35">
      <c r="A20" s="48"/>
      <c r="B20" s="65" t="s">
        <v>134</v>
      </c>
      <c r="C20" s="65"/>
      <c r="D20" s="70"/>
      <c r="E20" s="70"/>
      <c r="F20" s="67"/>
      <c r="G20" s="67"/>
      <c r="H20" s="304">
        <f>-H373</f>
        <v>-1262.5999999999999</v>
      </c>
      <c r="I20" s="304">
        <f t="shared" ref="I20:L20" si="9">-I373</f>
        <v>-1612.6</v>
      </c>
      <c r="J20" s="304">
        <f t="shared" si="9"/>
        <v>-2012.6</v>
      </c>
      <c r="K20" s="304">
        <f t="shared" si="9"/>
        <v>-2412.6</v>
      </c>
      <c r="L20" s="304">
        <f t="shared" si="9"/>
        <v>-2812.6</v>
      </c>
    </row>
    <row r="21" spans="1:12" ht="15.6" x14ac:dyDescent="0.35">
      <c r="A21" s="48"/>
      <c r="B21" s="74" t="s">
        <v>29</v>
      </c>
      <c r="C21" s="74"/>
      <c r="D21" s="74"/>
      <c r="E21" s="74"/>
      <c r="F21" s="75"/>
      <c r="G21" s="75"/>
      <c r="H21" s="362">
        <f>-H452</f>
        <v>-1714.4723923000001</v>
      </c>
      <c r="I21" s="362">
        <f t="shared" ref="I21:L21" si="10">-I452</f>
        <v>-2025.2530193959601</v>
      </c>
      <c r="J21" s="362">
        <f t="shared" si="10"/>
        <v>-2357.098527889063</v>
      </c>
      <c r="K21" s="362">
        <f t="shared" si="10"/>
        <v>-2719.2073323174309</v>
      </c>
      <c r="L21" s="362">
        <f t="shared" si="10"/>
        <v>-3113.3092813101139</v>
      </c>
    </row>
    <row r="22" spans="1:12" ht="16.2" thickBot="1" x14ac:dyDescent="0.4">
      <c r="A22" s="48"/>
      <c r="B22" s="233" t="s">
        <v>52</v>
      </c>
      <c r="C22" s="233"/>
      <c r="D22" s="233"/>
      <c r="E22" s="233"/>
      <c r="F22" s="234"/>
      <c r="G22" s="234"/>
      <c r="H22" s="364">
        <f>SUM(H19:H21)</f>
        <v>-3757.1311649849999</v>
      </c>
      <c r="I22" s="364">
        <f t="shared" ref="I22:L22" si="11">SUM(I19:I21)</f>
        <v>-4713.1533878221217</v>
      </c>
      <c r="J22" s="364">
        <f t="shared" si="11"/>
        <v>-5760.2521293836726</v>
      </c>
      <c r="K22" s="364">
        <f t="shared" si="11"/>
        <v>-6866.3642980189898</v>
      </c>
      <c r="L22" s="364">
        <f t="shared" si="11"/>
        <v>-8034.8630985547225</v>
      </c>
    </row>
    <row r="23" spans="1:12" ht="15.6" x14ac:dyDescent="0.35">
      <c r="A23" s="48"/>
      <c r="B23" s="70" t="s">
        <v>169</v>
      </c>
      <c r="C23" s="70"/>
      <c r="D23" s="70"/>
      <c r="E23" s="70"/>
      <c r="F23" s="298">
        <f t="shared" ref="F23:G23" si="12">F16-F22</f>
        <v>1334</v>
      </c>
      <c r="G23" s="298">
        <f>G16-G22</f>
        <v>6947</v>
      </c>
      <c r="H23" s="298">
        <f>H16-H22</f>
        <v>16055.182512984986</v>
      </c>
      <c r="I23" s="298">
        <f>I16-I22</f>
        <v>11039.582735015674</v>
      </c>
      <c r="J23" s="298">
        <f>J16-J22</f>
        <v>11683.459181848873</v>
      </c>
      <c r="K23" s="298">
        <f>K16-K22</f>
        <v>12141.574265327952</v>
      </c>
      <c r="L23" s="298">
        <f>L16-L22</f>
        <v>12477.168348481502</v>
      </c>
    </row>
    <row r="24" spans="1:12" ht="15.6" x14ac:dyDescent="0.35">
      <c r="A24" s="48"/>
      <c r="B24" s="65" t="s">
        <v>170</v>
      </c>
      <c r="C24" s="70"/>
      <c r="D24" s="70"/>
      <c r="E24" s="70"/>
      <c r="F24" s="160">
        <f t="shared" ref="F24:L24" si="13">F23/F10</f>
        <v>1.0666538732169129E-2</v>
      </c>
      <c r="G24" s="160">
        <f t="shared" si="13"/>
        <v>4.5068247872119577E-2</v>
      </c>
      <c r="H24" s="160">
        <f t="shared" si="13"/>
        <v>0.10543725143132847</v>
      </c>
      <c r="I24" s="160">
        <f t="shared" si="13"/>
        <v>6.9646745793531764E-2</v>
      </c>
      <c r="J24" s="160">
        <f t="shared" si="13"/>
        <v>6.7403039938555662E-2</v>
      </c>
      <c r="K24" s="160">
        <f t="shared" si="13"/>
        <v>6.4318884411735125E-2</v>
      </c>
      <c r="L24" s="160">
        <f t="shared" si="13"/>
        <v>6.0766292954186785E-2</v>
      </c>
    </row>
    <row r="25" spans="1:12" ht="15.6" x14ac:dyDescent="0.35">
      <c r="A25" s="48"/>
      <c r="B25" s="70"/>
      <c r="C25" s="70"/>
      <c r="D25" s="70"/>
      <c r="E25" s="70"/>
      <c r="F25" s="76"/>
      <c r="G25" s="76"/>
      <c r="H25" s="77"/>
      <c r="I25" s="77"/>
      <c r="J25" s="77"/>
      <c r="K25" s="77"/>
      <c r="L25" s="77"/>
    </row>
    <row r="26" spans="1:12" ht="15.6" x14ac:dyDescent="0.35">
      <c r="A26" s="48"/>
      <c r="B26" s="74" t="s">
        <v>53</v>
      </c>
      <c r="C26" s="74"/>
      <c r="D26" s="78"/>
      <c r="E26" s="78"/>
      <c r="F26" s="297">
        <v>-1014</v>
      </c>
      <c r="G26" s="297">
        <v>-1102</v>
      </c>
      <c r="H26" s="362">
        <f>H513-H507+H387</f>
        <v>-1195.9379999999999</v>
      </c>
      <c r="I26" s="362">
        <f>I513-I507+I387</f>
        <v>-467.06638957976554</v>
      </c>
      <c r="J26" s="362">
        <f>J513-J507+J387</f>
        <v>-530.69604237064686</v>
      </c>
      <c r="K26" s="362">
        <f>K513-K507+K387</f>
        <v>-599.46854026883364</v>
      </c>
      <c r="L26" s="362">
        <f>L513-L507+L387</f>
        <v>-667.6412352391178</v>
      </c>
    </row>
    <row r="27" spans="1:12" ht="15.6" x14ac:dyDescent="0.35">
      <c r="A27" s="48"/>
      <c r="B27" s="79" t="s">
        <v>45</v>
      </c>
      <c r="C27" s="79"/>
      <c r="D27" s="79"/>
      <c r="E27" s="79"/>
      <c r="F27" s="299">
        <f t="shared" ref="F27:L27" si="14">SUM(F26:F26)</f>
        <v>-1014</v>
      </c>
      <c r="G27" s="299">
        <f t="shared" si="14"/>
        <v>-1102</v>
      </c>
      <c r="H27" s="299">
        <f t="shared" si="14"/>
        <v>-1195.9379999999999</v>
      </c>
      <c r="I27" s="299">
        <f t="shared" si="14"/>
        <v>-467.06638957976554</v>
      </c>
      <c r="J27" s="299">
        <f t="shared" si="14"/>
        <v>-530.69604237064686</v>
      </c>
      <c r="K27" s="299">
        <f t="shared" si="14"/>
        <v>-599.46854026883364</v>
      </c>
      <c r="L27" s="299">
        <f t="shared" si="14"/>
        <v>-667.6412352391178</v>
      </c>
    </row>
    <row r="28" spans="1:12" ht="16.2" thickBot="1" x14ac:dyDescent="0.4">
      <c r="A28" s="48"/>
      <c r="B28" s="73"/>
      <c r="C28" s="73"/>
      <c r="D28" s="73"/>
      <c r="E28" s="73"/>
      <c r="F28" s="80"/>
      <c r="G28" s="80"/>
      <c r="H28" s="80"/>
      <c r="I28" s="80"/>
      <c r="J28" s="80"/>
      <c r="K28" s="80"/>
      <c r="L28" s="80"/>
    </row>
    <row r="29" spans="1:12" ht="15.6" x14ac:dyDescent="0.35">
      <c r="A29" s="48"/>
      <c r="B29" s="70" t="s">
        <v>25</v>
      </c>
      <c r="C29" s="70"/>
      <c r="D29" s="70"/>
      <c r="E29" s="70"/>
      <c r="F29" s="298">
        <f t="shared" ref="F29:L29" si="15">F16+F27</f>
        <v>320</v>
      </c>
      <c r="G29" s="298">
        <f t="shared" si="15"/>
        <v>5845</v>
      </c>
      <c r="H29" s="298">
        <f t="shared" si="15"/>
        <v>11102.113347999986</v>
      </c>
      <c r="I29" s="298">
        <f t="shared" si="15"/>
        <v>5859.3629576137873</v>
      </c>
      <c r="J29" s="298">
        <f t="shared" si="15"/>
        <v>5392.511010094554</v>
      </c>
      <c r="K29" s="298">
        <f t="shared" si="15"/>
        <v>4675.7414270401277</v>
      </c>
      <c r="L29" s="298">
        <f t="shared" si="15"/>
        <v>3774.6640146876616</v>
      </c>
    </row>
    <row r="30" spans="1:12" ht="15.6" x14ac:dyDescent="0.35">
      <c r="A30" s="48"/>
      <c r="B30" s="70"/>
      <c r="C30" s="70"/>
      <c r="D30" s="65"/>
      <c r="E30" s="65"/>
      <c r="F30" s="71"/>
      <c r="G30" s="71"/>
      <c r="H30" s="295"/>
      <c r="I30" s="295"/>
      <c r="J30" s="295"/>
      <c r="K30" s="295"/>
      <c r="L30" s="295"/>
    </row>
    <row r="31" spans="1:12" ht="16.2" thickBot="1" x14ac:dyDescent="0.4">
      <c r="A31" s="48"/>
      <c r="B31" s="72" t="s">
        <v>268</v>
      </c>
      <c r="C31" s="72"/>
      <c r="D31" s="72"/>
      <c r="E31" s="72"/>
      <c r="F31" s="296">
        <v>192</v>
      </c>
      <c r="G31" s="296">
        <v>-1757</v>
      </c>
      <c r="H31" s="349">
        <f>-H537</f>
        <v>-3330.6340043999958</v>
      </c>
      <c r="I31" s="349">
        <f t="shared" ref="I31:L31" si="16">-I537</f>
        <v>-1757.8088872841361</v>
      </c>
      <c r="J31" s="349">
        <f t="shared" si="16"/>
        <v>-1617.7533030283662</v>
      </c>
      <c r="K31" s="349">
        <f t="shared" si="16"/>
        <v>-1402.7224281120382</v>
      </c>
      <c r="L31" s="349">
        <f t="shared" si="16"/>
        <v>-1132.3992044062984</v>
      </c>
    </row>
    <row r="32" spans="1:12" ht="15.6" x14ac:dyDescent="0.35">
      <c r="A32" s="48"/>
      <c r="B32" s="70" t="s">
        <v>46</v>
      </c>
      <c r="C32" s="70"/>
      <c r="D32" s="65"/>
      <c r="E32" s="65"/>
      <c r="F32" s="295">
        <f>F29+F31</f>
        <v>512</v>
      </c>
      <c r="G32" s="295">
        <f t="shared" ref="G32:L32" si="17">G29+G31</f>
        <v>4088</v>
      </c>
      <c r="H32" s="295">
        <f t="shared" si="17"/>
        <v>7771.4793435999909</v>
      </c>
      <c r="I32" s="295">
        <f t="shared" si="17"/>
        <v>4101.554070329651</v>
      </c>
      <c r="J32" s="295">
        <f t="shared" si="17"/>
        <v>3774.7577070661878</v>
      </c>
      <c r="K32" s="295">
        <f t="shared" si="17"/>
        <v>3273.0189989280898</v>
      </c>
      <c r="L32" s="295">
        <f t="shared" si="17"/>
        <v>2642.2648102813632</v>
      </c>
    </row>
    <row r="33" spans="1:12" ht="15.6" x14ac:dyDescent="0.35">
      <c r="A33" s="48"/>
      <c r="B33" s="65" t="s">
        <v>47</v>
      </c>
      <c r="C33" s="65"/>
      <c r="D33" s="65"/>
      <c r="E33" s="65"/>
      <c r="F33" s="64">
        <f t="shared" ref="F33:L33" si="18">F32/F10</f>
        <v>4.0939039211923493E-3</v>
      </c>
      <c r="G33" s="64">
        <f t="shared" si="18"/>
        <v>2.652065600996471E-2</v>
      </c>
      <c r="H33" s="64">
        <f t="shared" si="18"/>
        <v>5.1036693035524015E-2</v>
      </c>
      <c r="I33" s="64">
        <f t="shared" si="18"/>
        <v>2.5875968372301814E-2</v>
      </c>
      <c r="J33" s="64">
        <f t="shared" si="18"/>
        <v>2.177695325739052E-2</v>
      </c>
      <c r="K33" s="64">
        <f t="shared" si="18"/>
        <v>1.7338520200846672E-2</v>
      </c>
      <c r="L33" s="64">
        <f t="shared" si="18"/>
        <v>1.2868355466537938E-2</v>
      </c>
    </row>
    <row r="34" spans="1:12" ht="15.6" x14ac:dyDescent="0.35">
      <c r="A34" s="48"/>
      <c r="B34" s="65"/>
      <c r="C34" s="65"/>
      <c r="D34" s="65"/>
      <c r="E34" s="65"/>
      <c r="F34" s="67"/>
      <c r="G34" s="67"/>
      <c r="H34" s="67"/>
      <c r="I34" s="67"/>
      <c r="J34" s="67"/>
      <c r="K34" s="67"/>
      <c r="L34" s="67"/>
    </row>
    <row r="35" spans="1:12" ht="16.2" thickBot="1" x14ac:dyDescent="0.4">
      <c r="A35" s="48"/>
      <c r="B35" s="73" t="s">
        <v>2</v>
      </c>
      <c r="C35" s="73"/>
      <c r="D35" s="72"/>
      <c r="E35" s="72"/>
      <c r="F35" s="69"/>
      <c r="G35" s="69"/>
      <c r="H35" s="69"/>
      <c r="I35" s="69"/>
      <c r="J35" s="69"/>
      <c r="K35" s="69"/>
      <c r="L35" s="69"/>
    </row>
    <row r="36" spans="1:12" ht="15.6" x14ac:dyDescent="0.35">
      <c r="A36" s="48"/>
      <c r="B36" s="65" t="s">
        <v>3</v>
      </c>
      <c r="C36" s="65"/>
      <c r="D36" s="65" t="s">
        <v>66</v>
      </c>
      <c r="E36" s="65"/>
      <c r="F36" s="300">
        <v>0.9</v>
      </c>
      <c r="G36" s="300">
        <v>7.2</v>
      </c>
      <c r="H36" s="375">
        <f>(H32*1000/$D$38)*100</f>
        <v>13.615065423265577</v>
      </c>
      <c r="I36" s="375">
        <f t="shared" ref="I36:L36" si="19">(I32*1000/$D$38)*100</f>
        <v>7.1856238092670832</v>
      </c>
      <c r="J36" s="375">
        <f t="shared" si="19"/>
        <v>6.6131003978034117</v>
      </c>
      <c r="K36" s="375">
        <f t="shared" si="19"/>
        <v>5.7340907479468983</v>
      </c>
      <c r="L36" s="375">
        <f t="shared" si="19"/>
        <v>4.6290553789091859</v>
      </c>
    </row>
    <row r="37" spans="1:12" ht="15.6" x14ac:dyDescent="0.35">
      <c r="A37" s="48"/>
      <c r="B37" s="65"/>
      <c r="C37" s="65"/>
      <c r="D37" s="65"/>
      <c r="E37" s="65"/>
      <c r="F37" s="81"/>
      <c r="G37" s="81"/>
      <c r="H37" s="82"/>
      <c r="I37" s="82"/>
      <c r="J37" s="82"/>
      <c r="K37" s="82"/>
      <c r="L37" s="82"/>
    </row>
    <row r="38" spans="1:12" ht="15.6" x14ac:dyDescent="0.35">
      <c r="A38" s="48"/>
      <c r="B38" s="70" t="s">
        <v>224</v>
      </c>
      <c r="C38" s="65"/>
      <c r="D38" s="291">
        <v>57080000</v>
      </c>
      <c r="E38" s="65"/>
      <c r="F38" s="81"/>
      <c r="G38" s="81"/>
      <c r="H38" s="82"/>
      <c r="I38" s="82"/>
      <c r="J38" s="82"/>
      <c r="K38" s="82"/>
      <c r="L38" s="82"/>
    </row>
    <row r="39" spans="1:12" ht="15.6" x14ac:dyDescent="0.35">
      <c r="A39" s="48"/>
      <c r="B39" s="65"/>
      <c r="C39" s="65"/>
      <c r="D39" s="65"/>
      <c r="E39" s="65"/>
      <c r="F39" s="81"/>
      <c r="G39" s="81"/>
      <c r="H39" s="82"/>
      <c r="I39" s="82"/>
      <c r="J39" s="82"/>
      <c r="K39" s="82"/>
      <c r="L39" s="82"/>
    </row>
    <row r="40" spans="1:12" ht="15.6" x14ac:dyDescent="0.35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.6" x14ac:dyDescent="0.35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28.8" x14ac:dyDescent="0.65">
      <c r="A42" s="48"/>
      <c r="B42" s="49" t="str">
        <f>Cover!$B$2</f>
        <v>Solid State PLC</v>
      </c>
      <c r="C42" s="49"/>
      <c r="D42" s="50"/>
      <c r="E42" s="51"/>
      <c r="F42" s="51"/>
      <c r="G42" s="51"/>
      <c r="H42" s="51"/>
      <c r="I42" s="51"/>
      <c r="J42" s="51"/>
      <c r="K42" s="51"/>
      <c r="L42" s="51"/>
    </row>
    <row r="43" spans="1:12" ht="21" x14ac:dyDescent="0.5">
      <c r="A43" s="48"/>
      <c r="B43" s="52" t="s">
        <v>4</v>
      </c>
      <c r="C43" s="53"/>
      <c r="D43" s="51"/>
      <c r="E43" s="51"/>
      <c r="F43" s="51"/>
      <c r="G43" s="51"/>
      <c r="H43" s="51"/>
      <c r="I43" s="51"/>
      <c r="J43" s="51"/>
      <c r="K43" s="51"/>
      <c r="L43" s="278" t="str">
        <f>"Currently Running: "&amp;CHOOSE(Assumptions!$B$10,Assumptions!$F$15,Assumptions!$F$16,Assumptions!$F$17)&amp;"Scenario"</f>
        <v>Currently Running: Upside Scenario</v>
      </c>
    </row>
    <row r="44" spans="1:12" ht="15.6" x14ac:dyDescent="0.35">
      <c r="A44" s="48"/>
      <c r="B44" s="54"/>
      <c r="C44" s="54"/>
      <c r="D44" s="54"/>
      <c r="E44" s="54"/>
      <c r="F44" s="54"/>
      <c r="G44" s="54"/>
      <c r="H44" s="54"/>
      <c r="I44" s="54"/>
      <c r="J44" s="54"/>
      <c r="K44" s="55"/>
      <c r="L44" s="55"/>
    </row>
    <row r="45" spans="1:12" ht="15.6" x14ac:dyDescent="0.35">
      <c r="A45" s="48"/>
      <c r="B45" s="55"/>
      <c r="C45" s="55"/>
      <c r="D45" s="55"/>
      <c r="E45" s="55"/>
      <c r="F45" s="56" t="s">
        <v>55</v>
      </c>
      <c r="G45" s="56"/>
      <c r="H45" s="56"/>
      <c r="I45" s="56"/>
      <c r="J45" s="56"/>
      <c r="K45" s="56"/>
      <c r="L45" s="56"/>
    </row>
    <row r="46" spans="1:12" ht="15.6" x14ac:dyDescent="0.35">
      <c r="A46" s="48"/>
      <c r="B46" s="55"/>
      <c r="C46" s="55"/>
      <c r="D46" s="55"/>
      <c r="E46" s="55"/>
      <c r="F46" s="57">
        <v>2025</v>
      </c>
      <c r="G46" s="57">
        <v>2026</v>
      </c>
      <c r="H46" s="58">
        <f>G46+1</f>
        <v>2027</v>
      </c>
      <c r="I46" s="58">
        <f t="shared" ref="I46" si="20">H46+1</f>
        <v>2028</v>
      </c>
      <c r="J46" s="58">
        <f t="shared" ref="J46" si="21">I46+1</f>
        <v>2029</v>
      </c>
      <c r="K46" s="58">
        <f t="shared" ref="K46" si="22">J46+1</f>
        <v>2030</v>
      </c>
      <c r="L46" s="58">
        <f t="shared" ref="L46" si="23">K46+1</f>
        <v>2031</v>
      </c>
    </row>
    <row r="47" spans="1:12" ht="16.2" thickBot="1" x14ac:dyDescent="0.4">
      <c r="A47" s="48"/>
      <c r="B47" s="59" t="s">
        <v>228</v>
      </c>
      <c r="C47" s="59"/>
      <c r="D47" s="59"/>
      <c r="E47" s="59"/>
      <c r="F47" s="60" t="s">
        <v>56</v>
      </c>
      <c r="G47" s="60"/>
      <c r="H47" s="61"/>
      <c r="I47" s="61"/>
      <c r="J47" s="61"/>
      <c r="K47" s="61"/>
      <c r="L47" s="61" t="s">
        <v>42</v>
      </c>
    </row>
    <row r="48" spans="1:12" ht="15.6" x14ac:dyDescent="0.35">
      <c r="A48" s="48"/>
      <c r="B48" s="55"/>
      <c r="C48" s="55"/>
      <c r="D48" s="55"/>
      <c r="E48" s="55"/>
      <c r="F48" s="83"/>
      <c r="G48" s="83"/>
      <c r="H48" s="84"/>
      <c r="I48" s="84"/>
      <c r="J48" s="84"/>
      <c r="K48" s="84"/>
      <c r="L48" s="84"/>
    </row>
    <row r="49" spans="1:16" ht="15.6" x14ac:dyDescent="0.35">
      <c r="A49" s="48"/>
      <c r="B49" s="85" t="s">
        <v>5</v>
      </c>
      <c r="C49" s="86"/>
      <c r="D49" s="87"/>
      <c r="E49" s="87"/>
      <c r="F49" s="88"/>
      <c r="G49" s="88"/>
      <c r="H49" s="89"/>
      <c r="I49" s="89"/>
      <c r="J49" s="89"/>
      <c r="K49" s="89"/>
      <c r="L49" s="90"/>
    </row>
    <row r="50" spans="1:16" ht="15.6" x14ac:dyDescent="0.35">
      <c r="A50" s="48"/>
      <c r="B50" s="65"/>
      <c r="C50" s="65"/>
      <c r="D50" s="65"/>
      <c r="E50" s="65"/>
      <c r="F50" s="91"/>
      <c r="G50" s="91"/>
      <c r="H50" s="92"/>
      <c r="I50" s="92"/>
      <c r="J50" s="92"/>
      <c r="K50" s="92"/>
      <c r="L50" s="92"/>
    </row>
    <row r="51" spans="1:16" ht="15.6" x14ac:dyDescent="0.35">
      <c r="A51" s="48"/>
      <c r="B51" s="129" t="s">
        <v>10</v>
      </c>
      <c r="C51" s="65"/>
      <c r="D51" s="65"/>
      <c r="E51" s="65"/>
      <c r="F51" s="293">
        <v>28239</v>
      </c>
      <c r="G51" s="293">
        <v>30502</v>
      </c>
      <c r="H51" s="304">
        <f>H324</f>
        <v>27954.594789500476</v>
      </c>
      <c r="I51" s="304">
        <f t="shared" ref="I51:L51" si="24">I324</f>
        <v>30656.059515811863</v>
      </c>
      <c r="J51" s="304">
        <f t="shared" si="24"/>
        <v>33481.379847558994</v>
      </c>
      <c r="K51" s="304">
        <f t="shared" si="24"/>
        <v>36428.687281979182</v>
      </c>
      <c r="L51" s="304">
        <f t="shared" si="24"/>
        <v>39581.091344056033</v>
      </c>
    </row>
    <row r="52" spans="1:16" ht="15.6" x14ac:dyDescent="0.35">
      <c r="A52" s="48"/>
      <c r="B52" s="129" t="s">
        <v>58</v>
      </c>
      <c r="C52" s="65"/>
      <c r="D52" s="65"/>
      <c r="E52" s="65"/>
      <c r="F52" s="293">
        <v>21616</v>
      </c>
      <c r="G52" s="293">
        <v>20157</v>
      </c>
      <c r="H52" s="302">
        <f>H323</f>
        <v>19912.254849952646</v>
      </c>
      <c r="I52" s="302">
        <f t="shared" ref="I52:L52" si="25">I323</f>
        <v>20727.699351140272</v>
      </c>
      <c r="J52" s="302">
        <f t="shared" si="25"/>
        <v>22666.853240562781</v>
      </c>
      <c r="K52" s="302">
        <f t="shared" si="25"/>
        <v>24685.14989197957</v>
      </c>
      <c r="L52" s="302">
        <f t="shared" si="25"/>
        <v>26850.511475608673</v>
      </c>
    </row>
    <row r="53" spans="1:16" ht="15.6" x14ac:dyDescent="0.35">
      <c r="A53" s="48"/>
      <c r="B53" s="129" t="s">
        <v>229</v>
      </c>
      <c r="C53" s="65"/>
      <c r="D53" s="65"/>
      <c r="E53" s="65"/>
      <c r="F53" s="293">
        <v>986</v>
      </c>
      <c r="G53" s="293">
        <v>2392</v>
      </c>
      <c r="H53" s="128">
        <f>IF(H547&gt;0, H547, 0)</f>
        <v>0</v>
      </c>
      <c r="I53" s="128">
        <f t="shared" ref="I53:L53" si="26">IF(I547&gt;0, I547, 0)</f>
        <v>0</v>
      </c>
      <c r="J53" s="128">
        <f t="shared" si="26"/>
        <v>0</v>
      </c>
      <c r="K53" s="128">
        <f t="shared" si="26"/>
        <v>0</v>
      </c>
      <c r="L53" s="128">
        <f t="shared" si="26"/>
        <v>0</v>
      </c>
    </row>
    <row r="54" spans="1:16" ht="15.6" x14ac:dyDescent="0.35">
      <c r="A54" s="48"/>
      <c r="B54" s="130" t="s">
        <v>59</v>
      </c>
      <c r="C54" s="126"/>
      <c r="D54" s="126"/>
      <c r="E54" s="126"/>
      <c r="F54" s="301">
        <v>3513</v>
      </c>
      <c r="G54" s="301">
        <v>6568</v>
      </c>
      <c r="H54" s="360">
        <f>H132</f>
        <v>3897.1818447400037</v>
      </c>
      <c r="I54" s="360">
        <f t="shared" ref="I54:L54" si="27">I132</f>
        <v>3956.7221471735656</v>
      </c>
      <c r="J54" s="360">
        <f t="shared" si="27"/>
        <v>3654.4072853548919</v>
      </c>
      <c r="K54" s="360">
        <f t="shared" si="27"/>
        <v>3641.7662258651917</v>
      </c>
      <c r="L54" s="360">
        <f t="shared" si="27"/>
        <v>3785.1186019034435</v>
      </c>
    </row>
    <row r="55" spans="1:16" ht="15.6" x14ac:dyDescent="0.35">
      <c r="A55" s="48"/>
      <c r="B55" s="65" t="s">
        <v>60</v>
      </c>
      <c r="C55" s="65"/>
      <c r="D55" s="65"/>
      <c r="E55" s="65"/>
      <c r="F55" s="302">
        <f>SUM(F51:F54)</f>
        <v>54354</v>
      </c>
      <c r="G55" s="302">
        <f t="shared" ref="G55:L55" si="28">SUM(G51:G54)</f>
        <v>59619</v>
      </c>
      <c r="H55" s="302">
        <f t="shared" si="28"/>
        <v>51764.031484193125</v>
      </c>
      <c r="I55" s="302">
        <f t="shared" si="28"/>
        <v>55340.481014125704</v>
      </c>
      <c r="J55" s="302">
        <f>SUM(J51:J54)</f>
        <v>59802.640373476672</v>
      </c>
      <c r="K55" s="302">
        <f t="shared" si="28"/>
        <v>64755.603399823944</v>
      </c>
      <c r="L55" s="302">
        <f t="shared" si="28"/>
        <v>70216.72142156816</v>
      </c>
    </row>
    <row r="56" spans="1:16" ht="15.6" x14ac:dyDescent="0.35">
      <c r="A56" s="48"/>
      <c r="B56" s="65" t="s">
        <v>61</v>
      </c>
      <c r="C56" s="65"/>
      <c r="D56" s="65"/>
      <c r="E56" s="65"/>
      <c r="F56" s="66"/>
      <c r="G56" s="66"/>
      <c r="H56" s="367"/>
      <c r="I56" s="367"/>
      <c r="J56" s="367"/>
      <c r="K56" s="367"/>
      <c r="L56" s="367"/>
      <c r="O56" s="35"/>
      <c r="P56" s="35"/>
    </row>
    <row r="57" spans="1:16" ht="15.6" x14ac:dyDescent="0.35">
      <c r="A57" s="48"/>
      <c r="B57" s="126" t="s">
        <v>62</v>
      </c>
      <c r="C57" s="126"/>
      <c r="D57" s="126"/>
      <c r="E57" s="126"/>
      <c r="F57" s="127"/>
      <c r="G57" s="127"/>
      <c r="H57" s="368"/>
      <c r="I57" s="368"/>
      <c r="J57" s="368"/>
      <c r="K57" s="368"/>
      <c r="L57" s="368"/>
    </row>
    <row r="58" spans="1:16" ht="15.6" x14ac:dyDescent="0.35">
      <c r="A58" s="48"/>
      <c r="B58" s="65" t="s">
        <v>63</v>
      </c>
      <c r="C58" s="65"/>
      <c r="D58" s="65"/>
      <c r="E58" s="65"/>
      <c r="F58" s="293">
        <v>5487</v>
      </c>
      <c r="G58" s="293">
        <v>6354</v>
      </c>
      <c r="H58" s="302">
        <f>H435</f>
        <v>8467.1166810149989</v>
      </c>
      <c r="I58" s="302">
        <f t="shared" ref="I58:L58" si="29">I435</f>
        <v>10403.472773712077</v>
      </c>
      <c r="J58" s="302">
        <f t="shared" si="29"/>
        <v>12306.327372463182</v>
      </c>
      <c r="K58" s="302">
        <f t="shared" si="29"/>
        <v>14158.429490654895</v>
      </c>
      <c r="L58" s="302">
        <f t="shared" si="29"/>
        <v>15950.753620378</v>
      </c>
    </row>
    <row r="59" spans="1:16" ht="15.6" x14ac:dyDescent="0.35">
      <c r="A59" s="48"/>
      <c r="B59" s="65" t="s">
        <v>14</v>
      </c>
      <c r="C59" s="65"/>
      <c r="D59" s="65"/>
      <c r="E59" s="65"/>
      <c r="F59" s="293">
        <v>36968</v>
      </c>
      <c r="G59" s="293">
        <v>34643</v>
      </c>
      <c r="H59" s="302">
        <f>H462</f>
        <v>34451.251530699999</v>
      </c>
      <c r="I59" s="302">
        <f t="shared" ref="I59:L59" si="30">I462</f>
        <v>34011.080859263639</v>
      </c>
      <c r="J59" s="302">
        <f t="shared" si="30"/>
        <v>33387.355068346005</v>
      </c>
      <c r="K59" s="302">
        <f t="shared" si="30"/>
        <v>32555.863043340822</v>
      </c>
      <c r="L59" s="302">
        <f t="shared" si="30"/>
        <v>31495.857944645293</v>
      </c>
    </row>
    <row r="60" spans="1:16" ht="15.6" x14ac:dyDescent="0.35">
      <c r="A60" s="48"/>
      <c r="B60" s="65" t="s">
        <v>65</v>
      </c>
      <c r="C60" s="65"/>
      <c r="D60" s="65"/>
      <c r="E60" s="65"/>
      <c r="F60" s="293">
        <v>6075</v>
      </c>
      <c r="G60" s="293">
        <v>5563</v>
      </c>
      <c r="H60" s="302">
        <f>H381</f>
        <v>5800.4</v>
      </c>
      <c r="I60" s="302">
        <f t="shared" ref="I60:L60" si="31">I381</f>
        <v>6187.7999999999993</v>
      </c>
      <c r="J60" s="302">
        <f t="shared" si="31"/>
        <v>6175.1999999999989</v>
      </c>
      <c r="K60" s="302">
        <f t="shared" si="31"/>
        <v>5762.5999999999985</v>
      </c>
      <c r="L60" s="302">
        <f t="shared" si="31"/>
        <v>4949.9999999999982</v>
      </c>
    </row>
    <row r="61" spans="1:16" ht="16.2" thickBot="1" x14ac:dyDescent="0.4">
      <c r="A61" s="48"/>
      <c r="B61" s="72" t="s">
        <v>230</v>
      </c>
      <c r="C61" s="72"/>
      <c r="D61" s="72"/>
      <c r="E61" s="72"/>
      <c r="F61" s="296">
        <v>1458</v>
      </c>
      <c r="G61" s="296">
        <v>1035</v>
      </c>
      <c r="H61" s="390">
        <f>IF(H556&gt;0, H556, 0)</f>
        <v>0</v>
      </c>
      <c r="I61" s="390">
        <f t="shared" ref="I61:L61" si="32">IF(I556&gt;0, I556, 0)</f>
        <v>0</v>
      </c>
      <c r="J61" s="390">
        <f t="shared" si="32"/>
        <v>0</v>
      </c>
      <c r="K61" s="390">
        <f t="shared" si="32"/>
        <v>0</v>
      </c>
      <c r="L61" s="390">
        <f t="shared" si="32"/>
        <v>0</v>
      </c>
    </row>
    <row r="62" spans="1:16" ht="15.6" x14ac:dyDescent="0.35">
      <c r="A62" s="48"/>
      <c r="B62" s="70" t="s">
        <v>64</v>
      </c>
      <c r="C62" s="70"/>
      <c r="D62" s="65"/>
      <c r="E62" s="65"/>
      <c r="F62" s="295">
        <f>SUM(F58:F61)+F55</f>
        <v>104342</v>
      </c>
      <c r="G62" s="295">
        <f>SUM(G58:G61)+G55</f>
        <v>107214</v>
      </c>
      <c r="H62" s="71">
        <f>SUM(H55)+SUM(H58:H61)</f>
        <v>100482.79969590812</v>
      </c>
      <c r="I62" s="71">
        <f t="shared" ref="I62:L62" si="33">SUM(I55)+SUM(I58:I61)</f>
        <v>105942.83464710142</v>
      </c>
      <c r="J62" s="71">
        <f>SUM(J55)+SUM(J58:J61)</f>
        <v>111671.52281428585</v>
      </c>
      <c r="K62" s="71">
        <f t="shared" si="33"/>
        <v>117232.49593381965</v>
      </c>
      <c r="L62" s="71">
        <f t="shared" si="33"/>
        <v>122613.33298659146</v>
      </c>
    </row>
    <row r="63" spans="1:16" ht="15.6" x14ac:dyDescent="0.35">
      <c r="A63" s="48"/>
      <c r="B63" s="70"/>
      <c r="C63" s="70"/>
      <c r="D63" s="65"/>
      <c r="E63" s="65"/>
      <c r="F63" s="94"/>
      <c r="G63" s="94"/>
      <c r="H63" s="94"/>
      <c r="I63" s="94"/>
      <c r="J63" s="94"/>
      <c r="K63" s="65"/>
      <c r="L63" s="65"/>
    </row>
    <row r="64" spans="1:16" ht="15.6" x14ac:dyDescent="0.35">
      <c r="A64" s="48"/>
      <c r="B64" s="95" t="s">
        <v>57</v>
      </c>
      <c r="C64" s="86"/>
      <c r="D64" s="87"/>
      <c r="E64" s="87"/>
      <c r="F64" s="88"/>
      <c r="G64" s="88"/>
      <c r="H64" s="89"/>
      <c r="I64" s="89"/>
      <c r="J64" s="89"/>
      <c r="K64" s="89"/>
      <c r="L64" s="90"/>
    </row>
    <row r="65" spans="1:12" ht="15.6" x14ac:dyDescent="0.35">
      <c r="A65" s="48"/>
      <c r="B65" s="65"/>
      <c r="C65" s="65"/>
      <c r="D65" s="65"/>
      <c r="E65" s="65"/>
      <c r="F65" s="91"/>
      <c r="G65" s="91"/>
      <c r="H65" s="92"/>
      <c r="I65" s="92"/>
      <c r="J65" s="92"/>
      <c r="K65" s="92"/>
      <c r="L65" s="92"/>
    </row>
    <row r="66" spans="1:12" ht="15.6" x14ac:dyDescent="0.35">
      <c r="A66" s="48"/>
      <c r="B66" s="129" t="s">
        <v>11</v>
      </c>
      <c r="C66" s="65"/>
      <c r="D66" s="65"/>
      <c r="E66" s="65"/>
      <c r="F66" s="293">
        <v>-17020</v>
      </c>
      <c r="G66" s="293">
        <v>-17007</v>
      </c>
      <c r="H66" s="304">
        <f>-H326</f>
        <v>-15586.643288474021</v>
      </c>
      <c r="I66" s="304">
        <f t="shared" ref="I66:L66" si="34">-I326</f>
        <v>-17092.898963524109</v>
      </c>
      <c r="J66" s="304">
        <f t="shared" si="34"/>
        <v>-18668.212807928521</v>
      </c>
      <c r="K66" s="304">
        <f t="shared" si="34"/>
        <v>-20311.543000610451</v>
      </c>
      <c r="L66" s="304">
        <f t="shared" si="34"/>
        <v>-22069.22891903354</v>
      </c>
    </row>
    <row r="67" spans="1:12" ht="15.6" x14ac:dyDescent="0.35">
      <c r="A67" s="48"/>
      <c r="B67" s="129" t="s">
        <v>232</v>
      </c>
      <c r="C67" s="65"/>
      <c r="D67" s="65"/>
      <c r="E67" s="65"/>
      <c r="F67" s="293">
        <v>-181</v>
      </c>
      <c r="G67" s="293">
        <v>-365</v>
      </c>
      <c r="H67" s="304">
        <f>G67</f>
        <v>-365</v>
      </c>
      <c r="I67" s="304">
        <f t="shared" ref="I67:L67" si="35">H67</f>
        <v>-365</v>
      </c>
      <c r="J67" s="304">
        <f t="shared" si="35"/>
        <v>-365</v>
      </c>
      <c r="K67" s="304">
        <f t="shared" si="35"/>
        <v>-365</v>
      </c>
      <c r="L67" s="304">
        <f t="shared" si="35"/>
        <v>-365</v>
      </c>
    </row>
    <row r="68" spans="1:12" ht="15.6" x14ac:dyDescent="0.35">
      <c r="A68" s="48"/>
      <c r="B68" s="129" t="s">
        <v>233</v>
      </c>
      <c r="C68" s="65"/>
      <c r="D68" s="65"/>
      <c r="E68" s="65"/>
      <c r="F68" s="293">
        <v>-5847</v>
      </c>
      <c r="G68" s="293">
        <v>-6278</v>
      </c>
      <c r="H68" s="304">
        <f>-H327</f>
        <v>-6201.7728802898591</v>
      </c>
      <c r="I68" s="304">
        <f t="shared" ref="I68:L68" si="36">-I327</f>
        <v>-6455.7472107187887</v>
      </c>
      <c r="J68" s="304">
        <f t="shared" si="36"/>
        <v>-7059.7065359057951</v>
      </c>
      <c r="K68" s="304">
        <f t="shared" si="36"/>
        <v>-7688.3152761744168</v>
      </c>
      <c r="L68" s="304">
        <f t="shared" si="36"/>
        <v>-8362.7281363234233</v>
      </c>
    </row>
    <row r="69" spans="1:12" ht="15.6" x14ac:dyDescent="0.35">
      <c r="A69" s="48"/>
      <c r="B69" s="129" t="s">
        <v>234</v>
      </c>
      <c r="C69" s="65"/>
      <c r="D69" s="65"/>
      <c r="E69" s="65"/>
      <c r="F69" s="293">
        <v>-229</v>
      </c>
      <c r="G69" s="293">
        <v>-145</v>
      </c>
      <c r="H69" s="304">
        <f>IF(H547&lt;0, H547, 0)</f>
        <v>0</v>
      </c>
      <c r="I69" s="304">
        <f t="shared" ref="I69:L69" si="37">IF(I547&lt;0, I547, 0)</f>
        <v>0</v>
      </c>
      <c r="J69" s="304">
        <f t="shared" si="37"/>
        <v>0</v>
      </c>
      <c r="K69" s="304">
        <f t="shared" si="37"/>
        <v>0</v>
      </c>
      <c r="L69" s="304">
        <f t="shared" si="37"/>
        <v>0</v>
      </c>
    </row>
    <row r="70" spans="1:12" ht="15.6" x14ac:dyDescent="0.35">
      <c r="A70" s="48"/>
      <c r="B70" s="129" t="s">
        <v>6</v>
      </c>
      <c r="C70" s="65"/>
      <c r="D70" s="65"/>
      <c r="E70" s="65"/>
      <c r="F70" s="293">
        <v>-1402</v>
      </c>
      <c r="G70" s="293">
        <v>-1222</v>
      </c>
      <c r="H70" s="304">
        <f>H397</f>
        <v>-966.20519999999999</v>
      </c>
      <c r="I70" s="304">
        <f t="shared" ref="I70:L70" si="38">I397</f>
        <v>-904.17751199999998</v>
      </c>
      <c r="J70" s="304">
        <f t="shared" si="38"/>
        <v>-838.42816272000005</v>
      </c>
      <c r="K70" s="304">
        <f t="shared" si="38"/>
        <v>-768.73385248320005</v>
      </c>
      <c r="L70" s="304">
        <f t="shared" si="38"/>
        <v>-768.73385248320005</v>
      </c>
    </row>
    <row r="71" spans="1:12" ht="15.6" x14ac:dyDescent="0.35">
      <c r="A71" s="48"/>
      <c r="B71" s="129" t="s">
        <v>231</v>
      </c>
      <c r="C71" s="65"/>
      <c r="D71" s="65"/>
      <c r="E71" s="65"/>
      <c r="F71" s="293">
        <v>-190</v>
      </c>
      <c r="G71" s="293">
        <v>-1014</v>
      </c>
      <c r="H71" s="302">
        <f>G71</f>
        <v>-1014</v>
      </c>
      <c r="I71" s="302">
        <f t="shared" ref="I71:L71" si="39">H71</f>
        <v>-1014</v>
      </c>
      <c r="J71" s="302">
        <f t="shared" si="39"/>
        <v>-1014</v>
      </c>
      <c r="K71" s="302">
        <f t="shared" si="39"/>
        <v>-1014</v>
      </c>
      <c r="L71" s="302">
        <f t="shared" si="39"/>
        <v>-1014</v>
      </c>
    </row>
    <row r="72" spans="1:12" ht="15.6" x14ac:dyDescent="0.35">
      <c r="A72" s="48"/>
      <c r="B72" s="132" t="s">
        <v>67</v>
      </c>
      <c r="C72" s="131"/>
      <c r="D72" s="132"/>
      <c r="E72" s="132"/>
      <c r="F72" s="303">
        <f t="shared" ref="F72:L72" si="40">SUM(F66:F71)</f>
        <v>-24869</v>
      </c>
      <c r="G72" s="303">
        <f t="shared" si="40"/>
        <v>-26031</v>
      </c>
      <c r="H72" s="303">
        <f t="shared" si="40"/>
        <v>-24133.621368763881</v>
      </c>
      <c r="I72" s="303">
        <f t="shared" si="40"/>
        <v>-25831.823686242897</v>
      </c>
      <c r="J72" s="303">
        <f t="shared" si="40"/>
        <v>-27945.347506554317</v>
      </c>
      <c r="K72" s="303">
        <f t="shared" si="40"/>
        <v>-30147.592129268069</v>
      </c>
      <c r="L72" s="303">
        <f t="shared" si="40"/>
        <v>-32579.690907840166</v>
      </c>
    </row>
    <row r="73" spans="1:12" ht="15.6" x14ac:dyDescent="0.35">
      <c r="A73" s="48"/>
      <c r="B73" s="129" t="s">
        <v>236</v>
      </c>
      <c r="C73" s="70"/>
      <c r="D73" s="65"/>
      <c r="E73" s="65"/>
      <c r="F73" s="293">
        <v>-8634</v>
      </c>
      <c r="G73" s="293">
        <v>-17</v>
      </c>
      <c r="H73" s="67"/>
      <c r="I73" s="67"/>
      <c r="J73" s="67"/>
      <c r="K73" s="67"/>
      <c r="L73" s="67"/>
    </row>
    <row r="74" spans="1:12" ht="15.6" x14ac:dyDescent="0.35">
      <c r="A74" s="48"/>
      <c r="B74" s="130" t="s">
        <v>235</v>
      </c>
      <c r="C74" s="130"/>
      <c r="D74" s="130"/>
      <c r="E74" s="130"/>
      <c r="F74" s="301">
        <v>-1935</v>
      </c>
      <c r="G74" s="301">
        <v>-10142</v>
      </c>
      <c r="H74" s="232">
        <f>-H489</f>
        <v>-549.34195380425081</v>
      </c>
      <c r="I74" s="232">
        <f t="shared" ref="I74:L74" si="41">-I489</f>
        <v>-549.34195380425081</v>
      </c>
      <c r="J74" s="232">
        <f t="shared" si="41"/>
        <v>-549.34195380425081</v>
      </c>
      <c r="K74" s="232">
        <f t="shared" si="41"/>
        <v>-549.34195380425081</v>
      </c>
      <c r="L74" s="232">
        <f t="shared" si="41"/>
        <v>-549.34195380425081</v>
      </c>
    </row>
    <row r="75" spans="1:12" ht="15.6" x14ac:dyDescent="0.35">
      <c r="A75" s="48"/>
      <c r="B75" s="65" t="s">
        <v>68</v>
      </c>
      <c r="C75" s="65"/>
      <c r="D75" s="65"/>
      <c r="E75" s="65"/>
      <c r="F75" s="302">
        <f>SUM(F73,F74)</f>
        <v>-10569</v>
      </c>
      <c r="G75" s="302">
        <f t="shared" ref="G75:L75" si="42">SUM(G73,G74)</f>
        <v>-10159</v>
      </c>
      <c r="H75" s="128">
        <f t="shared" si="42"/>
        <v>-549.34195380425081</v>
      </c>
      <c r="I75" s="128">
        <f t="shared" si="42"/>
        <v>-549.34195380425081</v>
      </c>
      <c r="J75" s="128">
        <f t="shared" si="42"/>
        <v>-549.34195380425081</v>
      </c>
      <c r="K75" s="128">
        <f t="shared" si="42"/>
        <v>-549.34195380425081</v>
      </c>
      <c r="L75" s="128">
        <f t="shared" si="42"/>
        <v>-549.34195380425081</v>
      </c>
    </row>
    <row r="76" spans="1:12" ht="15.6" x14ac:dyDescent="0.35">
      <c r="A76" s="48"/>
      <c r="B76" s="65" t="s">
        <v>237</v>
      </c>
      <c r="C76" s="65"/>
      <c r="D76" s="65"/>
      <c r="E76" s="65"/>
      <c r="F76" s="293">
        <v>-161</v>
      </c>
      <c r="G76" s="293">
        <v>-270</v>
      </c>
      <c r="H76" s="304">
        <f>G76</f>
        <v>-270</v>
      </c>
      <c r="I76" s="304">
        <f t="shared" ref="I76:L76" si="43">H76</f>
        <v>-270</v>
      </c>
      <c r="J76" s="304">
        <f t="shared" si="43"/>
        <v>-270</v>
      </c>
      <c r="K76" s="304">
        <f t="shared" si="43"/>
        <v>-270</v>
      </c>
      <c r="L76" s="304">
        <f t="shared" si="43"/>
        <v>-270</v>
      </c>
    </row>
    <row r="77" spans="1:12" ht="15.6" x14ac:dyDescent="0.35">
      <c r="A77" s="48"/>
      <c r="B77" s="65" t="s">
        <v>231</v>
      </c>
      <c r="C77" s="65"/>
      <c r="D77" s="65"/>
      <c r="E77" s="65"/>
      <c r="F77" s="293">
        <v>-1098</v>
      </c>
      <c r="G77" s="293">
        <v>-985</v>
      </c>
      <c r="H77" s="304">
        <f>G77</f>
        <v>-985</v>
      </c>
      <c r="I77" s="304">
        <f t="shared" ref="I77:L77" si="44">H77</f>
        <v>-985</v>
      </c>
      <c r="J77" s="304">
        <f t="shared" si="44"/>
        <v>-985</v>
      </c>
      <c r="K77" s="304">
        <f t="shared" si="44"/>
        <v>-985</v>
      </c>
      <c r="L77" s="304">
        <f t="shared" si="44"/>
        <v>-985</v>
      </c>
    </row>
    <row r="78" spans="1:12" ht="15.6" x14ac:dyDescent="0.35">
      <c r="A78" s="48"/>
      <c r="B78" s="65" t="s">
        <v>238</v>
      </c>
      <c r="C78" s="65"/>
      <c r="D78" s="65"/>
      <c r="E78" s="65"/>
      <c r="F78" s="293">
        <v>-1548</v>
      </c>
      <c r="G78" s="293">
        <v>-1784</v>
      </c>
      <c r="H78" s="67">
        <f>IF(H556&lt;0, H556, 0)</f>
        <v>-749</v>
      </c>
      <c r="I78" s="67">
        <f t="shared" ref="I78:L78" si="45">IF(I556&lt;0, I556, 0)</f>
        <v>-749</v>
      </c>
      <c r="J78" s="67">
        <f t="shared" si="45"/>
        <v>-749</v>
      </c>
      <c r="K78" s="67">
        <f t="shared" si="45"/>
        <v>-749</v>
      </c>
      <c r="L78" s="67">
        <f t="shared" si="45"/>
        <v>-749</v>
      </c>
    </row>
    <row r="79" spans="1:12" ht="15.6" x14ac:dyDescent="0.35">
      <c r="A79" s="48"/>
      <c r="B79" s="65" t="s">
        <v>6</v>
      </c>
      <c r="C79" s="65"/>
      <c r="D79" s="65"/>
      <c r="E79" s="65"/>
      <c r="F79" s="293">
        <v>-4601</v>
      </c>
      <c r="G79" s="293">
        <v>-4671</v>
      </c>
      <c r="H79" s="304">
        <f>H398</f>
        <v>-5430.3747999999996</v>
      </c>
      <c r="I79" s="304">
        <f t="shared" ref="I79:L79" si="46">I398</f>
        <v>-6526.1972879999994</v>
      </c>
      <c r="J79" s="304">
        <f t="shared" si="46"/>
        <v>-7687.7691252799996</v>
      </c>
      <c r="K79" s="304">
        <f t="shared" si="46"/>
        <v>-8919.0352727968002</v>
      </c>
      <c r="L79" s="304">
        <f t="shared" si="46"/>
        <v>-10150.301420313601</v>
      </c>
    </row>
    <row r="80" spans="1:12" ht="15.6" x14ac:dyDescent="0.35">
      <c r="A80" s="48"/>
      <c r="B80" s="132" t="s">
        <v>69</v>
      </c>
      <c r="C80" s="132"/>
      <c r="D80" s="132"/>
      <c r="E80" s="132"/>
      <c r="F80" s="305">
        <f>SUM(F76:F79)+F72+F75</f>
        <v>-42846</v>
      </c>
      <c r="G80" s="305">
        <f t="shared" ref="G80:L80" si="47">SUM(G76:G79)+G72+G75</f>
        <v>-43900</v>
      </c>
      <c r="H80" s="305">
        <f>SUM(H76:H79)+H72+H75</f>
        <v>-32117.33812256813</v>
      </c>
      <c r="I80" s="305">
        <f t="shared" si="47"/>
        <v>-34911.36292804715</v>
      </c>
      <c r="J80" s="305">
        <f t="shared" si="47"/>
        <v>-38186.458585638567</v>
      </c>
      <c r="K80" s="305">
        <f t="shared" si="47"/>
        <v>-41619.969355869122</v>
      </c>
      <c r="L80" s="305">
        <f t="shared" si="47"/>
        <v>-45283.334281958014</v>
      </c>
    </row>
    <row r="81" spans="1:12" ht="15.6" x14ac:dyDescent="0.35">
      <c r="A81" s="48"/>
      <c r="B81" s="65" t="s">
        <v>239</v>
      </c>
      <c r="C81" s="65"/>
      <c r="D81" s="65"/>
      <c r="E81" s="65"/>
      <c r="F81" s="293">
        <v>2854</v>
      </c>
      <c r="G81" s="293">
        <v>2854</v>
      </c>
      <c r="H81" s="304">
        <f>G81</f>
        <v>2854</v>
      </c>
      <c r="I81" s="304">
        <f t="shared" ref="I81:L84" si="48">H81</f>
        <v>2854</v>
      </c>
      <c r="J81" s="304">
        <f t="shared" si="48"/>
        <v>2854</v>
      </c>
      <c r="K81" s="304">
        <f t="shared" si="48"/>
        <v>2854</v>
      </c>
      <c r="L81" s="304">
        <f t="shared" si="48"/>
        <v>2854</v>
      </c>
    </row>
    <row r="82" spans="1:12" ht="15.6" x14ac:dyDescent="0.35">
      <c r="A82" s="48"/>
      <c r="B82" s="65" t="s">
        <v>240</v>
      </c>
      <c r="C82" s="65"/>
      <c r="D82" s="65"/>
      <c r="E82" s="65"/>
      <c r="F82" s="293">
        <v>28300</v>
      </c>
      <c r="G82" s="293">
        <v>28300</v>
      </c>
      <c r="H82" s="304">
        <f t="shared" ref="H82" si="49">G82</f>
        <v>28300</v>
      </c>
      <c r="I82" s="304">
        <f t="shared" si="48"/>
        <v>28300</v>
      </c>
      <c r="J82" s="304">
        <f t="shared" si="48"/>
        <v>28300</v>
      </c>
      <c r="K82" s="304">
        <f t="shared" si="48"/>
        <v>28300</v>
      </c>
      <c r="L82" s="304">
        <f t="shared" si="48"/>
        <v>28300</v>
      </c>
    </row>
    <row r="83" spans="1:12" ht="15.6" x14ac:dyDescent="0.35">
      <c r="A83" s="48"/>
      <c r="B83" s="65" t="s">
        <v>243</v>
      </c>
      <c r="C83" s="65"/>
      <c r="D83" s="65"/>
      <c r="E83" s="65"/>
      <c r="F83" s="293">
        <v>-64</v>
      </c>
      <c r="G83" s="293">
        <v>-64</v>
      </c>
      <c r="H83" s="304">
        <f t="shared" ref="H83:H84" si="50">G83</f>
        <v>-64</v>
      </c>
      <c r="I83" s="304">
        <f t="shared" si="48"/>
        <v>-64</v>
      </c>
      <c r="J83" s="304">
        <f t="shared" si="48"/>
        <v>-64</v>
      </c>
      <c r="K83" s="304">
        <f t="shared" si="48"/>
        <v>-64</v>
      </c>
      <c r="L83" s="304">
        <f t="shared" si="48"/>
        <v>-64</v>
      </c>
    </row>
    <row r="84" spans="1:12" ht="15.6" x14ac:dyDescent="0.35">
      <c r="A84" s="48"/>
      <c r="B84" s="65" t="s">
        <v>242</v>
      </c>
      <c r="C84" s="65"/>
      <c r="D84" s="65"/>
      <c r="E84" s="65"/>
      <c r="F84" s="293">
        <v>-2203</v>
      </c>
      <c r="G84" s="293">
        <v>-2876</v>
      </c>
      <c r="H84" s="304">
        <f t="shared" si="50"/>
        <v>-2876</v>
      </c>
      <c r="I84" s="304">
        <f t="shared" si="48"/>
        <v>-2876</v>
      </c>
      <c r="J84" s="304">
        <f t="shared" si="48"/>
        <v>-2876</v>
      </c>
      <c r="K84" s="304">
        <f t="shared" si="48"/>
        <v>-2876</v>
      </c>
      <c r="L84" s="304">
        <f t="shared" si="48"/>
        <v>-2876</v>
      </c>
    </row>
    <row r="85" spans="1:12" ht="15.6" x14ac:dyDescent="0.35">
      <c r="A85" s="48"/>
      <c r="B85" s="65" t="s">
        <v>241</v>
      </c>
      <c r="C85" s="65"/>
      <c r="D85" s="65"/>
      <c r="E85" s="65"/>
      <c r="F85" s="293">
        <v>-538</v>
      </c>
      <c r="G85" s="293">
        <v>-500</v>
      </c>
      <c r="H85" s="304">
        <f t="shared" ref="H85:L85" si="51">G85</f>
        <v>-500</v>
      </c>
      <c r="I85" s="304">
        <f t="shared" si="51"/>
        <v>-500</v>
      </c>
      <c r="J85" s="304">
        <f t="shared" si="51"/>
        <v>-500</v>
      </c>
      <c r="K85" s="304">
        <f t="shared" si="51"/>
        <v>-500</v>
      </c>
      <c r="L85" s="304">
        <f t="shared" si="51"/>
        <v>-500</v>
      </c>
    </row>
    <row r="86" spans="1:12" ht="16.2" thickBot="1" x14ac:dyDescent="0.4">
      <c r="A86" s="48"/>
      <c r="B86" s="93" t="s">
        <v>70</v>
      </c>
      <c r="C86" s="93"/>
      <c r="D86" s="93"/>
      <c r="E86" s="93"/>
      <c r="F86" s="306">
        <v>33147</v>
      </c>
      <c r="G86" s="306">
        <v>35600</v>
      </c>
      <c r="H86" s="307">
        <f>H581</f>
        <v>40651.461573339991</v>
      </c>
      <c r="I86" s="307">
        <f t="shared" ref="I86:L86" si="52">I581</f>
        <v>43317.471719054265</v>
      </c>
      <c r="J86" s="307">
        <f t="shared" si="52"/>
        <v>45771.064228647287</v>
      </c>
      <c r="K86" s="307">
        <f t="shared" si="52"/>
        <v>47898.52657795055</v>
      </c>
      <c r="L86" s="307">
        <f t="shared" si="52"/>
        <v>49615.998704633435</v>
      </c>
    </row>
    <row r="87" spans="1:12" ht="15.6" x14ac:dyDescent="0.35">
      <c r="A87" s="48"/>
      <c r="B87" s="70" t="s">
        <v>71</v>
      </c>
      <c r="C87" s="70"/>
      <c r="D87" s="65"/>
      <c r="E87" s="65"/>
      <c r="F87" s="295">
        <f>SUM(F81:F86)-F80</f>
        <v>104342</v>
      </c>
      <c r="G87" s="295">
        <f t="shared" ref="G87:L87" si="53">SUM(G81:G86)-G80</f>
        <v>107214</v>
      </c>
      <c r="H87" s="295">
        <f t="shared" si="53"/>
        <v>100482.79969590812</v>
      </c>
      <c r="I87" s="295">
        <f t="shared" si="53"/>
        <v>105942.83464710142</v>
      </c>
      <c r="J87" s="295">
        <f t="shared" si="53"/>
        <v>111671.52281428585</v>
      </c>
      <c r="K87" s="295">
        <f t="shared" si="53"/>
        <v>117232.49593381966</v>
      </c>
      <c r="L87" s="295">
        <f t="shared" si="53"/>
        <v>122613.33298659146</v>
      </c>
    </row>
    <row r="88" spans="1:12" ht="15.6" x14ac:dyDescent="0.35">
      <c r="A88" s="48"/>
      <c r="B88" s="65" t="s">
        <v>187</v>
      </c>
      <c r="C88" s="65"/>
      <c r="D88" s="65"/>
      <c r="E88" s="65"/>
      <c r="F88" s="304">
        <f t="shared" ref="F88:L88" si="54">F62-F87</f>
        <v>0</v>
      </c>
      <c r="G88" s="304">
        <f t="shared" si="54"/>
        <v>0</v>
      </c>
      <c r="H88" s="304">
        <f t="shared" si="54"/>
        <v>0</v>
      </c>
      <c r="I88" s="304">
        <f t="shared" si="54"/>
        <v>0</v>
      </c>
      <c r="J88" s="304">
        <f t="shared" si="54"/>
        <v>0</v>
      </c>
      <c r="K88" s="304">
        <f t="shared" si="54"/>
        <v>0</v>
      </c>
      <c r="L88" s="304">
        <f t="shared" si="54"/>
        <v>0</v>
      </c>
    </row>
    <row r="89" spans="1:12" ht="15.6" x14ac:dyDescent="0.35">
      <c r="A89" s="48"/>
      <c r="B89" s="65"/>
      <c r="C89" s="65"/>
      <c r="D89" s="65"/>
      <c r="E89" s="65"/>
      <c r="F89" s="67"/>
      <c r="G89" s="67"/>
      <c r="H89" s="67"/>
      <c r="I89" s="67"/>
      <c r="J89" s="67"/>
      <c r="K89" s="67"/>
      <c r="L89" s="67"/>
    </row>
    <row r="90" spans="1:12" ht="15.6" x14ac:dyDescent="0.35">
      <c r="A90" s="48"/>
      <c r="B90" s="65" t="s">
        <v>305</v>
      </c>
      <c r="C90" s="65"/>
      <c r="D90" s="65"/>
      <c r="E90" s="65"/>
      <c r="F90" s="67"/>
      <c r="G90" s="67"/>
      <c r="H90" s="67"/>
      <c r="I90" s="67"/>
      <c r="J90" s="67"/>
      <c r="K90" s="67"/>
      <c r="L90" s="67"/>
    </row>
    <row r="91" spans="1:12" ht="15.6" x14ac:dyDescent="0.35">
      <c r="A91" s="48"/>
      <c r="B91" s="65"/>
      <c r="C91" s="65"/>
      <c r="D91" s="65"/>
      <c r="E91" s="65"/>
      <c r="F91" s="67"/>
      <c r="G91" s="67"/>
      <c r="H91" s="67"/>
      <c r="I91" s="67"/>
      <c r="J91" s="67"/>
      <c r="K91" s="67"/>
      <c r="L91" s="67"/>
    </row>
    <row r="92" spans="1:12" ht="15.6" x14ac:dyDescent="0.35">
      <c r="A92" s="48"/>
      <c r="B92" s="65"/>
      <c r="C92" s="65"/>
      <c r="D92" s="65"/>
      <c r="E92" s="65"/>
      <c r="F92" s="67"/>
      <c r="G92" s="67"/>
      <c r="H92" s="67"/>
      <c r="I92" s="67"/>
      <c r="J92" s="67"/>
      <c r="K92" s="67"/>
      <c r="L92" s="67"/>
    </row>
    <row r="93" spans="1:12" ht="15.6" x14ac:dyDescent="0.35">
      <c r="A93" s="48"/>
      <c r="B93" s="96"/>
      <c r="C93" s="96"/>
      <c r="D93" s="48"/>
      <c r="E93" s="48"/>
      <c r="F93" s="48"/>
      <c r="G93" s="97"/>
      <c r="H93" s="97"/>
      <c r="I93" s="97"/>
      <c r="J93" s="97"/>
      <c r="K93" s="97"/>
      <c r="L93" s="97"/>
    </row>
    <row r="94" spans="1:12" ht="15.6" x14ac:dyDescent="0.35">
      <c r="A94" s="48"/>
      <c r="B94" s="48"/>
      <c r="C94" s="48"/>
      <c r="D94" s="48"/>
      <c r="E94" s="48"/>
      <c r="F94" s="48"/>
      <c r="G94" s="48"/>
      <c r="H94" s="98"/>
      <c r="I94" s="98"/>
      <c r="J94" s="98"/>
      <c r="K94" s="48"/>
      <c r="L94" s="48"/>
    </row>
    <row r="95" spans="1:12" ht="28.8" x14ac:dyDescent="0.65">
      <c r="A95" s="48"/>
      <c r="B95" s="49" t="str">
        <f>Cover!$B$2</f>
        <v>Solid State PLC</v>
      </c>
      <c r="C95" s="49"/>
      <c r="D95" s="50"/>
      <c r="E95" s="51"/>
      <c r="F95" s="51"/>
      <c r="G95" s="51"/>
      <c r="H95" s="51"/>
      <c r="I95" s="51"/>
      <c r="J95" s="51"/>
      <c r="K95" s="51"/>
      <c r="L95" s="51"/>
    </row>
    <row r="96" spans="1:12" ht="21" x14ac:dyDescent="0.5">
      <c r="A96" s="48"/>
      <c r="B96" s="52" t="s">
        <v>43</v>
      </c>
      <c r="C96" s="53"/>
      <c r="D96" s="51"/>
      <c r="E96" s="51"/>
      <c r="F96" s="51"/>
      <c r="G96" s="51"/>
      <c r="H96" s="51"/>
      <c r="I96" s="51"/>
      <c r="J96" s="51"/>
      <c r="K96" s="51"/>
      <c r="L96" s="278" t="str">
        <f>"Currently Running: "&amp;CHOOSE(Assumptions!$B$10,Assumptions!$F$15,Assumptions!$F$16,Assumptions!$F$17)&amp;"Scenario"</f>
        <v>Currently Running: Upside Scenario</v>
      </c>
    </row>
    <row r="97" spans="1:12" ht="15.6" x14ac:dyDescent="0.35">
      <c r="A97" s="48"/>
      <c r="B97" s="54"/>
      <c r="C97" s="54"/>
      <c r="D97" s="54"/>
      <c r="E97" s="54"/>
      <c r="F97" s="54"/>
      <c r="G97" s="54"/>
      <c r="H97" s="54"/>
      <c r="I97" s="54"/>
      <c r="J97" s="54"/>
      <c r="K97" s="55"/>
      <c r="L97" s="55"/>
    </row>
    <row r="98" spans="1:12" ht="15.6" x14ac:dyDescent="0.35">
      <c r="A98" s="48"/>
      <c r="B98" s="55"/>
      <c r="C98" s="55"/>
      <c r="D98" s="55"/>
      <c r="E98" s="55"/>
      <c r="F98" s="56" t="s">
        <v>55</v>
      </c>
      <c r="G98" s="56"/>
      <c r="H98" s="56"/>
      <c r="I98" s="56"/>
      <c r="J98" s="56"/>
      <c r="K98" s="56"/>
      <c r="L98" s="56"/>
    </row>
    <row r="99" spans="1:12" ht="15.6" x14ac:dyDescent="0.35">
      <c r="A99" s="48"/>
      <c r="B99" s="55"/>
      <c r="C99" s="55"/>
      <c r="D99" s="55"/>
      <c r="E99" s="55"/>
      <c r="F99" s="57">
        <v>2025</v>
      </c>
      <c r="G99" s="57">
        <f>F99+1</f>
        <v>2026</v>
      </c>
      <c r="H99" s="58">
        <f>G99+1</f>
        <v>2027</v>
      </c>
      <c r="I99" s="58">
        <f t="shared" ref="I99" si="55">H99+1</f>
        <v>2028</v>
      </c>
      <c r="J99" s="58">
        <f t="shared" ref="J99" si="56">I99+1</f>
        <v>2029</v>
      </c>
      <c r="K99" s="58">
        <f t="shared" ref="K99" si="57">J99+1</f>
        <v>2030</v>
      </c>
      <c r="L99" s="58">
        <f t="shared" ref="L99" si="58">K99+1</f>
        <v>2031</v>
      </c>
    </row>
    <row r="100" spans="1:12" ht="16.2" thickBot="1" x14ac:dyDescent="0.4">
      <c r="A100" s="48"/>
      <c r="B100" s="59" t="s">
        <v>54</v>
      </c>
      <c r="C100" s="59"/>
      <c r="D100" s="59"/>
      <c r="E100" s="59"/>
      <c r="F100" s="60" t="s">
        <v>56</v>
      </c>
      <c r="G100" s="60"/>
      <c r="H100" s="61"/>
      <c r="I100" s="61"/>
      <c r="J100" s="61"/>
      <c r="K100" s="61"/>
      <c r="L100" s="61" t="s">
        <v>42</v>
      </c>
    </row>
    <row r="101" spans="1:12" ht="15.6" x14ac:dyDescent="0.35">
      <c r="A101" s="48"/>
      <c r="B101" s="55"/>
      <c r="C101" s="55"/>
      <c r="D101" s="55"/>
      <c r="E101" s="55"/>
      <c r="F101" s="83"/>
      <c r="G101" s="83"/>
      <c r="H101" s="84"/>
      <c r="I101" s="84"/>
      <c r="J101" s="84"/>
      <c r="K101" s="84"/>
      <c r="L101" s="84"/>
    </row>
    <row r="102" spans="1:12" ht="15.6" x14ac:dyDescent="0.35">
      <c r="A102" s="48"/>
      <c r="B102" s="85" t="s">
        <v>76</v>
      </c>
      <c r="C102" s="86"/>
      <c r="D102" s="87"/>
      <c r="E102" s="87"/>
      <c r="F102" s="88"/>
      <c r="G102" s="88"/>
      <c r="H102" s="89"/>
      <c r="I102" s="89"/>
      <c r="J102" s="89"/>
      <c r="K102" s="89"/>
      <c r="L102" s="90"/>
    </row>
    <row r="103" spans="1:12" ht="15.6" x14ac:dyDescent="0.35">
      <c r="A103" s="48"/>
      <c r="B103" s="65"/>
      <c r="C103" s="65"/>
      <c r="D103" s="65"/>
      <c r="E103" s="65"/>
      <c r="F103" s="99"/>
      <c r="G103" s="99"/>
      <c r="H103" s="100"/>
      <c r="I103" s="100"/>
      <c r="J103" s="100"/>
      <c r="K103" s="100"/>
      <c r="L103" s="100"/>
    </row>
    <row r="104" spans="1:12" ht="15.6" x14ac:dyDescent="0.35">
      <c r="A104" s="48"/>
      <c r="B104" s="65" t="s">
        <v>46</v>
      </c>
      <c r="C104" s="65"/>
      <c r="D104" s="65"/>
      <c r="E104" s="65"/>
      <c r="F104" s="99"/>
      <c r="G104" s="99"/>
      <c r="H104" s="360">
        <f>H32</f>
        <v>7771.4793435999909</v>
      </c>
      <c r="I104" s="360">
        <f t="shared" ref="I104:L104" si="59">I32</f>
        <v>4101.554070329651</v>
      </c>
      <c r="J104" s="360">
        <f t="shared" si="59"/>
        <v>3774.7577070661878</v>
      </c>
      <c r="K104" s="360">
        <f t="shared" si="59"/>
        <v>3273.0189989280898</v>
      </c>
      <c r="L104" s="360">
        <f t="shared" si="59"/>
        <v>2642.2648102813632</v>
      </c>
    </row>
    <row r="105" spans="1:12" ht="15.6" x14ac:dyDescent="0.35">
      <c r="A105" s="48"/>
      <c r="B105" s="134" t="s">
        <v>40</v>
      </c>
      <c r="C105" s="132"/>
      <c r="D105" s="132"/>
      <c r="E105" s="132"/>
      <c r="F105" s="135"/>
      <c r="G105" s="135"/>
      <c r="H105" s="304">
        <f>-H19</f>
        <v>780.05877268500001</v>
      </c>
      <c r="I105" s="304">
        <f t="shared" ref="I105:L105" si="60">-I19</f>
        <v>1075.3003684261621</v>
      </c>
      <c r="J105" s="304">
        <f t="shared" si="60"/>
        <v>1390.5536014946097</v>
      </c>
      <c r="K105" s="304">
        <f t="shared" si="60"/>
        <v>1734.556965701559</v>
      </c>
      <c r="L105" s="304">
        <f t="shared" si="60"/>
        <v>2108.9538172446082</v>
      </c>
    </row>
    <row r="106" spans="1:12" ht="15.6" x14ac:dyDescent="0.35">
      <c r="A106" s="48"/>
      <c r="B106" s="129" t="s">
        <v>16</v>
      </c>
      <c r="C106" s="65"/>
      <c r="D106" s="65"/>
      <c r="E106" s="65"/>
      <c r="F106" s="99"/>
      <c r="G106" s="99"/>
      <c r="H106" s="304">
        <f t="shared" ref="H106:L106" si="61">-H20</f>
        <v>1262.5999999999999</v>
      </c>
      <c r="I106" s="304">
        <f t="shared" si="61"/>
        <v>1612.6</v>
      </c>
      <c r="J106" s="304">
        <f t="shared" si="61"/>
        <v>2012.6</v>
      </c>
      <c r="K106" s="304">
        <f t="shared" si="61"/>
        <v>2412.6</v>
      </c>
      <c r="L106" s="304">
        <f t="shared" si="61"/>
        <v>2812.6</v>
      </c>
    </row>
    <row r="107" spans="1:12" ht="15.6" x14ac:dyDescent="0.35">
      <c r="A107" s="48"/>
      <c r="B107" s="129" t="s">
        <v>131</v>
      </c>
      <c r="C107" s="65"/>
      <c r="D107" s="65"/>
      <c r="E107" s="65"/>
      <c r="F107" s="99"/>
      <c r="G107" s="99"/>
      <c r="H107" s="304">
        <f t="shared" ref="H107:L107" si="62">-H21</f>
        <v>1714.4723923000001</v>
      </c>
      <c r="I107" s="304">
        <f t="shared" si="62"/>
        <v>2025.2530193959601</v>
      </c>
      <c r="J107" s="304">
        <f t="shared" si="62"/>
        <v>2357.098527889063</v>
      </c>
      <c r="K107" s="304">
        <f t="shared" si="62"/>
        <v>2719.2073323174309</v>
      </c>
      <c r="L107" s="304">
        <f t="shared" si="62"/>
        <v>3113.3092813101139</v>
      </c>
    </row>
    <row r="108" spans="1:12" ht="15.6" x14ac:dyDescent="0.35">
      <c r="A108" s="48"/>
      <c r="B108" s="254" t="s">
        <v>73</v>
      </c>
      <c r="C108" s="132"/>
      <c r="D108" s="132"/>
      <c r="E108" s="132"/>
      <c r="F108" s="135"/>
      <c r="G108" s="135"/>
      <c r="H108" s="361">
        <f>SUM(H105:H107)</f>
        <v>3757.1311649849999</v>
      </c>
      <c r="I108" s="361">
        <f t="shared" ref="I108:L108" si="63">SUM(I105:I107)</f>
        <v>4713.1533878221217</v>
      </c>
      <c r="J108" s="361">
        <f t="shared" si="63"/>
        <v>5760.2521293836726</v>
      </c>
      <c r="K108" s="361">
        <f t="shared" si="63"/>
        <v>6866.3642980189898</v>
      </c>
      <c r="L108" s="361">
        <f t="shared" si="63"/>
        <v>8034.8630985547225</v>
      </c>
    </row>
    <row r="109" spans="1:12" ht="15.6" x14ac:dyDescent="0.35">
      <c r="A109" s="48"/>
      <c r="B109" s="134" t="s">
        <v>74</v>
      </c>
      <c r="C109" s="132"/>
      <c r="D109" s="132"/>
      <c r="E109" s="132"/>
      <c r="F109" s="135"/>
      <c r="G109" s="135"/>
      <c r="H109" s="304">
        <f>H330</f>
        <v>1295.5665293107559</v>
      </c>
      <c r="I109" s="304">
        <f t="shared" ref="I109:L109" si="64">I330</f>
        <v>-1756.6792220199932</v>
      </c>
      <c r="J109" s="304">
        <f t="shared" si="64"/>
        <v>-2585.201051578224</v>
      </c>
      <c r="K109" s="304">
        <f t="shared" si="64"/>
        <v>-2693.6651528864277</v>
      </c>
      <c r="L109" s="304">
        <f t="shared" si="64"/>
        <v>-2885.6668671338557</v>
      </c>
    </row>
    <row r="110" spans="1:12" ht="15.6" x14ac:dyDescent="0.35">
      <c r="A110" s="48"/>
      <c r="B110" s="392" t="s">
        <v>318</v>
      </c>
      <c r="C110" s="376"/>
      <c r="D110" s="376"/>
      <c r="E110" s="376"/>
      <c r="F110" s="391"/>
      <c r="G110" s="391"/>
      <c r="H110" s="304">
        <f>-H31</f>
        <v>3330.6340043999958</v>
      </c>
      <c r="I110" s="304">
        <f t="shared" ref="I110:L110" si="65">-I31</f>
        <v>1757.8088872841361</v>
      </c>
      <c r="J110" s="304">
        <f t="shared" si="65"/>
        <v>1617.7533030283662</v>
      </c>
      <c r="K110" s="304">
        <f t="shared" si="65"/>
        <v>1402.7224281120382</v>
      </c>
      <c r="L110" s="304">
        <f t="shared" si="65"/>
        <v>1132.3992044062984</v>
      </c>
    </row>
    <row r="111" spans="1:12" ht="15.6" x14ac:dyDescent="0.35">
      <c r="A111" s="48"/>
      <c r="B111" s="392" t="s">
        <v>319</v>
      </c>
      <c r="C111" s="376"/>
      <c r="D111" s="376"/>
      <c r="E111" s="376"/>
      <c r="F111" s="391"/>
      <c r="G111" s="391"/>
      <c r="H111" s="304">
        <f>-H540</f>
        <v>-1083.6340043999958</v>
      </c>
      <c r="I111" s="304">
        <f t="shared" ref="I111:L111" si="66">-I540</f>
        <v>-1757.8088872841361</v>
      </c>
      <c r="J111" s="304">
        <f t="shared" si="66"/>
        <v>-1617.7533030283662</v>
      </c>
      <c r="K111" s="304">
        <f t="shared" si="66"/>
        <v>-1402.7224281120382</v>
      </c>
      <c r="L111" s="304">
        <f t="shared" si="66"/>
        <v>-1132.3992044062984</v>
      </c>
    </row>
    <row r="112" spans="1:12" ht="16.2" thickBot="1" x14ac:dyDescent="0.4">
      <c r="A112" s="48"/>
      <c r="B112" s="230" t="s">
        <v>75</v>
      </c>
      <c r="C112" s="230"/>
      <c r="D112" s="230"/>
      <c r="E112" s="230"/>
      <c r="F112" s="253"/>
      <c r="G112" s="253"/>
      <c r="H112" s="393"/>
      <c r="I112" s="393"/>
      <c r="J112" s="393"/>
      <c r="K112" s="393"/>
      <c r="L112" s="393"/>
    </row>
    <row r="113" spans="1:12" ht="15.6" x14ac:dyDescent="0.35">
      <c r="A113" s="48"/>
      <c r="B113" s="70" t="s">
        <v>186</v>
      </c>
      <c r="C113" s="70"/>
      <c r="D113" s="70"/>
      <c r="E113" s="70"/>
      <c r="F113" s="99"/>
      <c r="G113" s="99"/>
      <c r="H113" s="295">
        <f>SUM(H104:H107)+SUM(H109:H111)</f>
        <v>15071.177037895748</v>
      </c>
      <c r="I113" s="295">
        <f>SUM(I104:I107)+SUM(I109:I111)</f>
        <v>7058.0282361317804</v>
      </c>
      <c r="J113" s="295">
        <f>SUM(J104:J107)+SUM(J109:J111)</f>
        <v>6949.808784871635</v>
      </c>
      <c r="K113" s="295">
        <f>SUM(K104:K107)+SUM(K109:K111)</f>
        <v>7445.718144060651</v>
      </c>
      <c r="L113" s="295">
        <f>SUM(L104:L107)+SUM(L109:L111)</f>
        <v>7791.4610417022304</v>
      </c>
    </row>
    <row r="114" spans="1:12" ht="15.6" x14ac:dyDescent="0.35">
      <c r="A114" s="48"/>
      <c r="B114" s="65"/>
      <c r="C114" s="65"/>
      <c r="D114" s="65"/>
      <c r="E114" s="65"/>
      <c r="F114" s="99"/>
      <c r="G114" s="99"/>
      <c r="H114" s="100"/>
      <c r="I114" s="100"/>
      <c r="J114" s="100"/>
      <c r="K114" s="100"/>
      <c r="L114" s="100"/>
    </row>
    <row r="115" spans="1:12" ht="15.6" x14ac:dyDescent="0.35">
      <c r="A115" s="48"/>
      <c r="B115" s="85" t="s">
        <v>77</v>
      </c>
      <c r="C115" s="86"/>
      <c r="D115" s="87"/>
      <c r="E115" s="87"/>
      <c r="F115" s="88"/>
      <c r="G115" s="88"/>
      <c r="H115" s="89"/>
      <c r="I115" s="89"/>
      <c r="J115" s="89"/>
      <c r="K115" s="89"/>
      <c r="L115" s="90"/>
    </row>
    <row r="116" spans="1:12" ht="15.6" x14ac:dyDescent="0.35">
      <c r="A116" s="48"/>
      <c r="B116" s="65"/>
      <c r="C116" s="65"/>
      <c r="D116" s="65"/>
      <c r="E116" s="65"/>
      <c r="F116" s="99"/>
      <c r="G116" s="99"/>
      <c r="H116" s="100"/>
      <c r="I116" s="100"/>
      <c r="J116" s="100"/>
      <c r="K116" s="100"/>
      <c r="L116" s="100"/>
    </row>
    <row r="117" spans="1:12" ht="15.6" x14ac:dyDescent="0.35">
      <c r="A117" s="48"/>
      <c r="B117" s="65" t="s">
        <v>31</v>
      </c>
      <c r="C117" s="65"/>
      <c r="D117" s="65"/>
      <c r="E117" s="65"/>
      <c r="F117" s="99"/>
      <c r="G117" s="99"/>
      <c r="H117" s="193">
        <f>-H410</f>
        <v>-2893.1754537000002</v>
      </c>
      <c r="I117" s="193">
        <f t="shared" ref="I117:L117" si="67">-I410</f>
        <v>-3011.6564611232402</v>
      </c>
      <c r="J117" s="193">
        <f t="shared" si="67"/>
        <v>-3293.4082002457144</v>
      </c>
      <c r="K117" s="193">
        <f t="shared" si="67"/>
        <v>-3586.6590838932711</v>
      </c>
      <c r="L117" s="193">
        <f t="shared" si="67"/>
        <v>-3901.2779469677148</v>
      </c>
    </row>
    <row r="118" spans="1:12" ht="16.2" thickBot="1" x14ac:dyDescent="0.4">
      <c r="A118" s="48"/>
      <c r="B118" s="72" t="s">
        <v>32</v>
      </c>
      <c r="C118" s="72"/>
      <c r="D118" s="72"/>
      <c r="E118" s="72"/>
      <c r="F118" s="255"/>
      <c r="G118" s="255"/>
      <c r="H118" s="316">
        <f>-H413</f>
        <v>-1522.723923</v>
      </c>
      <c r="I118" s="316">
        <f t="shared" ref="I118:L118" si="68">-I413</f>
        <v>-1585.0823479596002</v>
      </c>
      <c r="J118" s="316">
        <f t="shared" si="68"/>
        <v>-1733.3727369714288</v>
      </c>
      <c r="K118" s="316">
        <f t="shared" si="68"/>
        <v>-1887.7153073122481</v>
      </c>
      <c r="L118" s="316">
        <f t="shared" si="68"/>
        <v>-2053.3041826145868</v>
      </c>
    </row>
    <row r="119" spans="1:12" ht="15.6" x14ac:dyDescent="0.35">
      <c r="A119" s="48"/>
      <c r="B119" s="70" t="s">
        <v>33</v>
      </c>
      <c r="C119" s="70"/>
      <c r="D119" s="70"/>
      <c r="E119" s="70"/>
      <c r="F119" s="99"/>
      <c r="G119" s="99"/>
      <c r="H119" s="343">
        <f>SUM(H117:H118)</f>
        <v>-4415.8993767000002</v>
      </c>
      <c r="I119" s="343">
        <f t="shared" ref="I119:L119" si="69">SUM(I117:I118)</f>
        <v>-4596.7388090828408</v>
      </c>
      <c r="J119" s="343">
        <f t="shared" si="69"/>
        <v>-5026.7809372171432</v>
      </c>
      <c r="K119" s="343">
        <f t="shared" si="69"/>
        <v>-5474.3743912055197</v>
      </c>
      <c r="L119" s="343">
        <f t="shared" si="69"/>
        <v>-5954.5821295823016</v>
      </c>
    </row>
    <row r="120" spans="1:12" ht="15.6" x14ac:dyDescent="0.35">
      <c r="A120" s="48"/>
      <c r="B120" s="65"/>
      <c r="C120" s="65"/>
      <c r="D120" s="65"/>
      <c r="E120" s="65"/>
      <c r="F120" s="99"/>
      <c r="G120" s="99"/>
      <c r="H120" s="101"/>
      <c r="I120" s="101"/>
      <c r="J120" s="101"/>
      <c r="K120" s="101"/>
      <c r="L120" s="101"/>
    </row>
    <row r="121" spans="1:12" ht="15.6" x14ac:dyDescent="0.35">
      <c r="A121" s="48"/>
      <c r="B121" s="85" t="s">
        <v>80</v>
      </c>
      <c r="C121" s="86"/>
      <c r="D121" s="87"/>
      <c r="E121" s="87"/>
      <c r="F121" s="88"/>
      <c r="G121" s="88"/>
      <c r="H121" s="89"/>
      <c r="I121" s="89"/>
      <c r="J121" s="89"/>
      <c r="K121" s="89"/>
      <c r="L121" s="90"/>
    </row>
    <row r="122" spans="1:12" ht="15.6" x14ac:dyDescent="0.35">
      <c r="A122" s="48"/>
      <c r="B122" s="65"/>
      <c r="C122" s="65"/>
      <c r="D122" s="65"/>
      <c r="E122" s="65"/>
      <c r="F122" s="99"/>
      <c r="G122" s="99"/>
      <c r="H122" s="101"/>
      <c r="I122" s="101"/>
      <c r="J122" s="101"/>
      <c r="K122" s="101"/>
      <c r="L122" s="101"/>
    </row>
    <row r="123" spans="1:12" ht="15.6" x14ac:dyDescent="0.35">
      <c r="A123" s="48"/>
      <c r="B123" s="65" t="s">
        <v>78</v>
      </c>
      <c r="C123" s="65"/>
      <c r="D123" s="65"/>
      <c r="E123" s="65"/>
      <c r="F123" s="99"/>
      <c r="G123" s="99"/>
      <c r="H123" s="193">
        <f>H487</f>
        <v>0</v>
      </c>
      <c r="I123" s="193">
        <f t="shared" ref="I123:L123" si="70">I487</f>
        <v>0</v>
      </c>
      <c r="J123" s="193">
        <f t="shared" si="70"/>
        <v>0</v>
      </c>
      <c r="K123" s="193">
        <f t="shared" si="70"/>
        <v>0</v>
      </c>
      <c r="L123" s="193">
        <f t="shared" si="70"/>
        <v>0</v>
      </c>
    </row>
    <row r="124" spans="1:12" ht="15.6" x14ac:dyDescent="0.35">
      <c r="A124" s="48"/>
      <c r="B124" s="65" t="s">
        <v>79</v>
      </c>
      <c r="C124" s="65"/>
      <c r="D124" s="65"/>
      <c r="E124" s="65"/>
      <c r="F124" s="99"/>
      <c r="G124" s="99"/>
      <c r="H124" s="193">
        <f t="shared" ref="H124:L124" si="71">H488</f>
        <v>-9609.6580461957492</v>
      </c>
      <c r="I124" s="193">
        <f t="shared" si="71"/>
        <v>0</v>
      </c>
      <c r="J124" s="193">
        <f t="shared" si="71"/>
        <v>0</v>
      </c>
      <c r="K124" s="193">
        <f t="shared" si="71"/>
        <v>0</v>
      </c>
      <c r="L124" s="193">
        <f t="shared" si="71"/>
        <v>0</v>
      </c>
    </row>
    <row r="125" spans="1:12" ht="15.6" x14ac:dyDescent="0.35">
      <c r="A125" s="48"/>
      <c r="B125" s="65" t="s">
        <v>34</v>
      </c>
      <c r="C125" s="65"/>
      <c r="D125" s="65"/>
      <c r="E125" s="65"/>
      <c r="F125" s="99"/>
      <c r="G125" s="99"/>
      <c r="H125" s="193">
        <f>-H395</f>
        <v>-996.42000000000007</v>
      </c>
      <c r="I125" s="193">
        <f t="shared" ref="I125:L125" si="72">-I395</f>
        <v>-966.20519999999999</v>
      </c>
      <c r="J125" s="193">
        <f t="shared" si="72"/>
        <v>-904.17751199999998</v>
      </c>
      <c r="K125" s="193">
        <f t="shared" si="72"/>
        <v>-838.42816272000005</v>
      </c>
      <c r="L125" s="193">
        <f t="shared" si="72"/>
        <v>-768.73385248320005</v>
      </c>
    </row>
    <row r="126" spans="1:12" ht="15.6" x14ac:dyDescent="0.35">
      <c r="A126" s="48"/>
      <c r="B126" s="65" t="s">
        <v>35</v>
      </c>
      <c r="C126" s="65"/>
      <c r="D126" s="65"/>
      <c r="E126" s="65"/>
      <c r="F126" s="99"/>
      <c r="G126" s="99"/>
      <c r="H126" s="193">
        <f>-H572</f>
        <v>-2720.0177702599967</v>
      </c>
      <c r="I126" s="193">
        <f t="shared" ref="I126:L126" si="73">-I572</f>
        <v>-1435.5439246153778</v>
      </c>
      <c r="J126" s="193">
        <f t="shared" si="73"/>
        <v>-1321.1651974731656</v>
      </c>
      <c r="K126" s="193">
        <f t="shared" si="73"/>
        <v>-1145.5566496248314</v>
      </c>
      <c r="L126" s="193">
        <f t="shared" si="73"/>
        <v>-924.79268359847708</v>
      </c>
    </row>
    <row r="127" spans="1:12" ht="16.2" thickBot="1" x14ac:dyDescent="0.4">
      <c r="A127" s="48"/>
      <c r="B127" s="72" t="s">
        <v>41</v>
      </c>
      <c r="C127" s="72"/>
      <c r="D127" s="72"/>
      <c r="E127" s="72"/>
      <c r="F127" s="255"/>
      <c r="G127" s="255"/>
      <c r="H127" s="316">
        <f>H579</f>
        <v>0</v>
      </c>
      <c r="I127" s="316">
        <f t="shared" ref="I127:L127" si="74">I579</f>
        <v>0</v>
      </c>
      <c r="J127" s="316">
        <f t="shared" si="74"/>
        <v>0</v>
      </c>
      <c r="K127" s="316">
        <f t="shared" si="74"/>
        <v>0</v>
      </c>
      <c r="L127" s="316">
        <f t="shared" si="74"/>
        <v>0</v>
      </c>
    </row>
    <row r="128" spans="1:12" ht="15.6" x14ac:dyDescent="0.35">
      <c r="A128" s="48"/>
      <c r="B128" s="70" t="s">
        <v>36</v>
      </c>
      <c r="C128" s="70"/>
      <c r="D128" s="70"/>
      <c r="E128" s="70"/>
      <c r="F128" s="99"/>
      <c r="G128" s="99"/>
      <c r="H128" s="295">
        <f>SUM(H123:H127)</f>
        <v>-13326.095816455745</v>
      </c>
      <c r="I128" s="295">
        <f>SUM(I123:I127)</f>
        <v>-2401.7491246153777</v>
      </c>
      <c r="J128" s="295">
        <f>SUM(J123:J127)</f>
        <v>-2225.3427094731655</v>
      </c>
      <c r="K128" s="295">
        <f>SUM(K123:K127)</f>
        <v>-1983.9848123448314</v>
      </c>
      <c r="L128" s="295">
        <f>SUM(L123:L127)</f>
        <v>-1693.526536081677</v>
      </c>
    </row>
    <row r="129" spans="1:12" ht="15.6" x14ac:dyDescent="0.35">
      <c r="A129" s="48"/>
      <c r="B129" s="65"/>
      <c r="C129" s="65"/>
      <c r="D129" s="65"/>
      <c r="E129" s="65"/>
      <c r="F129" s="99"/>
      <c r="G129" s="99"/>
      <c r="H129" s="100"/>
      <c r="I129" s="100"/>
      <c r="J129" s="100"/>
      <c r="K129" s="100"/>
      <c r="L129" s="100"/>
    </row>
    <row r="130" spans="1:12" ht="15.6" x14ac:dyDescent="0.35">
      <c r="A130" s="48"/>
      <c r="B130" s="74" t="s">
        <v>37</v>
      </c>
      <c r="C130" s="74"/>
      <c r="D130" s="74"/>
      <c r="E130" s="74"/>
      <c r="F130" s="256"/>
      <c r="G130" s="256"/>
      <c r="H130" s="362">
        <f>G54</f>
        <v>6568</v>
      </c>
      <c r="I130" s="362">
        <f>H132</f>
        <v>3897.1818447400037</v>
      </c>
      <c r="J130" s="362">
        <f t="shared" ref="J130:L130" si="75">I132</f>
        <v>3956.7221471735656</v>
      </c>
      <c r="K130" s="362">
        <f t="shared" si="75"/>
        <v>3654.4072853548919</v>
      </c>
      <c r="L130" s="362">
        <f t="shared" si="75"/>
        <v>3641.7662258651917</v>
      </c>
    </row>
    <row r="131" spans="1:12" ht="15.6" x14ac:dyDescent="0.35">
      <c r="A131" s="48"/>
      <c r="B131" s="65" t="s">
        <v>38</v>
      </c>
      <c r="C131" s="65"/>
      <c r="D131" s="65"/>
      <c r="E131" s="65"/>
      <c r="F131" s="99"/>
      <c r="G131" s="99"/>
      <c r="H131" s="363">
        <f>H113+H119+H128</f>
        <v>-2670.8181552599963</v>
      </c>
      <c r="I131" s="363">
        <f>I113+I119+I128</f>
        <v>59.540302433561919</v>
      </c>
      <c r="J131" s="363">
        <f>J113+J119+J128</f>
        <v>-302.31486181867376</v>
      </c>
      <c r="K131" s="363">
        <f>K113+K119+K128</f>
        <v>-12.641059489700183</v>
      </c>
      <c r="L131" s="363">
        <f>L113+L119+L128</f>
        <v>143.3523760382518</v>
      </c>
    </row>
    <row r="132" spans="1:12" ht="15.6" x14ac:dyDescent="0.35">
      <c r="A132" s="48"/>
      <c r="B132" s="156" t="s">
        <v>39</v>
      </c>
      <c r="C132" s="156"/>
      <c r="D132" s="156"/>
      <c r="E132" s="156"/>
      <c r="F132" s="231"/>
      <c r="G132" s="231"/>
      <c r="H132" s="363">
        <f>SUM(H130:H131)</f>
        <v>3897.1818447400037</v>
      </c>
      <c r="I132" s="363">
        <f>SUM(I130:I131)</f>
        <v>3956.7221471735656</v>
      </c>
      <c r="J132" s="363">
        <f t="shared" ref="J132:L132" si="76">SUM(J130:J131)</f>
        <v>3654.4072853548919</v>
      </c>
      <c r="K132" s="363">
        <f t="shared" si="76"/>
        <v>3641.7662258651917</v>
      </c>
      <c r="L132" s="363">
        <f t="shared" si="76"/>
        <v>3785.1186019034435</v>
      </c>
    </row>
    <row r="133" spans="1:12" ht="15.6" x14ac:dyDescent="0.35">
      <c r="A133" s="48"/>
      <c r="B133" s="48"/>
      <c r="C133" s="48"/>
      <c r="D133" s="48"/>
      <c r="E133" s="48"/>
      <c r="F133" s="103"/>
      <c r="G133" s="103"/>
      <c r="H133" s="104"/>
      <c r="I133" s="104"/>
      <c r="J133" s="104"/>
      <c r="K133" s="104"/>
      <c r="L133" s="104"/>
    </row>
    <row r="134" spans="1:12" ht="15.6" x14ac:dyDescent="0.35">
      <c r="A134" s="48"/>
      <c r="B134" s="48"/>
      <c r="C134" s="48"/>
      <c r="D134" s="48"/>
      <c r="E134" s="48"/>
      <c r="F134" s="103"/>
      <c r="G134" s="103"/>
      <c r="H134" s="104"/>
      <c r="I134" s="104"/>
      <c r="J134" s="104"/>
      <c r="K134" s="104"/>
      <c r="L134" s="104"/>
    </row>
    <row r="135" spans="1:12" ht="15.6" x14ac:dyDescent="0.35">
      <c r="A135" s="48"/>
      <c r="B135" s="48"/>
      <c r="C135" s="48"/>
      <c r="D135" s="48"/>
      <c r="E135" s="48"/>
      <c r="F135" s="103"/>
      <c r="G135" s="103"/>
      <c r="H135" s="104"/>
      <c r="I135" s="104"/>
      <c r="J135" s="104"/>
      <c r="K135" s="104"/>
      <c r="L135" s="104"/>
    </row>
    <row r="136" spans="1:12" ht="15.6" x14ac:dyDescent="0.35">
      <c r="A136" s="48"/>
      <c r="B136" s="48"/>
      <c r="C136" s="48"/>
      <c r="D136" s="48"/>
      <c r="E136" s="48"/>
      <c r="F136" s="103"/>
      <c r="G136" s="103"/>
      <c r="H136" s="104"/>
      <c r="I136" s="104"/>
      <c r="J136" s="104"/>
      <c r="K136" s="104"/>
      <c r="L136" s="104"/>
    </row>
    <row r="137" spans="1:12" ht="28.8" x14ac:dyDescent="0.65">
      <c r="A137" s="48"/>
      <c r="B137" s="49" t="str">
        <f>Cover!$B$2</f>
        <v>Solid State PLC</v>
      </c>
      <c r="C137" s="49"/>
      <c r="D137" s="50"/>
      <c r="E137" s="51"/>
      <c r="F137" s="51"/>
      <c r="G137" s="51"/>
      <c r="H137" s="51"/>
      <c r="I137" s="51"/>
      <c r="J137" s="51"/>
      <c r="K137" s="51"/>
      <c r="L137" s="51"/>
    </row>
    <row r="138" spans="1:12" ht="21" x14ac:dyDescent="0.5">
      <c r="A138" s="48"/>
      <c r="B138" s="52" t="s">
        <v>7</v>
      </c>
      <c r="C138" s="53"/>
      <c r="D138" s="51"/>
      <c r="E138" s="51"/>
      <c r="F138" s="51"/>
      <c r="G138" s="51"/>
      <c r="H138" s="51"/>
      <c r="I138" s="51"/>
      <c r="J138" s="51"/>
      <c r="K138" s="51"/>
      <c r="L138" s="278" t="str">
        <f>"Currently Running: "&amp;CHOOSE(Assumptions!$B$10,Assumptions!$F$15,Assumptions!$F$16,Assumptions!$F$17)&amp;"Scenario"</f>
        <v>Currently Running: Upside Scenario</v>
      </c>
    </row>
    <row r="139" spans="1:12" ht="15.6" x14ac:dyDescent="0.35">
      <c r="A139" s="48"/>
      <c r="B139" s="54"/>
      <c r="C139" s="54"/>
      <c r="D139" s="54"/>
      <c r="E139" s="54"/>
      <c r="F139" s="54"/>
      <c r="G139" s="54"/>
      <c r="H139" s="54"/>
      <c r="I139" s="54"/>
      <c r="J139" s="54"/>
      <c r="K139" s="55"/>
      <c r="L139" s="55"/>
    </row>
    <row r="140" spans="1:12" ht="15.6" x14ac:dyDescent="0.35">
      <c r="A140" s="48"/>
      <c r="B140" s="55"/>
      <c r="C140" s="55"/>
      <c r="D140" s="55"/>
      <c r="E140" s="55"/>
    </row>
    <row r="141" spans="1:12" ht="15.6" x14ac:dyDescent="0.35">
      <c r="A141" s="48"/>
      <c r="B141" s="55"/>
      <c r="C141" s="55"/>
      <c r="D141" s="55"/>
      <c r="E141" s="55"/>
    </row>
    <row r="142" spans="1:12" ht="16.2" thickBot="1" x14ac:dyDescent="0.4">
      <c r="A142" s="48"/>
      <c r="B142" s="59" t="s">
        <v>54</v>
      </c>
      <c r="C142" s="59"/>
      <c r="D142" s="59"/>
      <c r="E142" s="59"/>
      <c r="F142" s="60" t="s">
        <v>56</v>
      </c>
      <c r="G142" s="60"/>
      <c r="H142" s="61"/>
      <c r="I142" s="61"/>
      <c r="J142" s="61"/>
      <c r="K142" s="61"/>
      <c r="L142" s="61" t="s">
        <v>42</v>
      </c>
    </row>
    <row r="143" spans="1:12" ht="15.6" x14ac:dyDescent="0.35">
      <c r="A143" s="48"/>
      <c r="B143" s="55"/>
      <c r="C143" s="55"/>
      <c r="D143" s="55"/>
      <c r="E143" s="55"/>
      <c r="F143" s="83"/>
      <c r="G143" s="83"/>
      <c r="H143" s="84"/>
      <c r="I143" s="84"/>
      <c r="J143" s="84"/>
      <c r="K143" s="84"/>
      <c r="L143" s="84"/>
    </row>
    <row r="144" spans="1:12" ht="15.6" x14ac:dyDescent="0.35">
      <c r="A144" s="48"/>
      <c r="B144" s="85" t="s">
        <v>213</v>
      </c>
      <c r="C144" s="86"/>
      <c r="D144" s="87"/>
      <c r="E144" s="87"/>
      <c r="F144" s="88"/>
      <c r="G144" s="88"/>
      <c r="H144" s="89"/>
      <c r="I144" s="89"/>
      <c r="J144" s="89"/>
      <c r="K144" s="89"/>
      <c r="L144" s="90"/>
    </row>
    <row r="145" spans="1:18" ht="15.6" x14ac:dyDescent="0.35">
      <c r="A145" s="48"/>
      <c r="B145" s="65"/>
      <c r="C145" s="65"/>
      <c r="D145" s="65"/>
      <c r="E145" s="65"/>
      <c r="F145" s="105"/>
      <c r="G145" s="105"/>
      <c r="H145" s="100"/>
      <c r="I145" s="100"/>
      <c r="J145" s="100"/>
      <c r="K145" s="100"/>
      <c r="L145" s="100"/>
    </row>
    <row r="146" spans="1:18" ht="15.6" x14ac:dyDescent="0.35">
      <c r="A146" s="48"/>
      <c r="B146" s="65" t="s">
        <v>190</v>
      </c>
      <c r="C146" s="65"/>
      <c r="D146" s="65"/>
      <c r="E146" s="65"/>
      <c r="F146" s="160">
        <f>F17</f>
        <v>1.0666538732169129E-2</v>
      </c>
      <c r="G146" s="160">
        <f>G17</f>
        <v>4.5068247872119577E-2</v>
      </c>
      <c r="H146" s="160">
        <f>H17</f>
        <v>8.0763499950607831E-2</v>
      </c>
      <c r="I146" s="160">
        <f>I17</f>
        <v>3.9912307113490093E-2</v>
      </c>
      <c r="J146" s="160">
        <f>J17</f>
        <v>3.4171571561776755E-2</v>
      </c>
      <c r="K146" s="160">
        <f>K17</f>
        <v>2.7944944594531416E-2</v>
      </c>
      <c r="L146" s="160">
        <f>L17</f>
        <v>2.16349106359397E-2</v>
      </c>
    </row>
    <row r="147" spans="1:18" ht="15.6" x14ac:dyDescent="0.35">
      <c r="A147" s="48"/>
      <c r="B147" s="65" t="s">
        <v>170</v>
      </c>
      <c r="C147" s="65"/>
      <c r="D147" s="65"/>
      <c r="E147" s="65"/>
      <c r="F147" s="160">
        <f>F23/F10</f>
        <v>1.0666538732169129E-2</v>
      </c>
      <c r="G147" s="160">
        <f>G23/G10</f>
        <v>4.5068247872119577E-2</v>
      </c>
      <c r="H147" s="160">
        <f>H23/H10</f>
        <v>0.10543725143132847</v>
      </c>
      <c r="I147" s="160">
        <f>I23/I10</f>
        <v>6.9646745793531764E-2</v>
      </c>
      <c r="J147" s="160">
        <f>J23/J10</f>
        <v>6.7403039938555662E-2</v>
      </c>
      <c r="K147" s="160">
        <f>K23/K10</f>
        <v>6.4318884411735125E-2</v>
      </c>
      <c r="L147" s="160">
        <f>L23/L10</f>
        <v>6.0766292954186785E-2</v>
      </c>
    </row>
    <row r="148" spans="1:18" ht="15.6" x14ac:dyDescent="0.35">
      <c r="A148" s="48"/>
      <c r="B148" s="65" t="s">
        <v>191</v>
      </c>
      <c r="C148" s="65"/>
      <c r="D148" s="65"/>
      <c r="E148" s="65"/>
      <c r="F148" s="122">
        <f>F33</f>
        <v>4.0939039211923493E-3</v>
      </c>
      <c r="G148" s="122">
        <f>G33</f>
        <v>2.652065600996471E-2</v>
      </c>
      <c r="H148" s="257">
        <f>H33</f>
        <v>5.1036693035524015E-2</v>
      </c>
      <c r="I148" s="257">
        <f>I33</f>
        <v>2.5875968372301814E-2</v>
      </c>
      <c r="J148" s="257">
        <f>J33</f>
        <v>2.177695325739052E-2</v>
      </c>
      <c r="K148" s="257">
        <f>K33</f>
        <v>1.7338520200846672E-2</v>
      </c>
      <c r="L148" s="257">
        <f>L33</f>
        <v>1.2868355466537938E-2</v>
      </c>
      <c r="R148" s="40"/>
    </row>
    <row r="149" spans="1:18" ht="15.6" x14ac:dyDescent="0.35">
      <c r="A149" s="48"/>
      <c r="B149" s="65" t="s">
        <v>192</v>
      </c>
      <c r="C149" s="65"/>
      <c r="D149" s="65"/>
      <c r="E149" s="65"/>
      <c r="F149" s="258">
        <f>F536</f>
        <v>-0.6</v>
      </c>
      <c r="G149" s="258">
        <f t="shared" ref="G149:L149" si="77">G536</f>
        <v>0.30059880239520959</v>
      </c>
      <c r="H149" s="145">
        <f t="shared" si="77"/>
        <v>0.3</v>
      </c>
      <c r="I149" s="145">
        <f t="shared" si="77"/>
        <v>0.3</v>
      </c>
      <c r="J149" s="145">
        <f t="shared" si="77"/>
        <v>0.3</v>
      </c>
      <c r="K149" s="145">
        <f t="shared" si="77"/>
        <v>0.3</v>
      </c>
      <c r="L149" s="145">
        <f t="shared" si="77"/>
        <v>0.3</v>
      </c>
    </row>
    <row r="150" spans="1:18" ht="15.6" x14ac:dyDescent="0.35">
      <c r="A150" s="48"/>
      <c r="B150" s="65"/>
      <c r="C150" s="65"/>
      <c r="D150" s="65"/>
      <c r="E150" s="65"/>
      <c r="F150" s="138"/>
      <c r="G150" s="139"/>
      <c r="H150" s="139"/>
      <c r="I150" s="139"/>
      <c r="J150" s="139"/>
      <c r="K150" s="139"/>
      <c r="L150" s="139"/>
    </row>
    <row r="151" spans="1:18" ht="15.6" x14ac:dyDescent="0.35">
      <c r="A151" s="48"/>
      <c r="B151" s="85" t="s">
        <v>194</v>
      </c>
      <c r="C151" s="86"/>
      <c r="D151" s="87"/>
      <c r="E151" s="87"/>
      <c r="F151" s="88"/>
      <c r="G151" s="88"/>
      <c r="H151" s="89"/>
      <c r="I151" s="89"/>
      <c r="J151" s="89"/>
      <c r="K151" s="89"/>
      <c r="L151" s="90"/>
    </row>
    <row r="152" spans="1:18" ht="15.6" x14ac:dyDescent="0.35">
      <c r="A152" s="48"/>
      <c r="B152" s="65"/>
      <c r="C152" s="65"/>
      <c r="D152" s="65"/>
      <c r="E152" s="65"/>
      <c r="F152" s="140"/>
      <c r="G152" s="140"/>
      <c r="H152" s="141"/>
      <c r="I152" s="141"/>
      <c r="J152" s="141"/>
      <c r="K152" s="141"/>
      <c r="L152" s="141"/>
    </row>
    <row r="153" spans="1:18" ht="15.6" x14ac:dyDescent="0.35">
      <c r="A153" s="48"/>
      <c r="B153" s="65" t="s">
        <v>193</v>
      </c>
      <c r="C153" s="65"/>
      <c r="D153" s="65"/>
      <c r="E153" s="65"/>
      <c r="F153" s="259">
        <f>F16/ABS(F26)</f>
        <v>1.3155818540433926</v>
      </c>
      <c r="G153" s="259">
        <f>G16/ABS(G26)</f>
        <v>6.3039927404718696</v>
      </c>
      <c r="H153" s="259">
        <f>H16/ABS(H26)</f>
        <v>10.283184703554856</v>
      </c>
      <c r="I153" s="259">
        <f>I16/ABS(I26)</f>
        <v>13.545032330169683</v>
      </c>
      <c r="J153" s="259">
        <f>J16/ABS(J26)</f>
        <v>11.161204492888107</v>
      </c>
      <c r="K153" s="259">
        <f>K16/ABS(K26)</f>
        <v>8.7998111876617848</v>
      </c>
      <c r="L153" s="259">
        <f>L16/ABS(L26)</f>
        <v>6.6537310990621394</v>
      </c>
    </row>
    <row r="154" spans="1:18" ht="15.6" x14ac:dyDescent="0.35">
      <c r="A154" s="48"/>
      <c r="B154" s="65" t="s">
        <v>196</v>
      </c>
      <c r="C154" s="65"/>
      <c r="D154" s="65"/>
      <c r="E154" s="65"/>
      <c r="F154" s="260">
        <f>IF(F75=0, "N/A", ABS(F23/F75))</f>
        <v>0.12621818525877568</v>
      </c>
      <c r="G154" s="260">
        <f>IF(G75=0, "N/A", ABS(G23/G75))</f>
        <v>0.68382714834137215</v>
      </c>
      <c r="H154" s="260">
        <f>IF(H75=0, "N/A", ABS(H23/H75))</f>
        <v>29.226208560626326</v>
      </c>
      <c r="I154" s="260">
        <f>IF(I75=0, "N/A", ABS(I23/I75))</f>
        <v>20.096012435542931</v>
      </c>
      <c r="J154" s="260">
        <f>IF(J75=0, "N/A", ABS(J23/J75))</f>
        <v>21.268099224790113</v>
      </c>
      <c r="K154" s="260">
        <f>IF(K75=0, "N/A", ABS(K23/K75))</f>
        <v>22.102033498891306</v>
      </c>
      <c r="L154" s="260">
        <f>IF(L75=0, "N/A", ABS(L23/L75))</f>
        <v>22.71293547138681</v>
      </c>
    </row>
    <row r="155" spans="1:18" ht="15.6" x14ac:dyDescent="0.35">
      <c r="A155" s="48"/>
      <c r="B155" s="65" t="s">
        <v>195</v>
      </c>
      <c r="C155" s="65"/>
      <c r="D155" s="65"/>
      <c r="E155" s="65"/>
      <c r="F155" s="261"/>
      <c r="G155" s="261"/>
      <c r="H155" s="260">
        <f>IF(SUM(H75+H387)=0,"N/A",ABS(H23/(H75+H387)))</f>
        <v>17.781362437074684</v>
      </c>
      <c r="I155" s="260">
        <f>IF(SUM(I75+I387)=0,"N/A",ABS(I23/(I75+I387)))</f>
        <v>11.830616134247251</v>
      </c>
      <c r="J155" s="260">
        <f>IF(SUM(J75+J387)=0,"N/A",ABS(J23/(J75+J387)))</f>
        <v>11.740229746017205</v>
      </c>
      <c r="K155" s="260">
        <f>IF(SUM(K75+K387)=0,"N/A",ABS(K23/(K75+K387)))</f>
        <v>11.444449461741184</v>
      </c>
      <c r="L155" s="260">
        <f>IF(SUM(L75+L387)=0,"N/A",ABS(L23/(L75+L387)))</f>
        <v>11.03580306376953</v>
      </c>
    </row>
    <row r="156" spans="1:18" ht="15.6" x14ac:dyDescent="0.35">
      <c r="A156" s="48"/>
      <c r="B156" s="65"/>
      <c r="C156" s="65"/>
      <c r="D156" s="65"/>
      <c r="E156" s="65"/>
      <c r="F156" s="260"/>
      <c r="G156" s="260"/>
      <c r="H156" s="260"/>
      <c r="I156" s="260"/>
      <c r="J156" s="260"/>
      <c r="K156" s="260"/>
      <c r="L156" s="260"/>
    </row>
    <row r="157" spans="1:18" ht="15.6" x14ac:dyDescent="0.35">
      <c r="A157" s="48"/>
      <c r="B157" s="85" t="s">
        <v>197</v>
      </c>
      <c r="C157" s="86"/>
      <c r="D157" s="87"/>
      <c r="E157" s="87"/>
      <c r="F157" s="88"/>
      <c r="G157" s="88"/>
      <c r="H157" s="89"/>
      <c r="I157" s="89"/>
      <c r="J157" s="89"/>
      <c r="K157" s="89"/>
      <c r="L157" s="90"/>
    </row>
    <row r="158" spans="1:18" ht="15.6" x14ac:dyDescent="0.35">
      <c r="A158" s="48"/>
      <c r="B158" s="65"/>
      <c r="C158" s="65"/>
      <c r="D158" s="65"/>
      <c r="E158" s="65"/>
      <c r="F158" s="260"/>
      <c r="G158" s="260"/>
      <c r="H158" s="260"/>
      <c r="I158" s="260"/>
      <c r="J158" s="260"/>
      <c r="K158" s="260"/>
      <c r="L158" s="260"/>
    </row>
    <row r="159" spans="1:18" ht="15.6" x14ac:dyDescent="0.35">
      <c r="A159" s="48"/>
      <c r="B159" s="65" t="s">
        <v>198</v>
      </c>
      <c r="C159" s="65"/>
      <c r="D159" s="65"/>
      <c r="E159" s="65"/>
      <c r="F159" s="261"/>
      <c r="G159" s="261"/>
      <c r="H159" s="260">
        <f>ABS((H75+H54+H393)/H23)</f>
        <v>0.18989133923569607</v>
      </c>
      <c r="I159" s="260">
        <f>ABS((I75+I54+I393)/I23)</f>
        <v>0.36441545873563064</v>
      </c>
      <c r="J159" s="260">
        <f>ABS((J75+J54+J393)/J23)</f>
        <v>0.46400059024227108</v>
      </c>
      <c r="K159" s="260">
        <f>ABS((K75+K54+K393)/K23)</f>
        <v>0.54320343549296024</v>
      </c>
      <c r="L159" s="260">
        <f>ABS((L75+L54+L393)/L23)</f>
        <v>0.61578544186531525</v>
      </c>
    </row>
    <row r="160" spans="1:18" ht="15.6" x14ac:dyDescent="0.35">
      <c r="A160" s="48"/>
      <c r="B160" s="65" t="s">
        <v>225</v>
      </c>
      <c r="C160" s="65"/>
      <c r="D160" s="65"/>
      <c r="E160" s="65"/>
      <c r="F160" s="261"/>
      <c r="G160" s="261"/>
      <c r="H160" s="260"/>
      <c r="I160" s="260"/>
      <c r="J160" s="260"/>
      <c r="K160" s="260"/>
      <c r="L160" s="260"/>
    </row>
    <row r="161" spans="1:12" ht="15.6" x14ac:dyDescent="0.35">
      <c r="A161" s="48"/>
      <c r="B161" s="65"/>
      <c r="C161" s="65"/>
      <c r="D161" s="65"/>
      <c r="E161" s="65"/>
      <c r="F161" s="260"/>
      <c r="G161" s="260"/>
      <c r="H161" s="260"/>
      <c r="I161" s="260"/>
      <c r="J161" s="260"/>
      <c r="K161" s="260"/>
      <c r="L161" s="260"/>
    </row>
    <row r="162" spans="1:12" ht="15.6" x14ac:dyDescent="0.35">
      <c r="A162" s="48"/>
      <c r="B162" s="85" t="s">
        <v>197</v>
      </c>
      <c r="C162" s="86"/>
      <c r="D162" s="87"/>
      <c r="E162" s="87"/>
      <c r="F162" s="88"/>
      <c r="G162" s="88"/>
      <c r="H162" s="89"/>
      <c r="I162" s="89"/>
      <c r="J162" s="89"/>
      <c r="K162" s="89"/>
      <c r="L162" s="90"/>
    </row>
    <row r="163" spans="1:12" ht="15.6" x14ac:dyDescent="0.35">
      <c r="A163" s="48"/>
      <c r="B163" s="96"/>
      <c r="C163" s="70"/>
      <c r="D163" s="65"/>
      <c r="E163" s="65"/>
      <c r="F163" s="91"/>
      <c r="G163" s="91"/>
      <c r="H163" s="92"/>
      <c r="I163" s="92"/>
      <c r="J163" s="92"/>
      <c r="K163" s="92"/>
      <c r="L163" s="92"/>
    </row>
    <row r="164" spans="1:12" ht="15.6" x14ac:dyDescent="0.35">
      <c r="A164" s="48"/>
      <c r="B164" s="65" t="s">
        <v>210</v>
      </c>
      <c r="C164" s="70"/>
      <c r="D164" s="65"/>
      <c r="E164" s="65"/>
      <c r="F164" s="151">
        <f>F55/ABS(F72)</f>
        <v>2.1856126100768023</v>
      </c>
      <c r="G164" s="151">
        <f>G55/ABS(G72)</f>
        <v>2.2903077100380318</v>
      </c>
      <c r="H164" s="151">
        <f>H55/ABS(H72)</f>
        <v>2.1448928320053637</v>
      </c>
      <c r="I164" s="151">
        <f>I55/ABS(I72)</f>
        <v>2.1423373620964306</v>
      </c>
      <c r="J164" s="151">
        <f>J55/ABS(J72)</f>
        <v>2.1399855685977971</v>
      </c>
      <c r="K164" s="151">
        <f>K55/ABS(K72)</f>
        <v>2.1479527493327573</v>
      </c>
      <c r="L164" s="151">
        <f>L55/ABS(L72)</f>
        <v>2.1552298215533652</v>
      </c>
    </row>
    <row r="165" spans="1:12" ht="15.6" x14ac:dyDescent="0.35">
      <c r="A165" s="48"/>
      <c r="B165" s="65" t="s">
        <v>211</v>
      </c>
      <c r="C165" s="70"/>
      <c r="D165" s="65"/>
      <c r="E165" s="65"/>
      <c r="F165" s="151">
        <f>(F55-F51)/ABS(F72)</f>
        <v>1.050102537295428</v>
      </c>
      <c r="G165" s="151">
        <f>(G55-G51)/ABS(G72)</f>
        <v>1.1185509584725903</v>
      </c>
      <c r="H165" s="151">
        <f>(H55-H51)/ABS(H72)</f>
        <v>0.98656709371885554</v>
      </c>
      <c r="I165" s="151">
        <f>(I55-I51)/ABS(I72)</f>
        <v>0.95558183572845767</v>
      </c>
      <c r="J165" s="151">
        <f>(J55-J51)/ABS(J72)</f>
        <v>0.94188345733558243</v>
      </c>
      <c r="K165" s="151">
        <f>(K55-K51)/ABS(K72)</f>
        <v>0.93960791284370115</v>
      </c>
      <c r="L165" s="151">
        <f>(L55-L51)/ABS(L72)</f>
        <v>0.94032905849759896</v>
      </c>
    </row>
    <row r="166" spans="1:12" ht="15.6" x14ac:dyDescent="0.35">
      <c r="A166" s="48"/>
      <c r="B166" s="65" t="s">
        <v>212</v>
      </c>
      <c r="C166" s="70"/>
      <c r="D166" s="65"/>
      <c r="E166" s="65"/>
      <c r="F166" s="151">
        <f>F54/ABS(F72)</f>
        <v>0.14126020346616269</v>
      </c>
      <c r="G166" s="151">
        <f>G54/ABS(G72)</f>
        <v>0.25231454803887671</v>
      </c>
      <c r="H166" s="151">
        <f>H54/ABS(H72)</f>
        <v>0.16148350822243868</v>
      </c>
      <c r="I166" s="151">
        <f>I54/ABS(I72)</f>
        <v>0.15317238903580679</v>
      </c>
      <c r="J166" s="151">
        <f>J54/ABS(J72)</f>
        <v>0.13076979216299905</v>
      </c>
      <c r="K166" s="151">
        <f>K54/ABS(K72)</f>
        <v>0.12079791348675141</v>
      </c>
      <c r="L166" s="151">
        <f>L54/ABS(L72)</f>
        <v>0.11618031038448466</v>
      </c>
    </row>
    <row r="167" spans="1:12" ht="15.6" x14ac:dyDescent="0.35">
      <c r="A167" s="48"/>
      <c r="B167" s="96"/>
      <c r="C167" s="70"/>
      <c r="D167" s="65"/>
      <c r="E167" s="65"/>
      <c r="F167" s="91"/>
      <c r="G167" s="91"/>
      <c r="H167" s="92"/>
      <c r="I167" s="92"/>
      <c r="J167" s="92"/>
      <c r="K167" s="92"/>
      <c r="L167" s="92"/>
    </row>
    <row r="168" spans="1:12" ht="15.6" x14ac:dyDescent="0.35">
      <c r="A168" s="48"/>
      <c r="B168" s="85" t="s">
        <v>199</v>
      </c>
      <c r="C168" s="86"/>
      <c r="D168" s="87"/>
      <c r="E168" s="87"/>
      <c r="F168" s="88"/>
      <c r="G168" s="88"/>
      <c r="H168" s="89"/>
      <c r="I168" s="89"/>
      <c r="J168" s="89"/>
      <c r="K168" s="89"/>
      <c r="L168" s="90"/>
    </row>
    <row r="169" spans="1:12" ht="15.6" x14ac:dyDescent="0.35">
      <c r="A169" s="48"/>
      <c r="B169" s="70"/>
      <c r="C169" s="70"/>
      <c r="D169" s="65"/>
      <c r="E169" s="65"/>
      <c r="F169" s="105"/>
      <c r="G169" s="105"/>
      <c r="H169" s="100"/>
      <c r="I169" s="100"/>
      <c r="J169" s="100"/>
      <c r="K169" s="100"/>
      <c r="L169" s="100"/>
    </row>
    <row r="170" spans="1:12" ht="15.6" x14ac:dyDescent="0.35">
      <c r="A170" s="48"/>
      <c r="B170" s="65" t="s">
        <v>200</v>
      </c>
      <c r="C170" s="65"/>
      <c r="D170" s="65"/>
      <c r="E170" s="65"/>
      <c r="F170" s="262"/>
      <c r="G170" s="262"/>
      <c r="H170" s="92">
        <f>H113+H119</f>
        <v>10655.277661195749</v>
      </c>
      <c r="I170" s="92">
        <f>I113+I119</f>
        <v>2461.2894270489396</v>
      </c>
      <c r="J170" s="92">
        <f>J113+J119</f>
        <v>1923.0278476544918</v>
      </c>
      <c r="K170" s="92">
        <f>K113+K119</f>
        <v>1971.3437528551312</v>
      </c>
      <c r="L170" s="92">
        <f>L113+L119</f>
        <v>1836.8789121199288</v>
      </c>
    </row>
    <row r="171" spans="1:12" ht="15.6" x14ac:dyDescent="0.35">
      <c r="A171" s="48"/>
      <c r="B171" s="65" t="s">
        <v>201</v>
      </c>
      <c r="C171" s="65"/>
      <c r="D171" s="65"/>
      <c r="E171" s="65"/>
      <c r="F171" s="262"/>
      <c r="G171" s="262"/>
      <c r="H171" s="92">
        <f>H170+H387</f>
        <v>10301.697661195749</v>
      </c>
      <c r="I171" s="92">
        <f>I170+I387</f>
        <v>2077.4946270489395</v>
      </c>
      <c r="J171" s="92">
        <f>J170+J387</f>
        <v>1477.2053596544918</v>
      </c>
      <c r="K171" s="92">
        <f>K170+K387</f>
        <v>1459.7719155751313</v>
      </c>
      <c r="L171" s="92">
        <f>L170+L387</f>
        <v>1255.6127646031289</v>
      </c>
    </row>
    <row r="172" spans="1:12" ht="15.6" x14ac:dyDescent="0.35">
      <c r="A172" s="48"/>
      <c r="B172" s="65" t="s">
        <v>205</v>
      </c>
      <c r="C172" s="65"/>
      <c r="D172" s="65"/>
      <c r="E172" s="65"/>
      <c r="F172" s="263"/>
      <c r="G172" s="263"/>
      <c r="H172" s="142">
        <f>H170/H32</f>
        <v>1.3710745650981673</v>
      </c>
      <c r="I172" s="142">
        <f>I170/I32</f>
        <v>0.60008703648544615</v>
      </c>
      <c r="J172" s="142">
        <f>J170/J32</f>
        <v>0.5094440483039917</v>
      </c>
      <c r="K172" s="142">
        <f>K170/K32</f>
        <v>0.60230134731901774</v>
      </c>
      <c r="L172" s="142">
        <f>L170/L32</f>
        <v>0.69519107432851424</v>
      </c>
    </row>
    <row r="173" spans="1:12" ht="15.6" x14ac:dyDescent="0.35">
      <c r="A173" s="48"/>
      <c r="B173" s="65"/>
      <c r="C173" s="65"/>
      <c r="D173" s="65"/>
      <c r="E173" s="65"/>
      <c r="F173" s="142"/>
      <c r="G173" s="142"/>
      <c r="H173" s="142"/>
      <c r="I173" s="142"/>
      <c r="J173" s="142"/>
      <c r="K173" s="142"/>
      <c r="L173" s="142"/>
    </row>
    <row r="174" spans="1:12" ht="15.6" x14ac:dyDescent="0.35">
      <c r="A174" s="48"/>
      <c r="B174" s="85" t="s">
        <v>206</v>
      </c>
      <c r="C174" s="86"/>
      <c r="D174" s="87"/>
      <c r="E174" s="87"/>
      <c r="F174" s="88"/>
      <c r="G174" s="88"/>
      <c r="H174" s="89"/>
      <c r="I174" s="89"/>
      <c r="J174" s="89"/>
      <c r="K174" s="89"/>
      <c r="L174" s="90"/>
    </row>
    <row r="175" spans="1:12" ht="15.6" x14ac:dyDescent="0.35">
      <c r="A175" s="48"/>
      <c r="B175" s="65"/>
      <c r="C175" s="65"/>
      <c r="D175" s="65"/>
      <c r="E175" s="65"/>
      <c r="F175" s="105"/>
      <c r="G175" s="105"/>
      <c r="H175" s="100"/>
      <c r="I175" s="100"/>
      <c r="J175" s="100"/>
      <c r="K175" s="100"/>
      <c r="L175" s="100"/>
    </row>
    <row r="176" spans="1:12" ht="15.6" x14ac:dyDescent="0.35">
      <c r="A176" s="48"/>
      <c r="B176" s="65" t="s">
        <v>207</v>
      </c>
      <c r="C176" s="65"/>
      <c r="D176" s="65"/>
      <c r="E176" s="65"/>
      <c r="F176" s="262"/>
      <c r="G176" s="262"/>
      <c r="H176" s="122">
        <f>H$32/(AVERAGE(SUM(H$81:H$86), SUM(G$81:G$86)))</f>
        <v>0.11803631714079571</v>
      </c>
      <c r="I176" s="122">
        <f>I$32/(AVERAGE(SUM(I$81:I$86), SUM(H$81:H$86)))</f>
        <v>5.8847120570814433E-2</v>
      </c>
      <c r="J176" s="122">
        <f>J$32/(AVERAGE(SUM(J$81:J$86), SUM(I$81:I$86)))</f>
        <v>5.2239803318178318E-2</v>
      </c>
      <c r="K176" s="122">
        <f>K$32/(AVERAGE(SUM(K$81:K$86), SUM(J$81:J$86)))</f>
        <v>4.3904384788801737E-2</v>
      </c>
      <c r="L176" s="122">
        <f>L$32/(AVERAGE(SUM(L$81:L$86), SUM(K$81:K$86)))</f>
        <v>3.4552388950024035E-2</v>
      </c>
    </row>
    <row r="177" spans="1:12" ht="15.6" x14ac:dyDescent="0.35">
      <c r="A177" s="48"/>
      <c r="B177" s="65" t="s">
        <v>208</v>
      </c>
      <c r="C177" s="65"/>
      <c r="D177" s="65"/>
      <c r="E177" s="65"/>
      <c r="F177" s="262"/>
      <c r="G177" s="262"/>
      <c r="H177" s="122">
        <f>H$32/(AVERAGE(SUM(H$81:H$86), SUM(G$81:G$86))-H59)</f>
        <v>0.24759018365382826</v>
      </c>
      <c r="I177" s="122">
        <f>I$32/(AVERAGE(SUM(I$81:I$86), SUM(H$81:H$86))-I59)</f>
        <v>0.11493007907100287</v>
      </c>
      <c r="J177" s="122">
        <f>J$32/(AVERAGE(SUM(J$81:J$86), SUM(I$81:I$86))-J59)</f>
        <v>9.7110086306504501E-2</v>
      </c>
      <c r="K177" s="122">
        <f>K$32/(AVERAGE(SUM(K$81:K$86), SUM(J$81:J$86))-K59)</f>
        <v>7.7942139664650842E-2</v>
      </c>
      <c r="L177" s="122">
        <f>L$32/(AVERAGE(SUM(L$81:L$86), SUM(K$81:K$86))-L59)</f>
        <v>5.8749105830244293E-2</v>
      </c>
    </row>
    <row r="178" spans="1:12" ht="15.6" x14ac:dyDescent="0.35">
      <c r="A178" s="48"/>
      <c r="B178" s="65" t="s">
        <v>209</v>
      </c>
      <c r="C178" s="65"/>
      <c r="D178" s="65"/>
      <c r="E178" s="65"/>
      <c r="F178" s="262"/>
      <c r="G178" s="262"/>
      <c r="H178" s="122">
        <f>H32/AVERAGE(G62,H62)</f>
        <v>7.4834849212682394E-2</v>
      </c>
      <c r="I178" s="122">
        <f>I32/AVERAGE(H62,I62)</f>
        <v>3.9738805535307266E-2</v>
      </c>
      <c r="J178" s="122">
        <f>J32/AVERAGE(I62,J62)</f>
        <v>3.4692175195618395E-2</v>
      </c>
      <c r="K178" s="122">
        <f>K32/AVERAGE(J62,K62)</f>
        <v>2.8597304816477178E-2</v>
      </c>
      <c r="L178" s="122">
        <f>L32/AVERAGE(K62,L62)</f>
        <v>2.2033026983830976E-2</v>
      </c>
    </row>
    <row r="179" spans="1:12" ht="15.6" x14ac:dyDescent="0.35">
      <c r="A179" s="48"/>
      <c r="B179" s="48"/>
      <c r="C179" s="48"/>
      <c r="D179" s="48"/>
      <c r="E179" s="48"/>
      <c r="F179" s="106"/>
      <c r="G179" s="106"/>
      <c r="H179" s="104"/>
      <c r="I179" s="104"/>
      <c r="J179" s="104"/>
      <c r="K179" s="104"/>
      <c r="L179" s="104"/>
    </row>
    <row r="180" spans="1:12" ht="15.6" x14ac:dyDescent="0.35">
      <c r="A180" s="48"/>
      <c r="B180" s="48"/>
      <c r="C180" s="48"/>
      <c r="D180" s="48"/>
      <c r="E180" s="48"/>
      <c r="F180" s="106"/>
      <c r="G180" s="106"/>
      <c r="H180" s="104"/>
      <c r="I180" s="104"/>
      <c r="J180" s="104"/>
      <c r="K180" s="104"/>
      <c r="L180" s="104"/>
    </row>
    <row r="181" spans="1:12" ht="28.8" x14ac:dyDescent="0.65">
      <c r="A181" s="48"/>
      <c r="B181" s="49" t="str">
        <f>Cover!$B$2</f>
        <v>Solid State PLC</v>
      </c>
      <c r="C181" s="49"/>
      <c r="D181" s="50"/>
      <c r="E181" s="51"/>
      <c r="F181" s="51"/>
      <c r="G181" s="51"/>
      <c r="H181" s="51"/>
      <c r="I181" s="51"/>
      <c r="J181" s="51"/>
      <c r="K181" s="51"/>
      <c r="L181" s="51"/>
    </row>
    <row r="182" spans="1:12" ht="21" x14ac:dyDescent="0.5">
      <c r="A182" s="48"/>
      <c r="B182" s="52" t="s">
        <v>9</v>
      </c>
      <c r="C182" s="53"/>
      <c r="D182" s="51"/>
      <c r="E182" s="51"/>
      <c r="F182" s="51"/>
      <c r="G182" s="51"/>
      <c r="H182" s="51"/>
      <c r="I182" s="51"/>
      <c r="J182" s="51"/>
      <c r="K182" s="51"/>
      <c r="L182" s="278" t="str">
        <f>"Currently Running: "&amp;CHOOSE(Assumptions!$B$10,Assumptions!$F$15,Assumptions!$F$16,Assumptions!$F$17)&amp;"Scenario"</f>
        <v>Currently Running: Upside Scenario</v>
      </c>
    </row>
    <row r="183" spans="1:12" ht="15.6" x14ac:dyDescent="0.35">
      <c r="A183" s="48"/>
      <c r="B183" s="54"/>
      <c r="C183" s="54"/>
      <c r="D183" s="54"/>
      <c r="E183" s="54"/>
      <c r="F183" s="54"/>
      <c r="G183" s="54"/>
      <c r="H183" s="54"/>
      <c r="I183" s="54"/>
      <c r="J183" s="54"/>
      <c r="K183" s="55"/>
      <c r="L183" s="55"/>
    </row>
    <row r="184" spans="1:12" ht="15.6" x14ac:dyDescent="0.35">
      <c r="A184" s="48"/>
      <c r="B184" s="55"/>
      <c r="C184" s="55"/>
      <c r="D184" s="55"/>
      <c r="E184" s="55"/>
      <c r="F184" s="56" t="s">
        <v>55</v>
      </c>
      <c r="G184" s="56"/>
      <c r="H184" s="56"/>
      <c r="I184" s="56"/>
      <c r="J184" s="56"/>
      <c r="K184" s="56"/>
      <c r="L184" s="56"/>
    </row>
    <row r="185" spans="1:12" ht="15.6" x14ac:dyDescent="0.35">
      <c r="A185" s="48"/>
      <c r="B185" s="55"/>
      <c r="C185" s="55"/>
      <c r="D185" s="55"/>
      <c r="E185" s="55"/>
      <c r="F185" s="57">
        <f>$F$99</f>
        <v>2025</v>
      </c>
      <c r="G185" s="57">
        <f>F185+1</f>
        <v>2026</v>
      </c>
      <c r="H185" s="58">
        <f>G185+1</f>
        <v>2027</v>
      </c>
      <c r="I185" s="58">
        <f t="shared" ref="I185" si="78">H185+1</f>
        <v>2028</v>
      </c>
      <c r="J185" s="58">
        <f t="shared" ref="J185" si="79">I185+1</f>
        <v>2029</v>
      </c>
      <c r="K185" s="58">
        <f t="shared" ref="K185" si="80">J185+1</f>
        <v>2030</v>
      </c>
      <c r="L185" s="58">
        <f t="shared" ref="L185" si="81">K185+1</f>
        <v>2031</v>
      </c>
    </row>
    <row r="186" spans="1:12" ht="16.2" thickBot="1" x14ac:dyDescent="0.4">
      <c r="A186" s="48"/>
      <c r="B186" s="59" t="s">
        <v>54</v>
      </c>
      <c r="C186" s="59"/>
      <c r="D186" s="59"/>
      <c r="E186" s="59"/>
      <c r="F186" s="60" t="s">
        <v>56</v>
      </c>
      <c r="G186" s="60"/>
      <c r="H186" s="61"/>
      <c r="I186" s="61"/>
      <c r="J186" s="61"/>
      <c r="K186" s="61"/>
      <c r="L186" s="61" t="s">
        <v>42</v>
      </c>
    </row>
    <row r="187" spans="1:12" ht="15.6" x14ac:dyDescent="0.35">
      <c r="A187" s="48"/>
      <c r="B187" s="55"/>
      <c r="C187" s="55"/>
      <c r="D187" s="55"/>
      <c r="E187" s="55"/>
      <c r="F187" s="83"/>
      <c r="G187" s="83"/>
      <c r="H187" s="84"/>
      <c r="I187" s="84"/>
      <c r="J187" s="84"/>
      <c r="K187" s="84"/>
      <c r="L187" s="84"/>
    </row>
    <row r="188" spans="1:12" ht="15.6" x14ac:dyDescent="0.35">
      <c r="A188" s="48"/>
      <c r="B188" s="85" t="s">
        <v>244</v>
      </c>
      <c r="C188" s="86"/>
      <c r="D188" s="87"/>
      <c r="E188" s="87"/>
      <c r="F188" s="88"/>
      <c r="G188" s="88"/>
      <c r="H188" s="89"/>
      <c r="I188" s="89"/>
      <c r="J188" s="89"/>
      <c r="K188" s="89"/>
      <c r="L188" s="90"/>
    </row>
    <row r="189" spans="1:12" ht="15.6" x14ac:dyDescent="0.35">
      <c r="A189" s="48"/>
      <c r="B189" s="65"/>
      <c r="C189" s="65"/>
      <c r="D189" s="65"/>
      <c r="E189" s="65"/>
      <c r="F189" s="146"/>
      <c r="G189" s="146"/>
      <c r="H189" s="144"/>
      <c r="I189" s="144"/>
      <c r="J189" s="144"/>
      <c r="K189" s="144"/>
      <c r="L189" s="144"/>
    </row>
    <row r="190" spans="1:12" ht="15.6" x14ac:dyDescent="0.35">
      <c r="A190" s="48"/>
      <c r="B190" s="65" t="s">
        <v>244</v>
      </c>
      <c r="C190" s="70"/>
      <c r="D190" s="70"/>
      <c r="E190" s="70"/>
      <c r="F190" s="293"/>
      <c r="G190" s="293"/>
      <c r="H190" s="304">
        <f>G193</f>
        <v>21925</v>
      </c>
      <c r="I190" s="304">
        <f t="shared" ref="I190:L190" si="82">H193</f>
        <v>23258.04</v>
      </c>
      <c r="J190" s="304">
        <f t="shared" si="82"/>
        <v>24672.128832000002</v>
      </c>
      <c r="K190" s="304">
        <f t="shared" si="82"/>
        <v>26046.366407942402</v>
      </c>
      <c r="L190" s="304">
        <f t="shared" si="82"/>
        <v>27497.149016864794</v>
      </c>
    </row>
    <row r="191" spans="1:12" ht="15.6" x14ac:dyDescent="0.35">
      <c r="A191" s="48"/>
      <c r="B191" s="65" t="s">
        <v>253</v>
      </c>
      <c r="C191" s="65"/>
      <c r="D191" s="65"/>
      <c r="E191" s="65"/>
      <c r="F191" s="309"/>
      <c r="G191" s="309"/>
      <c r="H191" s="400">
        <f>Assumptions!H43</f>
        <v>0.04</v>
      </c>
      <c r="I191" s="400">
        <f>Assumptions!I43</f>
        <v>0.04</v>
      </c>
      <c r="J191" s="400">
        <f>Assumptions!J43</f>
        <v>3.5000000000000003E-2</v>
      </c>
      <c r="K191" s="400">
        <f>Assumptions!K43</f>
        <v>3.5000000000000003E-2</v>
      </c>
      <c r="L191" s="400">
        <f>Assumptions!L43</f>
        <v>0.04</v>
      </c>
    </row>
    <row r="192" spans="1:12" ht="16.2" thickBot="1" x14ac:dyDescent="0.4">
      <c r="A192" s="48"/>
      <c r="B192" s="72" t="s">
        <v>254</v>
      </c>
      <c r="C192" s="72"/>
      <c r="D192" s="72"/>
      <c r="E192" s="72"/>
      <c r="F192" s="318"/>
      <c r="G192" s="318"/>
      <c r="H192" s="344">
        <v>0.02</v>
      </c>
      <c r="I192" s="344">
        <v>0.02</v>
      </c>
      <c r="J192" s="344">
        <v>0.02</v>
      </c>
      <c r="K192" s="344">
        <v>0.02</v>
      </c>
      <c r="L192" s="344">
        <v>0.02</v>
      </c>
    </row>
    <row r="193" spans="1:12" ht="15.6" x14ac:dyDescent="0.35">
      <c r="A193" s="48"/>
      <c r="B193" s="70" t="s">
        <v>247</v>
      </c>
      <c r="C193" s="70"/>
      <c r="D193" s="70"/>
      <c r="E193" s="70"/>
      <c r="F193" s="302">
        <v>22299</v>
      </c>
      <c r="G193" s="302">
        <v>21925</v>
      </c>
      <c r="H193" s="302">
        <f>H190*(1+H191)*(1+H192)</f>
        <v>23258.04</v>
      </c>
      <c r="I193" s="302">
        <f t="shared" ref="I193:L193" si="83">I190*(1+I191)*(1+I192)</f>
        <v>24672.128832000002</v>
      </c>
      <c r="J193" s="302">
        <f t="shared" si="83"/>
        <v>26046.366407942402</v>
      </c>
      <c r="K193" s="302">
        <f t="shared" si="83"/>
        <v>27497.149016864794</v>
      </c>
      <c r="L193" s="302">
        <f t="shared" si="83"/>
        <v>29168.975677090177</v>
      </c>
    </row>
    <row r="194" spans="1:12" ht="15.6" x14ac:dyDescent="0.35">
      <c r="A194" s="48"/>
      <c r="B194" s="65"/>
      <c r="C194" s="65"/>
      <c r="D194" s="65"/>
      <c r="E194" s="65"/>
      <c r="F194" s="149"/>
      <c r="G194" s="149"/>
      <c r="H194" s="150"/>
      <c r="I194" s="150"/>
      <c r="J194" s="150"/>
      <c r="K194" s="150"/>
      <c r="L194" s="150"/>
    </row>
    <row r="195" spans="1:12" ht="15.6" x14ac:dyDescent="0.35">
      <c r="A195" s="48"/>
      <c r="B195" s="85" t="s">
        <v>245</v>
      </c>
      <c r="C195" s="86"/>
      <c r="D195" s="87"/>
      <c r="E195" s="87"/>
      <c r="F195" s="88"/>
      <c r="G195" s="88"/>
      <c r="H195" s="89"/>
      <c r="I195" s="89"/>
      <c r="J195" s="89"/>
      <c r="K195" s="89"/>
      <c r="L195" s="90"/>
    </row>
    <row r="196" spans="1:12" ht="15.6" x14ac:dyDescent="0.35">
      <c r="A196" s="48"/>
      <c r="B196" s="65"/>
      <c r="C196" s="65"/>
      <c r="D196" s="65"/>
      <c r="E196" s="65"/>
      <c r="F196" s="143"/>
      <c r="G196" s="151"/>
      <c r="H196" s="151"/>
      <c r="I196" s="151"/>
      <c r="J196" s="151"/>
      <c r="K196" s="151"/>
      <c r="L196" s="151"/>
    </row>
    <row r="197" spans="1:12" ht="15.6" x14ac:dyDescent="0.35">
      <c r="A197" s="48"/>
      <c r="B197" s="65" t="s">
        <v>277</v>
      </c>
      <c r="C197" s="70"/>
      <c r="D197" s="70"/>
      <c r="E197" s="70"/>
      <c r="F197" s="293"/>
      <c r="G197" s="293">
        <f>F200</f>
        <v>19800</v>
      </c>
      <c r="H197" s="302">
        <f>G200</f>
        <v>17292</v>
      </c>
      <c r="I197" s="302">
        <f t="shared" ref="I197:L197" si="84">H200</f>
        <v>18166.975200000001</v>
      </c>
      <c r="J197" s="302">
        <f t="shared" si="84"/>
        <v>19086.224145120003</v>
      </c>
      <c r="K197" s="302">
        <f t="shared" si="84"/>
        <v>20051.987086863075</v>
      </c>
      <c r="L197" s="302">
        <f t="shared" si="84"/>
        <v>21066.617633458347</v>
      </c>
    </row>
    <row r="198" spans="1:12" ht="15.6" x14ac:dyDescent="0.35">
      <c r="A198" s="48"/>
      <c r="B198" s="156" t="s">
        <v>278</v>
      </c>
      <c r="C198" s="79"/>
      <c r="D198" s="79"/>
      <c r="E198" s="79"/>
      <c r="F198" s="348"/>
      <c r="G198" s="348"/>
      <c r="H198" s="401">
        <f>Assumptions!H33</f>
        <v>0.03</v>
      </c>
      <c r="I198" s="401">
        <f>Assumptions!I33</f>
        <v>0.03</v>
      </c>
      <c r="J198" s="401">
        <f>Assumptions!J33</f>
        <v>0.03</v>
      </c>
      <c r="K198" s="401">
        <f>Assumptions!K33</f>
        <v>0.03</v>
      </c>
      <c r="L198" s="401">
        <f>Assumptions!L33</f>
        <v>0.03</v>
      </c>
    </row>
    <row r="199" spans="1:12" ht="15.6" x14ac:dyDescent="0.35">
      <c r="A199" s="48"/>
      <c r="B199" s="74" t="s">
        <v>279</v>
      </c>
      <c r="C199" s="74"/>
      <c r="D199" s="74"/>
      <c r="E199" s="74"/>
      <c r="F199" s="297">
        <v>0</v>
      </c>
      <c r="G199" s="297"/>
      <c r="H199" s="313">
        <v>0.02</v>
      </c>
      <c r="I199" s="313">
        <v>0.02</v>
      </c>
      <c r="J199" s="313">
        <v>0.02</v>
      </c>
      <c r="K199" s="313">
        <v>0.02</v>
      </c>
      <c r="L199" s="313">
        <v>0.02</v>
      </c>
    </row>
    <row r="200" spans="1:12" ht="15.6" x14ac:dyDescent="0.35">
      <c r="A200" s="48"/>
      <c r="B200" s="65" t="s">
        <v>255</v>
      </c>
      <c r="C200" s="65"/>
      <c r="D200" s="65"/>
      <c r="E200" s="65"/>
      <c r="F200" s="293">
        <v>19800</v>
      </c>
      <c r="G200" s="293">
        <v>17292</v>
      </c>
      <c r="H200" s="304">
        <f>H197*(1+H198)*(1+H199)</f>
        <v>18166.975200000001</v>
      </c>
      <c r="I200" s="304">
        <f t="shared" ref="I200:L200" si="85">I197*(1+I198)*(1+I199)</f>
        <v>19086.224145120003</v>
      </c>
      <c r="J200" s="304">
        <f t="shared" si="85"/>
        <v>20051.987086863075</v>
      </c>
      <c r="K200" s="304">
        <f t="shared" si="85"/>
        <v>21066.617633458347</v>
      </c>
      <c r="L200" s="304">
        <f t="shared" si="85"/>
        <v>22132.588485711341</v>
      </c>
    </row>
    <row r="201" spans="1:12" ht="15.6" x14ac:dyDescent="0.35">
      <c r="A201" s="48"/>
      <c r="B201" s="65" t="s">
        <v>250</v>
      </c>
      <c r="C201" s="65"/>
      <c r="D201" s="65"/>
      <c r="E201" s="65"/>
      <c r="F201" s="302"/>
      <c r="G201" s="160">
        <f>(G200-F200)/F200</f>
        <v>-0.12666666666666668</v>
      </c>
      <c r="H201" s="145">
        <f t="shared" ref="H201:L201" si="86">(H200-G200)/G200</f>
        <v>5.0600000000000048E-2</v>
      </c>
      <c r="I201" s="145">
        <f t="shared" si="86"/>
        <v>5.0600000000000096E-2</v>
      </c>
      <c r="J201" s="145">
        <f t="shared" si="86"/>
        <v>5.0600000000000027E-2</v>
      </c>
      <c r="K201" s="145">
        <f t="shared" si="86"/>
        <v>5.0600000000000013E-2</v>
      </c>
      <c r="L201" s="145">
        <f t="shared" si="86"/>
        <v>5.0600000000000103E-2</v>
      </c>
    </row>
    <row r="202" spans="1:12" ht="15.6" x14ac:dyDescent="0.35">
      <c r="A202" s="48"/>
      <c r="B202" s="65"/>
      <c r="C202" s="65"/>
      <c r="D202" s="65"/>
      <c r="E202" s="65"/>
      <c r="F202" s="302"/>
      <c r="G202" s="160"/>
      <c r="H202" s="145"/>
      <c r="I202" s="145"/>
      <c r="J202" s="145"/>
      <c r="K202" s="145"/>
      <c r="L202" s="145"/>
    </row>
    <row r="203" spans="1:12" ht="15.6" x14ac:dyDescent="0.35">
      <c r="A203" s="48"/>
      <c r="B203" s="65" t="s">
        <v>274</v>
      </c>
      <c r="C203" s="65"/>
      <c r="D203" s="65"/>
      <c r="E203" s="65"/>
      <c r="F203" s="302"/>
      <c r="G203" s="293">
        <v>23300</v>
      </c>
      <c r="H203" s="293">
        <v>0</v>
      </c>
      <c r="I203" s="293">
        <v>0</v>
      </c>
      <c r="J203" s="293">
        <v>0</v>
      </c>
      <c r="K203" s="293">
        <v>0</v>
      </c>
      <c r="L203" s="293">
        <v>0</v>
      </c>
    </row>
    <row r="204" spans="1:12" ht="15.6" x14ac:dyDescent="0.35">
      <c r="A204" s="48"/>
      <c r="B204" s="65" t="s">
        <v>275</v>
      </c>
      <c r="C204" s="65"/>
      <c r="D204" s="65"/>
      <c r="E204" s="65"/>
      <c r="F204" s="302"/>
      <c r="G204" s="293">
        <v>0</v>
      </c>
      <c r="H204" s="350">
        <v>8000</v>
      </c>
      <c r="I204" s="350">
        <v>0</v>
      </c>
      <c r="J204" s="350">
        <v>0</v>
      </c>
      <c r="K204" s="350">
        <v>0</v>
      </c>
      <c r="L204" s="350">
        <v>0</v>
      </c>
    </row>
    <row r="205" spans="1:12" ht="16.2" thickBot="1" x14ac:dyDescent="0.4">
      <c r="A205" s="48"/>
      <c r="B205" s="72" t="s">
        <v>276</v>
      </c>
      <c r="C205" s="72"/>
      <c r="D205" s="72"/>
      <c r="E205" s="72"/>
      <c r="F205" s="349"/>
      <c r="G205" s="296">
        <v>0</v>
      </c>
      <c r="H205" s="351">
        <v>0</v>
      </c>
      <c r="I205" s="351">
        <v>0</v>
      </c>
      <c r="J205" s="351">
        <v>0</v>
      </c>
      <c r="K205" s="351">
        <v>0</v>
      </c>
      <c r="L205" s="351">
        <v>0</v>
      </c>
    </row>
    <row r="206" spans="1:12" ht="15.6" x14ac:dyDescent="0.35">
      <c r="A206" s="48"/>
      <c r="B206" s="70" t="s">
        <v>248</v>
      </c>
      <c r="C206" s="70"/>
      <c r="D206" s="70"/>
      <c r="E206" s="70"/>
      <c r="F206" s="308">
        <v>19800</v>
      </c>
      <c r="G206" s="308">
        <f>G200+SUM(G203:G205)</f>
        <v>40592</v>
      </c>
      <c r="H206" s="308">
        <f>H200+SUM(H203:H205)</f>
        <v>26166.975200000001</v>
      </c>
      <c r="I206" s="308">
        <f t="shared" ref="H206:L206" si="87">I200+SUM(I203:I205)</f>
        <v>19086.224145120003</v>
      </c>
      <c r="J206" s="308">
        <f t="shared" si="87"/>
        <v>20051.987086863075</v>
      </c>
      <c r="K206" s="308">
        <f t="shared" si="87"/>
        <v>21066.617633458347</v>
      </c>
      <c r="L206" s="308">
        <f t="shared" si="87"/>
        <v>22132.588485711341</v>
      </c>
    </row>
    <row r="207" spans="1:12" ht="15.6" x14ac:dyDescent="0.35">
      <c r="A207" s="48"/>
      <c r="B207" s="65" t="s">
        <v>81</v>
      </c>
      <c r="C207" s="65"/>
      <c r="D207" s="65"/>
      <c r="E207" s="65"/>
      <c r="F207" s="152"/>
      <c r="G207" s="160">
        <f>(G206-F206)/F206</f>
        <v>1.0501010101010102</v>
      </c>
      <c r="H207" s="160">
        <f t="shared" ref="H207:L207" si="88">(H206-G206)/G206</f>
        <v>-0.35536620023649979</v>
      </c>
      <c r="I207" s="160">
        <f t="shared" si="88"/>
        <v>-0.27059876048951953</v>
      </c>
      <c r="J207" s="160">
        <f t="shared" si="88"/>
        <v>5.0600000000000027E-2</v>
      </c>
      <c r="K207" s="160">
        <f t="shared" si="88"/>
        <v>5.0600000000000013E-2</v>
      </c>
      <c r="L207" s="160">
        <f t="shared" si="88"/>
        <v>5.0600000000000103E-2</v>
      </c>
    </row>
    <row r="208" spans="1:12" ht="15.6" x14ac:dyDescent="0.35">
      <c r="A208" s="48"/>
      <c r="B208" s="65"/>
      <c r="C208" s="65"/>
      <c r="D208" s="65"/>
      <c r="E208" s="65"/>
      <c r="F208" s="152"/>
      <c r="G208" s="108"/>
      <c r="H208" s="108"/>
      <c r="I208" s="108"/>
      <c r="J208" s="108"/>
      <c r="K208" s="108"/>
      <c r="L208" s="108"/>
    </row>
    <row r="209" spans="1:12" ht="15.6" x14ac:dyDescent="0.35">
      <c r="A209" s="48"/>
      <c r="B209" s="85" t="s">
        <v>246</v>
      </c>
      <c r="C209" s="86"/>
      <c r="D209" s="87"/>
      <c r="E209" s="87"/>
      <c r="F209" s="88"/>
      <c r="G209" s="88"/>
      <c r="H209" s="89"/>
      <c r="I209" s="89"/>
      <c r="J209" s="89"/>
      <c r="K209" s="89"/>
      <c r="L209" s="90"/>
    </row>
    <row r="210" spans="1:12" ht="15.6" x14ac:dyDescent="0.35">
      <c r="A210" s="48"/>
      <c r="B210" s="48"/>
      <c r="C210" s="48"/>
      <c r="D210" s="48"/>
      <c r="E210" s="48"/>
      <c r="F210" s="109"/>
      <c r="G210" s="109"/>
      <c r="H210" s="110"/>
      <c r="I210" s="110"/>
      <c r="J210" s="110"/>
      <c r="K210" s="110"/>
      <c r="L210" s="110"/>
    </row>
    <row r="211" spans="1:12" ht="15.6" x14ac:dyDescent="0.35">
      <c r="A211" s="48"/>
      <c r="B211" s="65" t="s">
        <v>251</v>
      </c>
      <c r="C211" s="65"/>
      <c r="D211" s="65"/>
      <c r="E211" s="65"/>
      <c r="F211" s="309"/>
      <c r="G211" s="311">
        <f>F214</f>
        <v>29041</v>
      </c>
      <c r="H211" s="311">
        <f t="shared" ref="H211:L211" si="89">G214</f>
        <v>31794</v>
      </c>
      <c r="I211" s="311">
        <f t="shared" si="89"/>
        <v>35672.868000000002</v>
      </c>
      <c r="J211" s="311">
        <f t="shared" si="89"/>
        <v>40024.957896000007</v>
      </c>
      <c r="K211" s="311">
        <f t="shared" si="89"/>
        <v>44499.748188772814</v>
      </c>
      <c r="L211" s="311">
        <f t="shared" si="89"/>
        <v>49020.92260475213</v>
      </c>
    </row>
    <row r="212" spans="1:12" ht="15.6" x14ac:dyDescent="0.35">
      <c r="A212" s="48"/>
      <c r="B212" s="65" t="s">
        <v>253</v>
      </c>
      <c r="C212" s="65"/>
      <c r="D212" s="65"/>
      <c r="E212" s="65"/>
      <c r="F212" s="309"/>
      <c r="G212" s="309"/>
      <c r="H212" s="400">
        <f>Assumptions!H38</f>
        <v>0.1</v>
      </c>
      <c r="I212" s="400">
        <f>Assumptions!I38</f>
        <v>0.1</v>
      </c>
      <c r="J212" s="400">
        <f>Assumptions!J38</f>
        <v>0.09</v>
      </c>
      <c r="K212" s="400">
        <f>Assumptions!K38</f>
        <v>0.08</v>
      </c>
      <c r="L212" s="400">
        <f>Assumptions!L38</f>
        <v>0.08</v>
      </c>
    </row>
    <row r="213" spans="1:12" ht="16.2" thickBot="1" x14ac:dyDescent="0.4">
      <c r="A213" s="48"/>
      <c r="B213" s="72" t="s">
        <v>254</v>
      </c>
      <c r="C213" s="72"/>
      <c r="D213" s="72"/>
      <c r="E213" s="72"/>
      <c r="F213" s="318"/>
      <c r="G213" s="318"/>
      <c r="H213" s="344">
        <v>0.02</v>
      </c>
      <c r="I213" s="344">
        <v>0.02</v>
      </c>
      <c r="J213" s="344">
        <v>0.02</v>
      </c>
      <c r="K213" s="344">
        <v>0.02</v>
      </c>
      <c r="L213" s="344">
        <v>0.02</v>
      </c>
    </row>
    <row r="214" spans="1:12" ht="15.6" x14ac:dyDescent="0.35">
      <c r="A214" s="48"/>
      <c r="B214" s="70" t="s">
        <v>272</v>
      </c>
      <c r="C214" s="70"/>
      <c r="D214" s="70"/>
      <c r="E214" s="70"/>
      <c r="F214" s="309">
        <v>29041</v>
      </c>
      <c r="G214" s="309">
        <v>31794</v>
      </c>
      <c r="H214" s="311">
        <f>H211*(1+H212)*(1+H213)</f>
        <v>35672.868000000002</v>
      </c>
      <c r="I214" s="311">
        <f t="shared" ref="I214:L214" si="90">I211*(1+I212)*(1+I213)</f>
        <v>40024.957896000007</v>
      </c>
      <c r="J214" s="311">
        <f t="shared" si="90"/>
        <v>44499.748188772814</v>
      </c>
      <c r="K214" s="311">
        <f t="shared" si="90"/>
        <v>49020.92260475213</v>
      </c>
      <c r="L214" s="311">
        <f t="shared" si="90"/>
        <v>54001.448341394949</v>
      </c>
    </row>
    <row r="215" spans="1:12" ht="15.6" x14ac:dyDescent="0.35">
      <c r="A215" s="48"/>
      <c r="B215" s="65" t="s">
        <v>81</v>
      </c>
      <c r="C215" s="65"/>
      <c r="D215" s="65"/>
      <c r="E215" s="65"/>
      <c r="F215" s="114"/>
      <c r="G215" s="160">
        <f>(G214-F214)/F214</f>
        <v>9.4797011122206537E-2</v>
      </c>
      <c r="H215" s="160">
        <f t="shared" ref="H215:L215" si="91">(H214-G214)/G214</f>
        <v>0.12200000000000007</v>
      </c>
      <c r="I215" s="160">
        <f t="shared" si="91"/>
        <v>0.12200000000000014</v>
      </c>
      <c r="J215" s="160">
        <f t="shared" si="91"/>
        <v>0.11180000000000014</v>
      </c>
      <c r="K215" s="160">
        <f t="shared" si="91"/>
        <v>0.10159999999999995</v>
      </c>
      <c r="L215" s="160">
        <f t="shared" si="91"/>
        <v>0.10160000000000007</v>
      </c>
    </row>
    <row r="216" spans="1:12" ht="15.6" x14ac:dyDescent="0.35">
      <c r="A216" s="48"/>
      <c r="B216" s="65"/>
      <c r="C216" s="65"/>
      <c r="D216" s="65"/>
      <c r="E216" s="65"/>
      <c r="F216" s="91"/>
      <c r="G216" s="122"/>
      <c r="H216" s="122"/>
      <c r="I216" s="122"/>
      <c r="J216" s="122"/>
      <c r="K216" s="122"/>
      <c r="L216" s="122"/>
    </row>
    <row r="217" spans="1:12" ht="15.6" x14ac:dyDescent="0.35">
      <c r="A217" s="48"/>
      <c r="B217" s="85" t="s">
        <v>258</v>
      </c>
      <c r="C217" s="86"/>
      <c r="D217" s="87"/>
      <c r="E217" s="87"/>
      <c r="F217" s="88"/>
      <c r="G217" s="88"/>
      <c r="H217" s="89"/>
      <c r="I217" s="89"/>
      <c r="J217" s="89"/>
      <c r="K217" s="89"/>
      <c r="L217" s="90"/>
    </row>
    <row r="218" spans="1:12" ht="15.6" x14ac:dyDescent="0.35">
      <c r="A218" s="48"/>
      <c r="B218" s="65"/>
      <c r="C218" s="65"/>
      <c r="D218" s="65"/>
      <c r="E218" s="65"/>
      <c r="F218" s="91"/>
      <c r="G218" s="122"/>
      <c r="H218" s="122"/>
      <c r="I218" s="122"/>
      <c r="J218" s="122"/>
      <c r="K218" s="122"/>
      <c r="L218" s="122"/>
    </row>
    <row r="219" spans="1:12" ht="15.6" x14ac:dyDescent="0.35">
      <c r="A219" s="48"/>
      <c r="B219" s="65" t="s">
        <v>252</v>
      </c>
      <c r="C219" s="65"/>
      <c r="D219" s="65"/>
      <c r="E219" s="65"/>
      <c r="F219" s="309">
        <v>53924</v>
      </c>
      <c r="G219" s="309">
        <v>59833</v>
      </c>
      <c r="H219" s="311">
        <f>G222</f>
        <v>59833</v>
      </c>
      <c r="I219" s="311">
        <f>H222</f>
        <v>67174.509099999996</v>
      </c>
      <c r="J219" s="311">
        <f t="shared" ref="J219:L219" si="92">I222</f>
        <v>74724.923922839997</v>
      </c>
      <c r="K219" s="311">
        <f t="shared" si="92"/>
        <v>82739.172013564588</v>
      </c>
      <c r="L219" s="311">
        <f t="shared" si="92"/>
        <v>91186.841476149537</v>
      </c>
    </row>
    <row r="220" spans="1:12" ht="15.6" x14ac:dyDescent="0.35">
      <c r="A220" s="48"/>
      <c r="B220" s="65" t="s">
        <v>253</v>
      </c>
      <c r="C220" s="65"/>
      <c r="D220" s="65"/>
      <c r="E220" s="65"/>
      <c r="F220" s="91"/>
      <c r="G220" s="122"/>
      <c r="H220" s="402">
        <f>Assumptions!H48</f>
        <v>0.09</v>
      </c>
      <c r="I220" s="402">
        <f>Assumptions!I48</f>
        <v>0.08</v>
      </c>
      <c r="J220" s="402">
        <f>Assumptions!J48</f>
        <v>7.4999999999999997E-2</v>
      </c>
      <c r="K220" s="402">
        <f>Assumptions!K48</f>
        <v>7.0000000000000007E-2</v>
      </c>
      <c r="L220" s="402">
        <f>Assumptions!L48</f>
        <v>6.5000000000000002E-2</v>
      </c>
    </row>
    <row r="221" spans="1:12" ht="16.2" thickBot="1" x14ac:dyDescent="0.4">
      <c r="A221" s="48"/>
      <c r="B221" s="72" t="s">
        <v>254</v>
      </c>
      <c r="C221" s="72"/>
      <c r="D221" s="72"/>
      <c r="E221" s="72"/>
      <c r="F221" s="310"/>
      <c r="G221" s="241"/>
      <c r="H221" s="242">
        <v>0.03</v>
      </c>
      <c r="I221" s="242">
        <v>0.03</v>
      </c>
      <c r="J221" s="242">
        <v>0.03</v>
      </c>
      <c r="K221" s="242">
        <v>0.03</v>
      </c>
      <c r="L221" s="242">
        <v>0.03</v>
      </c>
    </row>
    <row r="222" spans="1:12" ht="15.6" x14ac:dyDescent="0.35">
      <c r="A222" s="48"/>
      <c r="B222" s="70" t="s">
        <v>249</v>
      </c>
      <c r="C222" s="65"/>
      <c r="D222" s="65"/>
      <c r="E222" s="65"/>
      <c r="F222" s="311">
        <f>F219</f>
        <v>53924</v>
      </c>
      <c r="G222" s="311">
        <f t="shared" ref="G222" si="93">G219</f>
        <v>59833</v>
      </c>
      <c r="H222" s="311">
        <f>H219*(1+H220)*(1+H221)</f>
        <v>67174.509099999996</v>
      </c>
      <c r="I222" s="311">
        <f t="shared" ref="I222:L222" si="94">I219*(1+I220)*(1+I221)</f>
        <v>74724.923922839997</v>
      </c>
      <c r="J222" s="311">
        <f t="shared" si="94"/>
        <v>82739.172013564588</v>
      </c>
      <c r="K222" s="311">
        <f t="shared" si="94"/>
        <v>91186.841476149537</v>
      </c>
      <c r="L222" s="311">
        <f t="shared" si="94"/>
        <v>100027.40575726223</v>
      </c>
    </row>
    <row r="223" spans="1:12" ht="15.6" x14ac:dyDescent="0.35">
      <c r="A223" s="48"/>
      <c r="B223" s="65" t="s">
        <v>81</v>
      </c>
      <c r="C223" s="65"/>
      <c r="D223" s="65"/>
      <c r="E223" s="65"/>
      <c r="F223" s="311"/>
      <c r="G223" s="160">
        <f>(G222-F222)/F222</f>
        <v>0.10958014984051628</v>
      </c>
      <c r="H223" s="160">
        <f t="shared" ref="H223:L223" si="95">(H222-G222)/G222</f>
        <v>0.12269999999999993</v>
      </c>
      <c r="I223" s="160">
        <f t="shared" si="95"/>
        <v>0.11240000000000001</v>
      </c>
      <c r="J223" s="160">
        <f t="shared" si="95"/>
        <v>0.10725000000000003</v>
      </c>
      <c r="K223" s="160">
        <f t="shared" si="95"/>
        <v>0.10210000000000005</v>
      </c>
      <c r="L223" s="160">
        <f t="shared" si="95"/>
        <v>9.6949999999999911E-2</v>
      </c>
    </row>
    <row r="224" spans="1:12" ht="15.6" x14ac:dyDescent="0.35">
      <c r="A224" s="48"/>
      <c r="B224" s="70"/>
      <c r="C224" s="65"/>
      <c r="D224" s="65"/>
      <c r="E224" s="65"/>
      <c r="F224" s="309"/>
      <c r="G224" s="309"/>
      <c r="H224" s="122"/>
      <c r="I224" s="122"/>
      <c r="J224" s="122"/>
      <c r="K224" s="122"/>
      <c r="L224" s="122"/>
    </row>
    <row r="225" spans="1:12" ht="15.6" x14ac:dyDescent="0.35">
      <c r="A225" s="48"/>
      <c r="B225" s="319" t="s">
        <v>284</v>
      </c>
      <c r="C225" s="320"/>
      <c r="D225" s="321"/>
      <c r="E225" s="321"/>
      <c r="F225" s="322"/>
      <c r="G225" s="322"/>
      <c r="H225" s="323"/>
      <c r="I225" s="323"/>
      <c r="J225" s="323"/>
      <c r="K225" s="323"/>
      <c r="L225" s="324"/>
    </row>
    <row r="226" spans="1:12" ht="15.6" x14ac:dyDescent="0.35">
      <c r="A226" s="48"/>
      <c r="B226" s="325"/>
      <c r="C226" s="79"/>
      <c r="D226" s="156"/>
      <c r="E226" s="156"/>
      <c r="F226" s="170"/>
      <c r="G226" s="170"/>
      <c r="H226" s="203"/>
      <c r="I226" s="203"/>
      <c r="J226" s="203"/>
      <c r="K226" s="203"/>
      <c r="L226" s="203"/>
    </row>
    <row r="227" spans="1:12" ht="15.6" x14ac:dyDescent="0.35">
      <c r="A227" s="48"/>
      <c r="B227" s="129" t="s">
        <v>271</v>
      </c>
      <c r="C227" s="70"/>
      <c r="D227" s="65"/>
      <c r="E227" s="65"/>
      <c r="F227" s="193">
        <f>F193</f>
        <v>22299</v>
      </c>
      <c r="G227" s="193">
        <f t="shared" ref="G227:L227" si="96">G193</f>
        <v>21925</v>
      </c>
      <c r="H227" s="193">
        <f t="shared" si="96"/>
        <v>23258.04</v>
      </c>
      <c r="I227" s="193">
        <f t="shared" si="96"/>
        <v>24672.128832000002</v>
      </c>
      <c r="J227" s="193">
        <f t="shared" si="96"/>
        <v>26046.366407942402</v>
      </c>
      <c r="K227" s="193">
        <f t="shared" si="96"/>
        <v>27497.149016864794</v>
      </c>
      <c r="L227" s="193">
        <f t="shared" si="96"/>
        <v>29168.975677090177</v>
      </c>
    </row>
    <row r="228" spans="1:12" ht="15.6" x14ac:dyDescent="0.35">
      <c r="A228" s="48"/>
      <c r="B228" s="129" t="s">
        <v>270</v>
      </c>
      <c r="C228" s="65"/>
      <c r="D228" s="65"/>
      <c r="E228" s="65"/>
      <c r="F228" s="193">
        <f t="shared" ref="F228:L228" si="97">F206</f>
        <v>19800</v>
      </c>
      <c r="G228" s="193">
        <f t="shared" si="97"/>
        <v>40592</v>
      </c>
      <c r="H228" s="311">
        <f>H206</f>
        <v>26166.975200000001</v>
      </c>
      <c r="I228" s="311">
        <f t="shared" si="97"/>
        <v>19086.224145120003</v>
      </c>
      <c r="J228" s="311">
        <f t="shared" si="97"/>
        <v>20051.987086863075</v>
      </c>
      <c r="K228" s="311">
        <f t="shared" si="97"/>
        <v>21066.617633458347</v>
      </c>
      <c r="L228" s="311">
        <f t="shared" si="97"/>
        <v>22132.588485711341</v>
      </c>
    </row>
    <row r="229" spans="1:12" ht="15.6" x14ac:dyDescent="0.35">
      <c r="A229" s="48"/>
      <c r="B229" s="129" t="s">
        <v>257</v>
      </c>
      <c r="C229" s="65"/>
      <c r="D229" s="65"/>
      <c r="E229" s="65"/>
      <c r="F229" s="193">
        <f t="shared" ref="F229:L229" si="98">F214</f>
        <v>29041</v>
      </c>
      <c r="G229" s="193">
        <f t="shared" si="98"/>
        <v>31794</v>
      </c>
      <c r="H229" s="311">
        <f t="shared" si="98"/>
        <v>35672.868000000002</v>
      </c>
      <c r="I229" s="311">
        <f t="shared" si="98"/>
        <v>40024.957896000007</v>
      </c>
      <c r="J229" s="311">
        <f t="shared" si="98"/>
        <v>44499.748188772814</v>
      </c>
      <c r="K229" s="311">
        <f t="shared" si="98"/>
        <v>49020.92260475213</v>
      </c>
      <c r="L229" s="311">
        <f t="shared" si="98"/>
        <v>54001.448341394949</v>
      </c>
    </row>
    <row r="230" spans="1:12" ht="16.2" thickBot="1" x14ac:dyDescent="0.4">
      <c r="A230" s="48"/>
      <c r="B230" s="347" t="s">
        <v>252</v>
      </c>
      <c r="C230" s="72"/>
      <c r="D230" s="72"/>
      <c r="E230" s="72"/>
      <c r="F230" s="316">
        <f>F222</f>
        <v>53924</v>
      </c>
      <c r="G230" s="316">
        <f t="shared" ref="G230" si="99">G222</f>
        <v>59833</v>
      </c>
      <c r="H230" s="326">
        <f>H222</f>
        <v>67174.509099999996</v>
      </c>
      <c r="I230" s="326">
        <f t="shared" ref="I230:L230" si="100">I222</f>
        <v>74724.923922839997</v>
      </c>
      <c r="J230" s="326">
        <f t="shared" si="100"/>
        <v>82739.172013564588</v>
      </c>
      <c r="K230" s="326">
        <f t="shared" si="100"/>
        <v>91186.841476149537</v>
      </c>
      <c r="L230" s="326">
        <f t="shared" si="100"/>
        <v>100027.40575726223</v>
      </c>
    </row>
    <row r="231" spans="1:12" ht="15.6" x14ac:dyDescent="0.35">
      <c r="A231" s="48"/>
      <c r="B231" s="65" t="s">
        <v>12</v>
      </c>
      <c r="C231" s="65"/>
      <c r="D231" s="65"/>
      <c r="E231" s="65"/>
      <c r="F231" s="311">
        <f>SUM(F227:F230)</f>
        <v>125064</v>
      </c>
      <c r="G231" s="311">
        <f>SUM(G227:G230)</f>
        <v>154144</v>
      </c>
      <c r="H231" s="311">
        <f>SUM(H227:H230)</f>
        <v>152272.39230000001</v>
      </c>
      <c r="I231" s="311">
        <f t="shared" ref="I231:L231" si="101">SUM(I227:I230)</f>
        <v>158508.23479596002</v>
      </c>
      <c r="J231" s="311">
        <f t="shared" si="101"/>
        <v>173337.27369714287</v>
      </c>
      <c r="K231" s="311">
        <f t="shared" si="101"/>
        <v>188771.5307312248</v>
      </c>
      <c r="L231" s="311">
        <f t="shared" si="101"/>
        <v>205330.41826145869</v>
      </c>
    </row>
    <row r="232" spans="1:12" ht="15.6" x14ac:dyDescent="0.35">
      <c r="A232" s="48"/>
      <c r="B232" s="65" t="s">
        <v>81</v>
      </c>
      <c r="C232" s="65"/>
      <c r="D232" s="65"/>
      <c r="E232" s="65"/>
      <c r="F232" s="311"/>
      <c r="G232" s="197">
        <f>(G231-F231)/F231</f>
        <v>0.23252094927397174</v>
      </c>
      <c r="H232" s="197">
        <f t="shared" ref="H232:L232" si="102">(H231-G231)/G231</f>
        <v>-1.2141943247872076E-2</v>
      </c>
      <c r="I232" s="197">
        <f t="shared" si="102"/>
        <v>4.0951891552832777E-2</v>
      </c>
      <c r="J232" s="197">
        <f t="shared" si="102"/>
        <v>9.3553744512211351E-2</v>
      </c>
      <c r="K232" s="197">
        <f t="shared" si="102"/>
        <v>8.9041766406507988E-2</v>
      </c>
      <c r="L232" s="197">
        <f t="shared" si="102"/>
        <v>8.7719199320424171E-2</v>
      </c>
    </row>
    <row r="233" spans="1:12" ht="15.6" x14ac:dyDescent="0.35">
      <c r="A233" s="48"/>
      <c r="B233" s="70"/>
      <c r="C233" s="70"/>
      <c r="D233" s="70"/>
      <c r="E233" s="70"/>
      <c r="F233" s="346"/>
      <c r="G233" s="346"/>
      <c r="H233" s="346"/>
      <c r="I233" s="346"/>
      <c r="J233" s="346"/>
      <c r="K233" s="346"/>
      <c r="L233" s="346"/>
    </row>
    <row r="234" spans="1:12" ht="15.6" x14ac:dyDescent="0.35">
      <c r="A234" s="48"/>
      <c r="B234" s="65" t="s">
        <v>273</v>
      </c>
      <c r="C234" s="70"/>
      <c r="D234" s="70"/>
      <c r="E234" s="70"/>
      <c r="F234" s="346"/>
      <c r="G234" s="346"/>
      <c r="H234" s="346"/>
      <c r="I234" s="346"/>
      <c r="J234" s="346"/>
      <c r="K234" s="346"/>
      <c r="L234" s="346"/>
    </row>
    <row r="235" spans="1:12" ht="15.6" x14ac:dyDescent="0.35">
      <c r="A235" s="48"/>
      <c r="B235" s="129" t="s">
        <v>283</v>
      </c>
      <c r="C235" s="70"/>
      <c r="D235" s="70"/>
      <c r="E235" s="70"/>
      <c r="F235" s="108">
        <f>SUM(F227, F228)/F$231</f>
        <v>0.33661965073882172</v>
      </c>
      <c r="G235" s="108">
        <f t="shared" ref="G235:L235" si="103">SUM(G227, G228)/G$231</f>
        <v>0.40557530620718291</v>
      </c>
      <c r="H235" s="108">
        <f>SUM(H227, H228)/H$231</f>
        <v>0.32458290339738755</v>
      </c>
      <c r="I235" s="108">
        <f t="shared" si="103"/>
        <v>0.27606359400474062</v>
      </c>
      <c r="J235" s="108">
        <f t="shared" si="103"/>
        <v>0.265945993677904</v>
      </c>
      <c r="K235" s="108">
        <f t="shared" si="103"/>
        <v>0.25726213302507372</v>
      </c>
      <c r="L235" s="108">
        <f t="shared" si="103"/>
        <v>0.24984882706212758</v>
      </c>
    </row>
    <row r="236" spans="1:12" ht="15.6" x14ac:dyDescent="0.35">
      <c r="A236" s="48"/>
      <c r="B236" s="129" t="s">
        <v>257</v>
      </c>
      <c r="C236" s="70"/>
      <c r="D236" s="70"/>
      <c r="E236" s="70"/>
      <c r="F236" s="108">
        <f t="shared" ref="F236:L237" si="104">F229/F$231</f>
        <v>0.23220910893622465</v>
      </c>
      <c r="G236" s="108">
        <f t="shared" si="104"/>
        <v>0.20626167739256798</v>
      </c>
      <c r="H236" s="108">
        <f t="shared" si="104"/>
        <v>0.23427009624777531</v>
      </c>
      <c r="I236" s="108">
        <f t="shared" si="104"/>
        <v>0.25251027460827002</v>
      </c>
      <c r="J236" s="108">
        <f t="shared" si="104"/>
        <v>0.25672348041266274</v>
      </c>
      <c r="K236" s="108">
        <f t="shared" si="104"/>
        <v>0.25968387507832796</v>
      </c>
      <c r="L236" s="108">
        <f t="shared" si="104"/>
        <v>0.2629978003192488</v>
      </c>
    </row>
    <row r="237" spans="1:12" ht="15.6" x14ac:dyDescent="0.35">
      <c r="A237" s="48"/>
      <c r="B237" s="129" t="s">
        <v>252</v>
      </c>
      <c r="C237" s="70"/>
      <c r="D237" s="70"/>
      <c r="E237" s="70"/>
      <c r="F237" s="108">
        <f t="shared" si="104"/>
        <v>0.43117124032495363</v>
      </c>
      <c r="G237" s="108">
        <f t="shared" si="104"/>
        <v>0.38816301640024914</v>
      </c>
      <c r="H237" s="108">
        <f t="shared" si="104"/>
        <v>0.44114700035483712</v>
      </c>
      <c r="I237" s="108">
        <f t="shared" si="104"/>
        <v>0.4714261313869893</v>
      </c>
      <c r="J237" s="108">
        <f t="shared" si="104"/>
        <v>0.47733052590943331</v>
      </c>
      <c r="K237" s="108">
        <f t="shared" si="104"/>
        <v>0.48305399189659837</v>
      </c>
      <c r="L237" s="108">
        <f t="shared" si="104"/>
        <v>0.48715337261862363</v>
      </c>
    </row>
    <row r="238" spans="1:12" ht="15.6" x14ac:dyDescent="0.35">
      <c r="A238" s="48"/>
      <c r="B238" s="70"/>
      <c r="C238" s="70"/>
      <c r="D238" s="70"/>
      <c r="E238" s="70"/>
      <c r="F238" s="346"/>
      <c r="G238" s="346"/>
      <c r="H238" s="346"/>
      <c r="I238" s="346"/>
      <c r="J238" s="346"/>
      <c r="K238" s="346"/>
      <c r="L238" s="346"/>
    </row>
    <row r="239" spans="1:12" ht="28.8" x14ac:dyDescent="0.65">
      <c r="A239" s="48"/>
      <c r="B239" s="49" t="str">
        <f>Cover!$B$2</f>
        <v>Solid State PLC</v>
      </c>
      <c r="C239" s="49"/>
      <c r="D239" s="50"/>
      <c r="E239" s="51"/>
      <c r="F239" s="51"/>
      <c r="G239" s="51"/>
      <c r="H239" s="51"/>
      <c r="I239" s="51"/>
      <c r="J239" s="51"/>
      <c r="K239" s="51"/>
      <c r="L239" s="51"/>
    </row>
    <row r="240" spans="1:12" ht="21" x14ac:dyDescent="0.5">
      <c r="A240" s="48"/>
      <c r="B240" s="52" t="s">
        <v>13</v>
      </c>
      <c r="C240" s="53"/>
      <c r="D240" s="51"/>
      <c r="E240" s="51"/>
      <c r="F240" s="51"/>
      <c r="G240" s="51"/>
      <c r="H240" s="51"/>
      <c r="I240" s="51"/>
      <c r="J240" s="51"/>
      <c r="K240" s="51"/>
      <c r="L240" s="278" t="str">
        <f>"Currently Running: "&amp;CHOOSE(Assumptions!$B$10,Assumptions!$F$15,Assumptions!$F$16,Assumptions!$F$17)&amp;"Scenario"</f>
        <v>Currently Running: Upside Scenario</v>
      </c>
    </row>
    <row r="241" spans="1:15" ht="15.6" x14ac:dyDescent="0.35">
      <c r="A241" s="48"/>
      <c r="B241" s="54"/>
      <c r="C241" s="54"/>
      <c r="D241" s="54"/>
      <c r="E241" s="54"/>
      <c r="F241" s="54"/>
      <c r="G241" s="54"/>
      <c r="H241" s="54"/>
      <c r="I241" s="54"/>
      <c r="J241" s="54"/>
      <c r="K241" s="55"/>
      <c r="L241" s="55"/>
    </row>
    <row r="242" spans="1:15" ht="15.6" x14ac:dyDescent="0.35">
      <c r="A242" s="48"/>
      <c r="B242" s="55"/>
      <c r="C242" s="55"/>
      <c r="D242" s="55"/>
      <c r="E242" s="55"/>
      <c r="F242" s="56" t="s">
        <v>55</v>
      </c>
      <c r="G242" s="56"/>
      <c r="H242" s="56"/>
      <c r="I242" s="56"/>
      <c r="J242" s="56"/>
      <c r="K242" s="56"/>
      <c r="L242" s="56"/>
    </row>
    <row r="243" spans="1:15" ht="15.6" x14ac:dyDescent="0.35">
      <c r="A243" s="48"/>
      <c r="B243" s="55"/>
      <c r="C243" s="55"/>
      <c r="D243" s="55"/>
      <c r="E243" s="55"/>
      <c r="F243" s="57">
        <f>$F$7</f>
        <v>2025</v>
      </c>
      <c r="G243" s="57">
        <f>F243+1</f>
        <v>2026</v>
      </c>
      <c r="H243" s="58">
        <f>G243+1</f>
        <v>2027</v>
      </c>
      <c r="I243" s="58">
        <f t="shared" ref="I243" si="105">H243+1</f>
        <v>2028</v>
      </c>
      <c r="J243" s="58">
        <f t="shared" ref="J243" si="106">I243+1</f>
        <v>2029</v>
      </c>
      <c r="K243" s="58">
        <f t="shared" ref="K243" si="107">J243+1</f>
        <v>2030</v>
      </c>
      <c r="L243" s="58">
        <f t="shared" ref="L243" si="108">K243+1</f>
        <v>2031</v>
      </c>
    </row>
    <row r="244" spans="1:15" ht="16.2" thickBot="1" x14ac:dyDescent="0.4">
      <c r="A244" s="48"/>
      <c r="B244" s="59" t="s">
        <v>54</v>
      </c>
      <c r="C244" s="59"/>
      <c r="D244" s="59"/>
      <c r="E244" s="59"/>
      <c r="F244" s="60" t="s">
        <v>56</v>
      </c>
      <c r="G244" s="60"/>
      <c r="H244" s="61"/>
      <c r="I244" s="61"/>
      <c r="J244" s="61"/>
      <c r="K244" s="61"/>
      <c r="L244" s="61" t="s">
        <v>42</v>
      </c>
    </row>
    <row r="245" spans="1:15" ht="15.6" x14ac:dyDescent="0.35">
      <c r="A245" s="48"/>
      <c r="B245" s="55"/>
      <c r="C245" s="55"/>
      <c r="D245" s="55"/>
      <c r="E245" s="55"/>
      <c r="F245" s="83"/>
      <c r="G245" s="83"/>
      <c r="H245" s="84"/>
      <c r="I245" s="84"/>
      <c r="J245" s="84"/>
      <c r="K245" s="84"/>
      <c r="L245" s="84"/>
    </row>
    <row r="246" spans="1:15" ht="15.6" x14ac:dyDescent="0.35">
      <c r="A246" s="48"/>
      <c r="B246" s="85" t="s">
        <v>124</v>
      </c>
      <c r="C246" s="86"/>
      <c r="D246" s="87"/>
      <c r="E246" s="87"/>
      <c r="F246" s="88"/>
      <c r="G246" s="88"/>
      <c r="H246" s="89"/>
      <c r="I246" s="89"/>
      <c r="J246" s="89"/>
      <c r="K246" s="89"/>
      <c r="L246" s="90"/>
    </row>
    <row r="247" spans="1:15" ht="15.6" x14ac:dyDescent="0.35">
      <c r="A247" s="48"/>
      <c r="B247" s="96"/>
      <c r="C247" s="70"/>
      <c r="D247" s="65"/>
      <c r="E247" s="65"/>
      <c r="F247" s="91"/>
      <c r="G247" s="91"/>
      <c r="H247" s="92"/>
      <c r="I247" s="92"/>
      <c r="J247" s="92"/>
      <c r="K247" s="92"/>
      <c r="L247" s="92"/>
    </row>
    <row r="248" spans="1:15" ht="15.6" x14ac:dyDescent="0.35">
      <c r="A248" s="48"/>
      <c r="B248" s="65" t="s">
        <v>285</v>
      </c>
      <c r="C248" s="70"/>
      <c r="D248" s="65"/>
      <c r="E248" s="65" t="s">
        <v>301</v>
      </c>
      <c r="F248" s="365" t="s">
        <v>302</v>
      </c>
      <c r="G248" s="91"/>
      <c r="H248" s="92"/>
      <c r="I248" s="92"/>
      <c r="J248" s="92"/>
      <c r="K248" s="92"/>
      <c r="L248" s="92"/>
    </row>
    <row r="249" spans="1:15" ht="15.6" x14ac:dyDescent="0.35">
      <c r="A249" s="48"/>
      <c r="B249" s="129" t="s">
        <v>286</v>
      </c>
      <c r="C249" s="70"/>
      <c r="D249" s="65"/>
      <c r="E249" s="177">
        <v>0.7</v>
      </c>
      <c r="F249" s="177">
        <v>1</v>
      </c>
      <c r="G249" s="91"/>
      <c r="H249" s="92"/>
      <c r="I249" s="92"/>
      <c r="J249" s="92"/>
      <c r="K249" s="92"/>
      <c r="L249" s="92"/>
    </row>
    <row r="250" spans="1:15" ht="15.6" x14ac:dyDescent="0.35">
      <c r="A250" s="48"/>
      <c r="B250" s="129" t="s">
        <v>287</v>
      </c>
      <c r="C250" s="70"/>
      <c r="D250" s="65"/>
      <c r="E250" s="177">
        <v>0.2</v>
      </c>
      <c r="F250" s="177">
        <v>0.6</v>
      </c>
      <c r="G250" s="91"/>
      <c r="H250" s="92"/>
      <c r="I250" s="92"/>
      <c r="J250" s="92"/>
      <c r="K250" s="92"/>
      <c r="L250" s="92"/>
    </row>
    <row r="251" spans="1:15" ht="15.6" x14ac:dyDescent="0.35">
      <c r="A251" s="48"/>
      <c r="B251" s="129" t="s">
        <v>288</v>
      </c>
      <c r="C251" s="70"/>
      <c r="D251" s="65"/>
      <c r="E251" s="177">
        <v>0.1</v>
      </c>
      <c r="F251" s="177">
        <v>0.5</v>
      </c>
      <c r="G251" s="91"/>
      <c r="H251" s="92"/>
      <c r="I251" s="92"/>
      <c r="J251" s="92"/>
      <c r="K251" s="92"/>
      <c r="L251" s="92"/>
    </row>
    <row r="252" spans="1:15" ht="15.6" x14ac:dyDescent="0.35">
      <c r="A252" s="48"/>
      <c r="B252" s="96"/>
      <c r="C252" s="70"/>
      <c r="D252" s="65"/>
      <c r="E252" s="65"/>
      <c r="F252" s="91"/>
      <c r="G252" s="91"/>
      <c r="H252" s="92"/>
      <c r="I252" s="92"/>
      <c r="J252" s="92"/>
      <c r="K252" s="92"/>
      <c r="L252" s="92"/>
    </row>
    <row r="253" spans="1:15" ht="15.6" x14ac:dyDescent="0.35">
      <c r="A253" s="48"/>
      <c r="B253" s="65" t="s">
        <v>253</v>
      </c>
      <c r="C253" s="70"/>
      <c r="D253" s="65"/>
      <c r="E253" s="65"/>
      <c r="F253" s="91"/>
      <c r="G253" s="91"/>
      <c r="H253" s="145">
        <f>AVERAGE(H198,H191)</f>
        <v>3.5000000000000003E-2</v>
      </c>
      <c r="I253" s="145">
        <f>AVERAGE(I198,I191)</f>
        <v>3.5000000000000003E-2</v>
      </c>
      <c r="J253" s="145">
        <f>AVERAGE(J198,J191)</f>
        <v>3.2500000000000001E-2</v>
      </c>
      <c r="K253" s="145">
        <f>AVERAGE(K198,K191)</f>
        <v>3.2500000000000001E-2</v>
      </c>
      <c r="L253" s="145">
        <f>AVERAGE(L198,L191)</f>
        <v>3.5000000000000003E-2</v>
      </c>
    </row>
    <row r="254" spans="1:15" ht="15.6" x14ac:dyDescent="0.35">
      <c r="A254" s="48"/>
      <c r="B254" s="65" t="s">
        <v>136</v>
      </c>
      <c r="C254" s="70"/>
      <c r="D254" s="65"/>
      <c r="E254" s="65"/>
      <c r="F254" s="91"/>
      <c r="G254" s="91"/>
      <c r="H254" s="399">
        <f>Assumptions!H14</f>
        <v>0.03</v>
      </c>
      <c r="I254" s="399">
        <f>Assumptions!I14</f>
        <v>0.03</v>
      </c>
      <c r="J254" s="399">
        <f>Assumptions!J14</f>
        <v>0.03</v>
      </c>
      <c r="K254" s="399">
        <f>Assumptions!K14</f>
        <v>0.03</v>
      </c>
      <c r="L254" s="399">
        <f>Assumptions!L14</f>
        <v>0.03</v>
      </c>
    </row>
    <row r="255" spans="1:15" ht="15.6" x14ac:dyDescent="0.35">
      <c r="A255" s="48"/>
      <c r="B255" s="65" t="s">
        <v>132</v>
      </c>
      <c r="C255" s="70"/>
      <c r="D255" s="65"/>
      <c r="E255" s="65"/>
      <c r="F255" s="91"/>
      <c r="G255" s="91"/>
      <c r="H255" s="399">
        <f>Assumptions!H19</f>
        <v>0.03</v>
      </c>
      <c r="I255" s="399">
        <f>Assumptions!I19</f>
        <v>0.03</v>
      </c>
      <c r="J255" s="399">
        <f>Assumptions!J19</f>
        <v>0.03</v>
      </c>
      <c r="K255" s="399">
        <f>Assumptions!K19</f>
        <v>0.03</v>
      </c>
      <c r="L255" s="399">
        <f>Assumptions!L19</f>
        <v>0.03</v>
      </c>
    </row>
    <row r="256" spans="1:15" ht="15.6" x14ac:dyDescent="0.35">
      <c r="A256" s="48"/>
      <c r="B256" s="65" t="s">
        <v>292</v>
      </c>
      <c r="C256" s="70"/>
      <c r="D256" s="65"/>
      <c r="E256" s="65"/>
      <c r="F256" s="91"/>
      <c r="G256" s="91"/>
      <c r="H256" s="399">
        <f>Assumptions!H24</f>
        <v>0.03</v>
      </c>
      <c r="I256" s="399">
        <f>Assumptions!I24</f>
        <v>0.03</v>
      </c>
      <c r="J256" s="399">
        <f>Assumptions!J24</f>
        <v>0.03</v>
      </c>
      <c r="K256" s="399">
        <f>Assumptions!K24</f>
        <v>0.03</v>
      </c>
      <c r="L256" s="399">
        <f>Assumptions!L24</f>
        <v>0.03</v>
      </c>
      <c r="O256" s="35"/>
    </row>
    <row r="257" spans="1:17" ht="15.6" x14ac:dyDescent="0.35">
      <c r="A257" s="48"/>
      <c r="B257" s="132" t="s">
        <v>289</v>
      </c>
      <c r="C257" s="131"/>
      <c r="D257" s="131"/>
      <c r="E257" s="131"/>
      <c r="F257" s="352"/>
      <c r="G257" s="352">
        <f>$E$249*(G260)</f>
        <v>14839.999999999998</v>
      </c>
      <c r="H257" s="352">
        <f>G257*(1+(H253*$F249))*(1+H254)</f>
        <v>15820.181999999999</v>
      </c>
      <c r="I257" s="352">
        <f>H257*(1+(I253*$F249))*(1+I254)</f>
        <v>16865.105021099997</v>
      </c>
      <c r="J257" s="352">
        <f>I257*(1+(J253*$F249))*(1+J254)</f>
        <v>17935.617562314317</v>
      </c>
      <c r="K257" s="352">
        <f>J257*(1+(K253*$F249))*(1+K254)</f>
        <v>19074.080887082218</v>
      </c>
      <c r="L257" s="352">
        <f>K257*(1+(L253*$F249))*(1+L254)</f>
        <v>20333.923929673998</v>
      </c>
    </row>
    <row r="258" spans="1:17" ht="15.6" x14ac:dyDescent="0.35">
      <c r="A258" s="48"/>
      <c r="B258" s="65" t="s">
        <v>290</v>
      </c>
      <c r="C258" s="70"/>
      <c r="D258" s="70"/>
      <c r="E258" s="70"/>
      <c r="F258" s="311"/>
      <c r="G258" s="311">
        <f>$E$250*G260</f>
        <v>4240</v>
      </c>
      <c r="H258" s="311">
        <f>G258*(1+(H253*$F250))*(1+H255)</f>
        <v>4458.9112000000005</v>
      </c>
      <c r="I258" s="311">
        <f>H258*(1+(I253*$F250))*(1+I255)</f>
        <v>4689.124785256</v>
      </c>
      <c r="J258" s="311">
        <f>I258*(1+(J253*$F250))*(1+J255)</f>
        <v>4923.9796001255472</v>
      </c>
      <c r="K258" s="311">
        <f>J258*(1+(K253*$F250))*(1+K255)</f>
        <v>5170.5971183978363</v>
      </c>
      <c r="L258" s="311">
        <f>K258*(1+(L253*$F250))*(1+L255)</f>
        <v>5437.5550476207163</v>
      </c>
    </row>
    <row r="259" spans="1:17" ht="15.6" x14ac:dyDescent="0.35">
      <c r="A259" s="48"/>
      <c r="B259" s="74" t="s">
        <v>291</v>
      </c>
      <c r="C259" s="78"/>
      <c r="D259" s="78"/>
      <c r="E259" s="78"/>
      <c r="F259" s="353"/>
      <c r="G259" s="353">
        <f>$E$251*G260</f>
        <v>2120</v>
      </c>
      <c r="H259" s="353">
        <f>G259*(1+(H253*$F251))*(1+H256)</f>
        <v>2221.8130000000006</v>
      </c>
      <c r="I259" s="353">
        <f>H259*(1+(I253*$F251))*(1+I256)</f>
        <v>2328.5155693250008</v>
      </c>
      <c r="J259" s="353">
        <f>I259*(1+(J253*$F251))*(1+J256)</f>
        <v>2437.3445657463285</v>
      </c>
      <c r="K259" s="353">
        <f>J259*(1+(K253*$F251))*(1+K256)</f>
        <v>2551.2599573878979</v>
      </c>
      <c r="L259" s="353">
        <f>K259*(1+(L253*$F251))*(1+L256)</f>
        <v>2673.7842168414522</v>
      </c>
    </row>
    <row r="260" spans="1:17" ht="15.6" x14ac:dyDescent="0.35">
      <c r="A260" s="48"/>
      <c r="B260" s="65" t="s">
        <v>293</v>
      </c>
      <c r="C260" s="70"/>
      <c r="D260" s="65"/>
      <c r="E260" s="65"/>
      <c r="F260" s="309"/>
      <c r="G260" s="309">
        <v>21200</v>
      </c>
      <c r="H260" s="193">
        <f>SUM(H257:H259)</f>
        <v>22500.906200000001</v>
      </c>
      <c r="I260" s="193">
        <f t="shared" ref="I260:L260" si="109">SUM(I257:I259)</f>
        <v>23882.745375680999</v>
      </c>
      <c r="J260" s="193">
        <f t="shared" si="109"/>
        <v>25296.941728186193</v>
      </c>
      <c r="K260" s="193">
        <f t="shared" si="109"/>
        <v>26795.937962867953</v>
      </c>
      <c r="L260" s="193">
        <f t="shared" si="109"/>
        <v>28445.263194136169</v>
      </c>
      <c r="Q260" s="35"/>
    </row>
    <row r="261" spans="1:17" ht="15.6" x14ac:dyDescent="0.35">
      <c r="A261" s="48"/>
      <c r="B261" s="65"/>
      <c r="C261" s="70"/>
      <c r="D261" s="65"/>
      <c r="E261" s="65"/>
      <c r="F261" s="309"/>
      <c r="G261" s="309"/>
      <c r="H261" s="193"/>
      <c r="I261" s="193"/>
      <c r="J261" s="193"/>
      <c r="K261" s="193"/>
      <c r="L261" s="193"/>
    </row>
    <row r="262" spans="1:17" ht="15.6" x14ac:dyDescent="0.35">
      <c r="A262" s="48"/>
      <c r="B262" s="65" t="s">
        <v>294</v>
      </c>
      <c r="C262" s="70"/>
      <c r="D262" s="65"/>
      <c r="E262" s="65" t="s">
        <v>301</v>
      </c>
      <c r="F262" s="365" t="s">
        <v>302</v>
      </c>
      <c r="G262" s="309"/>
      <c r="H262" s="193"/>
      <c r="I262" s="193"/>
      <c r="J262" s="193"/>
      <c r="K262" s="193"/>
      <c r="L262" s="193"/>
    </row>
    <row r="263" spans="1:17" ht="15.6" x14ac:dyDescent="0.35">
      <c r="A263" s="48"/>
      <c r="B263" s="129" t="s">
        <v>286</v>
      </c>
      <c r="C263" s="70"/>
      <c r="D263" s="65"/>
      <c r="E263" s="177">
        <v>0.7</v>
      </c>
      <c r="F263" s="177">
        <v>1</v>
      </c>
      <c r="G263" s="309"/>
      <c r="H263" s="193"/>
      <c r="I263" s="193"/>
      <c r="J263" s="193"/>
      <c r="K263" s="193"/>
      <c r="L263" s="193"/>
    </row>
    <row r="264" spans="1:17" ht="15.6" x14ac:dyDescent="0.35">
      <c r="A264" s="48"/>
      <c r="B264" s="129" t="s">
        <v>287</v>
      </c>
      <c r="C264" s="70"/>
      <c r="D264" s="65"/>
      <c r="E264" s="177">
        <v>0.2</v>
      </c>
      <c r="F264" s="177">
        <v>0.6</v>
      </c>
      <c r="G264" s="309"/>
      <c r="H264" s="193"/>
      <c r="I264" s="193"/>
      <c r="J264" s="193"/>
      <c r="K264" s="193"/>
      <c r="L264" s="193"/>
    </row>
    <row r="265" spans="1:17" ht="15.6" x14ac:dyDescent="0.35">
      <c r="A265" s="48"/>
      <c r="B265" s="129" t="s">
        <v>288</v>
      </c>
      <c r="C265" s="70"/>
      <c r="D265" s="65"/>
      <c r="E265" s="177">
        <v>0.1</v>
      </c>
      <c r="F265" s="177">
        <v>0.5</v>
      </c>
      <c r="G265" s="309"/>
      <c r="H265" s="193"/>
      <c r="I265" s="193"/>
      <c r="J265" s="193"/>
      <c r="K265" s="193"/>
      <c r="L265" s="193"/>
    </row>
    <row r="266" spans="1:17" ht="15.6" x14ac:dyDescent="0.35">
      <c r="A266" s="48"/>
      <c r="B266" s="65"/>
      <c r="C266" s="70"/>
      <c r="D266" s="65"/>
      <c r="E266" s="65"/>
      <c r="F266" s="309"/>
      <c r="G266" s="309"/>
      <c r="H266" s="193"/>
      <c r="I266" s="193"/>
      <c r="J266" s="193"/>
      <c r="K266" s="193"/>
      <c r="L266" s="193"/>
    </row>
    <row r="267" spans="1:17" ht="15.6" x14ac:dyDescent="0.35">
      <c r="A267" s="48"/>
      <c r="B267" s="65" t="s">
        <v>253</v>
      </c>
      <c r="C267" s="70"/>
      <c r="D267" s="65"/>
      <c r="E267" s="65"/>
      <c r="F267" s="91"/>
      <c r="G267" s="91"/>
      <c r="H267" s="145">
        <f>H220</f>
        <v>0.09</v>
      </c>
      <c r="I267" s="145">
        <f>I220</f>
        <v>0.08</v>
      </c>
      <c r="J267" s="145">
        <f>J220</f>
        <v>7.4999999999999997E-2</v>
      </c>
      <c r="K267" s="145">
        <f>K220</f>
        <v>7.0000000000000007E-2</v>
      </c>
      <c r="L267" s="145">
        <f>L220</f>
        <v>6.5000000000000002E-2</v>
      </c>
    </row>
    <row r="268" spans="1:17" ht="15.6" x14ac:dyDescent="0.35">
      <c r="A268" s="48"/>
      <c r="B268" s="65" t="s">
        <v>136</v>
      </c>
      <c r="C268" s="70"/>
      <c r="D268" s="65"/>
      <c r="E268" s="65"/>
      <c r="F268" s="91"/>
      <c r="G268" s="91"/>
      <c r="H268" s="399">
        <f>Assumptions!H14</f>
        <v>0.03</v>
      </c>
      <c r="I268" s="399">
        <f>Assumptions!I14</f>
        <v>0.03</v>
      </c>
      <c r="J268" s="399">
        <f>Assumptions!J14</f>
        <v>0.03</v>
      </c>
      <c r="K268" s="399">
        <f>Assumptions!K14</f>
        <v>0.03</v>
      </c>
      <c r="L268" s="399">
        <f>Assumptions!L14</f>
        <v>0.03</v>
      </c>
    </row>
    <row r="269" spans="1:17" ht="15.6" x14ac:dyDescent="0.35">
      <c r="A269" s="48"/>
      <c r="B269" s="65" t="s">
        <v>132</v>
      </c>
      <c r="C269" s="70"/>
      <c r="D269" s="65"/>
      <c r="E269" s="65"/>
      <c r="F269" s="91"/>
      <c r="G269" s="91"/>
      <c r="H269" s="399">
        <f>Assumptions!H19</f>
        <v>0.03</v>
      </c>
      <c r="I269" s="399">
        <f>Assumptions!I19</f>
        <v>0.03</v>
      </c>
      <c r="J269" s="399">
        <f>Assumptions!J19</f>
        <v>0.03</v>
      </c>
      <c r="K269" s="399">
        <f>Assumptions!K19</f>
        <v>0.03</v>
      </c>
      <c r="L269" s="399">
        <f>Assumptions!L19</f>
        <v>0.03</v>
      </c>
    </row>
    <row r="270" spans="1:17" ht="15.6" x14ac:dyDescent="0.35">
      <c r="A270" s="48"/>
      <c r="B270" s="65" t="s">
        <v>292</v>
      </c>
      <c r="C270" s="70"/>
      <c r="D270" s="65"/>
      <c r="E270" s="65"/>
      <c r="F270" s="91"/>
      <c r="G270" s="91"/>
      <c r="H270" s="399">
        <f>Assumptions!H24</f>
        <v>0.03</v>
      </c>
      <c r="I270" s="399">
        <f>Assumptions!I24</f>
        <v>0.03</v>
      </c>
      <c r="J270" s="399">
        <f>Assumptions!J24</f>
        <v>0.03</v>
      </c>
      <c r="K270" s="399">
        <f>Assumptions!K24</f>
        <v>0.03</v>
      </c>
      <c r="L270" s="399">
        <f>Assumptions!L24</f>
        <v>0.03</v>
      </c>
    </row>
    <row r="271" spans="1:17" ht="15.6" x14ac:dyDescent="0.35">
      <c r="A271" s="48"/>
      <c r="B271" s="132" t="s">
        <v>289</v>
      </c>
      <c r="C271" s="131"/>
      <c r="D271" s="131"/>
      <c r="E271" s="131"/>
      <c r="F271" s="352"/>
      <c r="G271" s="352">
        <f>$E$249*(G274)</f>
        <v>30637.599999999999</v>
      </c>
      <c r="H271" s="352">
        <f>G271*(1+(H267*$F263))*(1+H268)</f>
        <v>34396.833520000007</v>
      </c>
      <c r="I271" s="352">
        <f t="shared" ref="I271:L271" si="110">H271*(1+(I267*$F263))*(1+I268)</f>
        <v>38263.03760764801</v>
      </c>
      <c r="J271" s="352">
        <f t="shared" si="110"/>
        <v>42366.748391068257</v>
      </c>
      <c r="K271" s="352">
        <f t="shared" si="110"/>
        <v>46692.393401796333</v>
      </c>
      <c r="L271" s="352">
        <f t="shared" si="110"/>
        <v>51219.220942100488</v>
      </c>
    </row>
    <row r="272" spans="1:17" ht="15.6" x14ac:dyDescent="0.35">
      <c r="A272" s="48"/>
      <c r="B272" s="65" t="s">
        <v>290</v>
      </c>
      <c r="C272" s="70"/>
      <c r="D272" s="70"/>
      <c r="E272" s="70"/>
      <c r="F272" s="311"/>
      <c r="G272" s="311">
        <f>$E$250*G274</f>
        <v>8753.6</v>
      </c>
      <c r="H272" s="311">
        <f>G272*(1+(H267*$F264))*(1+H269)</f>
        <v>9503.0832320000009</v>
      </c>
      <c r="I272" s="311">
        <f t="shared" ref="I272:L272" si="111">H272*(1+(I267*$F264))*(1+I269)</f>
        <v>10258.00816395008</v>
      </c>
      <c r="J272" s="311">
        <f t="shared" si="111"/>
        <v>11041.207087267669</v>
      </c>
      <c r="K272" s="311">
        <f t="shared" si="111"/>
        <v>11850.085918480898</v>
      </c>
      <c r="L272" s="311">
        <f t="shared" si="111"/>
        <v>12681.606447380702</v>
      </c>
    </row>
    <row r="273" spans="1:12" ht="15.6" x14ac:dyDescent="0.35">
      <c r="A273" s="48"/>
      <c r="B273" s="74" t="s">
        <v>291</v>
      </c>
      <c r="C273" s="78"/>
      <c r="D273" s="78"/>
      <c r="E273" s="78"/>
      <c r="F273" s="353"/>
      <c r="G273" s="353">
        <f>$E$251*G274</f>
        <v>4376.8</v>
      </c>
      <c r="H273" s="353">
        <f>G273*(1+(H267*$F265))*(1+H270)</f>
        <v>4710.9686800000009</v>
      </c>
      <c r="I273" s="353">
        <f t="shared" ref="I273:L273" si="112">H273*(1+(I267*$F265))*(1+I270)</f>
        <v>5046.3896500160008</v>
      </c>
      <c r="J273" s="353">
        <f t="shared" si="112"/>
        <v>5392.6981397483496</v>
      </c>
      <c r="K273" s="353">
        <f t="shared" si="112"/>
        <v>5748.8858518787283</v>
      </c>
      <c r="L273" s="353">
        <f t="shared" si="112"/>
        <v>6113.7963813267306</v>
      </c>
    </row>
    <row r="274" spans="1:12" ht="15.6" x14ac:dyDescent="0.35">
      <c r="A274" s="48"/>
      <c r="B274" s="65" t="s">
        <v>296</v>
      </c>
      <c r="C274" s="70"/>
      <c r="D274" s="65"/>
      <c r="E274" s="65"/>
      <c r="F274" s="309"/>
      <c r="G274" s="309">
        <v>43768</v>
      </c>
      <c r="H274" s="193">
        <f>SUM(H271:H273)</f>
        <v>48610.885432000003</v>
      </c>
      <c r="I274" s="193">
        <f t="shared" ref="I274" si="113">SUM(I271:I273)</f>
        <v>53567.435421614093</v>
      </c>
      <c r="J274" s="193">
        <f t="shared" ref="J274" si="114">SUM(J271:J273)</f>
        <v>58800.653618084274</v>
      </c>
      <c r="K274" s="193">
        <f t="shared" ref="K274" si="115">SUM(K271:K273)</f>
        <v>64291.365172155958</v>
      </c>
      <c r="L274" s="193">
        <f t="shared" ref="L274" si="116">SUM(L271:L273)</f>
        <v>70014.623770807913</v>
      </c>
    </row>
    <row r="275" spans="1:12" ht="15.6" x14ac:dyDescent="0.35">
      <c r="A275" s="48"/>
      <c r="B275" s="65"/>
      <c r="C275" s="70"/>
      <c r="D275" s="65"/>
      <c r="E275" s="65"/>
      <c r="F275" s="309"/>
      <c r="G275" s="309"/>
      <c r="H275" s="107"/>
      <c r="I275" s="107"/>
      <c r="J275" s="107"/>
      <c r="K275" s="107"/>
      <c r="L275" s="107"/>
    </row>
    <row r="276" spans="1:12" ht="15.6" x14ac:dyDescent="0.35">
      <c r="A276" s="48"/>
      <c r="B276" s="65" t="s">
        <v>282</v>
      </c>
      <c r="C276" s="70"/>
      <c r="D276" s="65"/>
      <c r="E276" s="65" t="s">
        <v>301</v>
      </c>
      <c r="F276" s="365" t="s">
        <v>302</v>
      </c>
      <c r="G276" s="309"/>
      <c r="H276" s="193"/>
      <c r="I276" s="193"/>
      <c r="J276" s="193"/>
      <c r="K276" s="193"/>
      <c r="L276" s="193"/>
    </row>
    <row r="277" spans="1:12" ht="15.6" x14ac:dyDescent="0.35">
      <c r="A277" s="48"/>
      <c r="B277" s="129" t="s">
        <v>286</v>
      </c>
      <c r="C277" s="70"/>
      <c r="D277" s="65"/>
      <c r="E277" s="177">
        <v>0.7</v>
      </c>
      <c r="F277" s="177">
        <v>1</v>
      </c>
      <c r="G277" s="309"/>
      <c r="H277" s="193"/>
      <c r="I277" s="193"/>
      <c r="J277" s="193"/>
      <c r="K277" s="193"/>
      <c r="L277" s="193"/>
    </row>
    <row r="278" spans="1:12" ht="15.6" x14ac:dyDescent="0.35">
      <c r="A278" s="48"/>
      <c r="B278" s="129" t="s">
        <v>287</v>
      </c>
      <c r="C278" s="70"/>
      <c r="D278" s="65"/>
      <c r="E278" s="177">
        <v>0.2</v>
      </c>
      <c r="F278" s="177">
        <v>0.6</v>
      </c>
      <c r="G278" s="309"/>
      <c r="H278" s="193"/>
      <c r="I278" s="193"/>
      <c r="J278" s="193"/>
      <c r="K278" s="193"/>
      <c r="L278" s="193"/>
    </row>
    <row r="279" spans="1:12" ht="15.6" x14ac:dyDescent="0.35">
      <c r="A279" s="48"/>
      <c r="B279" s="129" t="s">
        <v>288</v>
      </c>
      <c r="C279" s="70"/>
      <c r="D279" s="65"/>
      <c r="E279" s="177">
        <v>0.1</v>
      </c>
      <c r="F279" s="177">
        <v>0.5</v>
      </c>
      <c r="G279" s="309"/>
      <c r="H279" s="193"/>
      <c r="I279" s="193"/>
      <c r="J279" s="193"/>
      <c r="K279" s="193"/>
      <c r="L279" s="193"/>
    </row>
    <row r="280" spans="1:12" ht="15.6" x14ac:dyDescent="0.35">
      <c r="A280" s="48"/>
      <c r="B280" s="65"/>
      <c r="C280" s="70"/>
      <c r="D280" s="65"/>
      <c r="E280" s="65"/>
      <c r="F280" s="309"/>
      <c r="G280" s="309"/>
      <c r="H280" s="193"/>
      <c r="I280" s="193"/>
      <c r="J280" s="193"/>
      <c r="K280" s="193"/>
      <c r="L280" s="193"/>
    </row>
    <row r="281" spans="1:12" ht="15.6" x14ac:dyDescent="0.35">
      <c r="A281" s="48"/>
      <c r="B281" s="65" t="s">
        <v>253</v>
      </c>
      <c r="C281" s="70"/>
      <c r="D281" s="65"/>
      <c r="E281" s="65"/>
      <c r="F281" s="91"/>
      <c r="G281" s="91"/>
      <c r="H281" s="145">
        <f>H212</f>
        <v>0.1</v>
      </c>
      <c r="I281" s="145">
        <f>I212</f>
        <v>0.1</v>
      </c>
      <c r="J281" s="145">
        <f>J212</f>
        <v>0.09</v>
      </c>
      <c r="K281" s="145">
        <f>K212</f>
        <v>0.08</v>
      </c>
      <c r="L281" s="145">
        <f>L212</f>
        <v>0.08</v>
      </c>
    </row>
    <row r="282" spans="1:12" ht="15.6" x14ac:dyDescent="0.35">
      <c r="A282" s="48"/>
      <c r="B282" s="65" t="s">
        <v>136</v>
      </c>
      <c r="C282" s="70"/>
      <c r="D282" s="65"/>
      <c r="E282" s="65"/>
      <c r="F282" s="91"/>
      <c r="G282" s="91"/>
      <c r="H282" s="399">
        <f>Assumptions!H14</f>
        <v>0.03</v>
      </c>
      <c r="I282" s="399">
        <f>Assumptions!I14</f>
        <v>0.03</v>
      </c>
      <c r="J282" s="399">
        <f>Assumptions!J14</f>
        <v>0.03</v>
      </c>
      <c r="K282" s="399">
        <f>Assumptions!K14</f>
        <v>0.03</v>
      </c>
      <c r="L282" s="399">
        <f>Assumptions!L14</f>
        <v>0.03</v>
      </c>
    </row>
    <row r="283" spans="1:12" ht="15.6" x14ac:dyDescent="0.35">
      <c r="A283" s="48"/>
      <c r="B283" s="65" t="s">
        <v>132</v>
      </c>
      <c r="C283" s="70"/>
      <c r="D283" s="65"/>
      <c r="E283" s="65"/>
      <c r="F283" s="91"/>
      <c r="G283" s="91"/>
      <c r="H283" s="399">
        <f>Assumptions!H19</f>
        <v>0.03</v>
      </c>
      <c r="I283" s="399">
        <f>Assumptions!I19</f>
        <v>0.03</v>
      </c>
      <c r="J283" s="399">
        <f>Assumptions!J19</f>
        <v>0.03</v>
      </c>
      <c r="K283" s="399">
        <f>Assumptions!K19</f>
        <v>0.03</v>
      </c>
      <c r="L283" s="399">
        <f>Assumptions!L19</f>
        <v>0.03</v>
      </c>
    </row>
    <row r="284" spans="1:12" ht="15.6" x14ac:dyDescent="0.35">
      <c r="A284" s="48"/>
      <c r="B284" s="65" t="s">
        <v>292</v>
      </c>
      <c r="C284" s="70"/>
      <c r="D284" s="65"/>
      <c r="E284" s="65"/>
      <c r="F284" s="91"/>
      <c r="G284" s="91"/>
      <c r="H284" s="399">
        <f>Assumptions!H24</f>
        <v>0.03</v>
      </c>
      <c r="I284" s="399">
        <f>Assumptions!I24</f>
        <v>0.03</v>
      </c>
      <c r="J284" s="399">
        <f>Assumptions!J24</f>
        <v>0.03</v>
      </c>
      <c r="K284" s="399">
        <f>Assumptions!K24</f>
        <v>0.03</v>
      </c>
      <c r="L284" s="399">
        <f>Assumptions!L24</f>
        <v>0.03</v>
      </c>
    </row>
    <row r="285" spans="1:12" ht="15.6" x14ac:dyDescent="0.35">
      <c r="A285" s="48"/>
      <c r="B285" s="132" t="s">
        <v>289</v>
      </c>
      <c r="C285" s="131"/>
      <c r="D285" s="131"/>
      <c r="E285" s="131"/>
      <c r="F285" s="352"/>
      <c r="G285" s="352">
        <f>$E$249*(G288)</f>
        <v>14288.4</v>
      </c>
      <c r="H285" s="352">
        <f>G285*(1+(H281*$F277))*(1+H282)</f>
        <v>16188.757200000002</v>
      </c>
      <c r="I285" s="352">
        <f t="shared" ref="I285:L285" si="117">H285*(1+(I281*$F277))*(1+I282)</f>
        <v>18341.861907600003</v>
      </c>
      <c r="J285" s="352">
        <f t="shared" si="117"/>
        <v>20592.408363662526</v>
      </c>
      <c r="K285" s="352">
        <f t="shared" si="117"/>
        <v>22906.995063738195</v>
      </c>
      <c r="L285" s="352">
        <f t="shared" si="117"/>
        <v>25481.741308902372</v>
      </c>
    </row>
    <row r="286" spans="1:12" ht="15.6" x14ac:dyDescent="0.35">
      <c r="A286" s="48"/>
      <c r="B286" s="65" t="s">
        <v>290</v>
      </c>
      <c r="C286" s="70"/>
      <c r="D286" s="70"/>
      <c r="E286" s="70"/>
      <c r="F286" s="311"/>
      <c r="G286" s="311">
        <f>$E$250*G288</f>
        <v>4082.4</v>
      </c>
      <c r="H286" s="311">
        <f>G286*(1+(H281*$F278))*(1+H283)</f>
        <v>4457.1643199999999</v>
      </c>
      <c r="I286" s="311">
        <f t="shared" ref="I286:L286" si="118">H286*(1+(I281*$F278))*(1+I283)</f>
        <v>4866.3320045760001</v>
      </c>
      <c r="J286" s="311">
        <f t="shared" si="118"/>
        <v>5282.9873508077981</v>
      </c>
      <c r="K286" s="311">
        <f t="shared" si="118"/>
        <v>5702.6678659559702</v>
      </c>
      <c r="L286" s="311">
        <f t="shared" si="118"/>
        <v>6155.6878012275129</v>
      </c>
    </row>
    <row r="287" spans="1:12" ht="15.6" x14ac:dyDescent="0.35">
      <c r="A287" s="48"/>
      <c r="B287" s="74" t="s">
        <v>291</v>
      </c>
      <c r="C287" s="78"/>
      <c r="D287" s="78"/>
      <c r="E287" s="78"/>
      <c r="F287" s="353"/>
      <c r="G287" s="353">
        <f>$E$251*G288</f>
        <v>2041.2</v>
      </c>
      <c r="H287" s="353">
        <f>G287*(1+(H281*$F279))*(1+H284)</f>
        <v>2207.5578000000005</v>
      </c>
      <c r="I287" s="353">
        <f t="shared" ref="I287:L287" si="119">H287*(1+(I281*$F279))*(1+I284)</f>
        <v>2387.4737607000006</v>
      </c>
      <c r="J287" s="353">
        <f t="shared" si="119"/>
        <v>2569.7573823294456</v>
      </c>
      <c r="K287" s="353">
        <f t="shared" si="119"/>
        <v>2752.7241079513024</v>
      </c>
      <c r="L287" s="353">
        <f t="shared" si="119"/>
        <v>2948.7180644374353</v>
      </c>
    </row>
    <row r="288" spans="1:12" ht="15.6" x14ac:dyDescent="0.35">
      <c r="A288" s="48"/>
      <c r="B288" s="65" t="s">
        <v>295</v>
      </c>
      <c r="C288" s="70"/>
      <c r="D288" s="65"/>
      <c r="E288" s="65"/>
      <c r="F288" s="309"/>
      <c r="G288" s="309">
        <v>20412</v>
      </c>
      <c r="H288" s="193">
        <f>SUM(H285:H287)</f>
        <v>22853.479320000006</v>
      </c>
      <c r="I288" s="193">
        <f t="shared" ref="I288" si="120">SUM(I285:I287)</f>
        <v>25595.667672876007</v>
      </c>
      <c r="J288" s="193">
        <f t="shared" ref="J288" si="121">SUM(J285:J287)</f>
        <v>28445.153096799768</v>
      </c>
      <c r="K288" s="193">
        <f t="shared" ref="K288" si="122">SUM(K285:K287)</f>
        <v>31362.387037645465</v>
      </c>
      <c r="L288" s="193">
        <f t="shared" ref="L288" si="123">SUM(L285:L287)</f>
        <v>34586.147174567319</v>
      </c>
    </row>
    <row r="289" spans="1:12" ht="15.6" x14ac:dyDescent="0.35">
      <c r="A289" s="48"/>
      <c r="B289" s="65"/>
      <c r="C289" s="70"/>
      <c r="D289" s="65"/>
      <c r="E289" s="65"/>
      <c r="F289" s="309"/>
      <c r="G289" s="309"/>
      <c r="H289" s="193"/>
      <c r="I289" s="193"/>
      <c r="J289" s="193"/>
      <c r="K289" s="193"/>
      <c r="L289" s="193"/>
    </row>
    <row r="290" spans="1:12" ht="15.6" x14ac:dyDescent="0.35">
      <c r="A290" s="48"/>
      <c r="B290" s="65" t="s">
        <v>280</v>
      </c>
      <c r="C290" s="70"/>
      <c r="D290" s="65"/>
      <c r="E290" s="65"/>
      <c r="F290" s="193"/>
      <c r="G290" s="193">
        <f t="shared" ref="G290:L290" si="124">G260</f>
        <v>21200</v>
      </c>
      <c r="H290" s="193">
        <f t="shared" si="124"/>
        <v>22500.906200000001</v>
      </c>
      <c r="I290" s="193">
        <f t="shared" si="124"/>
        <v>23882.745375680999</v>
      </c>
      <c r="J290" s="193">
        <f t="shared" si="124"/>
        <v>25296.941728186193</v>
      </c>
      <c r="K290" s="193">
        <f t="shared" si="124"/>
        <v>26795.937962867953</v>
      </c>
      <c r="L290" s="193">
        <f t="shared" si="124"/>
        <v>28445.263194136169</v>
      </c>
    </row>
    <row r="291" spans="1:12" ht="15.6" x14ac:dyDescent="0.35">
      <c r="A291" s="48"/>
      <c r="B291" s="65" t="s">
        <v>281</v>
      </c>
      <c r="C291" s="70"/>
      <c r="D291" s="65"/>
      <c r="E291" s="65"/>
      <c r="F291" s="193"/>
      <c r="G291" s="193">
        <f t="shared" ref="G291:L291" si="125">G274</f>
        <v>43768</v>
      </c>
      <c r="H291" s="193">
        <f t="shared" si="125"/>
        <v>48610.885432000003</v>
      </c>
      <c r="I291" s="193">
        <f t="shared" si="125"/>
        <v>53567.435421614093</v>
      </c>
      <c r="J291" s="193">
        <f t="shared" si="125"/>
        <v>58800.653618084274</v>
      </c>
      <c r="K291" s="193">
        <f t="shared" si="125"/>
        <v>64291.365172155958</v>
      </c>
      <c r="L291" s="193">
        <f t="shared" si="125"/>
        <v>70014.623770807913</v>
      </c>
    </row>
    <row r="292" spans="1:12" ht="16.2" thickBot="1" x14ac:dyDescent="0.4">
      <c r="A292" s="48"/>
      <c r="B292" s="72" t="s">
        <v>282</v>
      </c>
      <c r="C292" s="72"/>
      <c r="D292" s="72"/>
      <c r="E292" s="72"/>
      <c r="F292" s="316"/>
      <c r="G292" s="316">
        <f t="shared" ref="G292:L292" si="126">G288</f>
        <v>20412</v>
      </c>
      <c r="H292" s="316">
        <f t="shared" si="126"/>
        <v>22853.479320000006</v>
      </c>
      <c r="I292" s="316">
        <f t="shared" si="126"/>
        <v>25595.667672876007</v>
      </c>
      <c r="J292" s="316">
        <f t="shared" si="126"/>
        <v>28445.153096799768</v>
      </c>
      <c r="K292" s="316">
        <f t="shared" si="126"/>
        <v>31362.387037645465</v>
      </c>
      <c r="L292" s="316">
        <f t="shared" si="126"/>
        <v>34586.147174567319</v>
      </c>
    </row>
    <row r="293" spans="1:12" ht="15.6" x14ac:dyDescent="0.35">
      <c r="A293" s="48"/>
      <c r="B293" s="65" t="s">
        <v>269</v>
      </c>
      <c r="C293" s="65"/>
      <c r="D293" s="65"/>
      <c r="E293" s="65"/>
      <c r="F293" s="193"/>
      <c r="G293" s="193">
        <f t="shared" ref="G293:L293" si="127">SUM(G290:G292)</f>
        <v>85380</v>
      </c>
      <c r="H293" s="193">
        <f t="shared" si="127"/>
        <v>93965.270952000021</v>
      </c>
      <c r="I293" s="193">
        <f t="shared" si="127"/>
        <v>103045.8484701711</v>
      </c>
      <c r="J293" s="193">
        <f t="shared" si="127"/>
        <v>112542.74844307023</v>
      </c>
      <c r="K293" s="193">
        <f t="shared" si="127"/>
        <v>122449.69017266939</v>
      </c>
      <c r="L293" s="193">
        <f t="shared" si="127"/>
        <v>133046.03413951141</v>
      </c>
    </row>
    <row r="294" spans="1:12" ht="15.6" x14ac:dyDescent="0.35">
      <c r="A294" s="48"/>
      <c r="B294" s="65"/>
      <c r="C294" s="65"/>
      <c r="D294" s="65"/>
      <c r="E294" s="65"/>
      <c r="F294" s="114"/>
      <c r="G294" s="114"/>
      <c r="H294" s="114"/>
      <c r="I294" s="114"/>
      <c r="J294" s="114"/>
      <c r="K294" s="114"/>
      <c r="L294" s="114"/>
    </row>
    <row r="295" spans="1:12" ht="15.6" x14ac:dyDescent="0.35">
      <c r="A295" s="48"/>
      <c r="B295" s="65"/>
      <c r="C295" s="65"/>
      <c r="D295" s="65"/>
      <c r="E295" s="65"/>
      <c r="F295" s="114"/>
      <c r="G295" s="114"/>
      <c r="H295" s="114"/>
      <c r="I295" s="114"/>
      <c r="J295" s="114"/>
      <c r="K295" s="114"/>
      <c r="L295" s="114"/>
    </row>
    <row r="296" spans="1:12" ht="15.6" x14ac:dyDescent="0.35">
      <c r="A296" s="48"/>
      <c r="B296" s="85" t="s">
        <v>297</v>
      </c>
      <c r="C296" s="86"/>
      <c r="D296" s="87"/>
      <c r="E296" s="87"/>
      <c r="F296" s="88"/>
      <c r="G296" s="88"/>
      <c r="H296" s="89"/>
      <c r="I296" s="89"/>
      <c r="J296" s="89"/>
      <c r="K296" s="89"/>
      <c r="L296" s="90"/>
    </row>
    <row r="297" spans="1:12" ht="15.6" x14ac:dyDescent="0.35">
      <c r="A297" s="48"/>
      <c r="B297" s="96"/>
      <c r="C297" s="70"/>
      <c r="D297" s="65"/>
      <c r="E297" s="65"/>
      <c r="F297" s="91"/>
      <c r="G297" s="91"/>
      <c r="H297" s="92"/>
      <c r="I297" s="92"/>
      <c r="J297" s="92"/>
      <c r="K297" s="92"/>
      <c r="L297" s="92"/>
    </row>
    <row r="298" spans="1:12" ht="15.6" x14ac:dyDescent="0.35">
      <c r="A298" s="48"/>
      <c r="B298" s="129"/>
      <c r="C298" s="70"/>
      <c r="D298" s="65"/>
      <c r="E298" s="354"/>
      <c r="F298" s="311"/>
      <c r="G298" s="311"/>
      <c r="H298" s="311"/>
      <c r="I298" s="311"/>
      <c r="J298" s="311"/>
      <c r="K298" s="311"/>
      <c r="L298" s="311"/>
    </row>
    <row r="299" spans="1:12" ht="15.6" x14ac:dyDescent="0.35">
      <c r="A299" s="48"/>
      <c r="B299" s="195" t="s">
        <v>298</v>
      </c>
      <c r="C299" s="195"/>
      <c r="D299" s="195"/>
      <c r="E299" s="195"/>
      <c r="F299" s="311"/>
      <c r="G299" s="311"/>
      <c r="H299" s="359">
        <f>G303</f>
        <v>44669</v>
      </c>
      <c r="I299" s="359">
        <f t="shared" ref="I299:L299" si="128">H303</f>
        <v>46009.07</v>
      </c>
      <c r="J299" s="359">
        <f t="shared" si="128"/>
        <v>49135.956978595364</v>
      </c>
      <c r="K299" s="359">
        <f t="shared" si="128"/>
        <v>54871.318201607435</v>
      </c>
      <c r="L299" s="359">
        <f t="shared" si="128"/>
        <v>61046.630591246452</v>
      </c>
    </row>
    <row r="300" spans="1:12" ht="15.6" x14ac:dyDescent="0.35">
      <c r="A300" s="48"/>
      <c r="B300" s="195" t="s">
        <v>136</v>
      </c>
      <c r="C300" s="195"/>
      <c r="D300" s="195"/>
      <c r="E300" s="195"/>
      <c r="F300" s="311"/>
      <c r="G300" s="311"/>
      <c r="H300" s="399">
        <f>Assumptions!H14</f>
        <v>0.03</v>
      </c>
      <c r="I300" s="399">
        <f>Assumptions!I14</f>
        <v>0.03</v>
      </c>
      <c r="J300" s="399">
        <f>Assumptions!J14</f>
        <v>0.03</v>
      </c>
      <c r="K300" s="399">
        <f>Assumptions!K14</f>
        <v>0.03</v>
      </c>
      <c r="L300" s="399">
        <f>Assumptions!L14</f>
        <v>0.03</v>
      </c>
    </row>
    <row r="301" spans="1:12" ht="15.6" x14ac:dyDescent="0.35">
      <c r="A301" s="48"/>
      <c r="B301" s="195" t="s">
        <v>82</v>
      </c>
      <c r="C301" s="195"/>
      <c r="D301" s="195"/>
      <c r="E301" s="195"/>
      <c r="F301" s="312"/>
      <c r="G301" s="312"/>
      <c r="H301" s="147">
        <f>H232</f>
        <v>-1.2141943247872076E-2</v>
      </c>
      <c r="I301" s="147">
        <f>I232</f>
        <v>4.0951891552832777E-2</v>
      </c>
      <c r="J301" s="147">
        <f>J232</f>
        <v>9.3553744512211351E-2</v>
      </c>
      <c r="K301" s="147">
        <f>K232</f>
        <v>8.9041766406507988E-2</v>
      </c>
      <c r="L301" s="147">
        <f>L232</f>
        <v>8.7719199320424171E-2</v>
      </c>
    </row>
    <row r="302" spans="1:12" ht="15.6" x14ac:dyDescent="0.35">
      <c r="A302" s="48"/>
      <c r="B302" s="355" t="s">
        <v>299</v>
      </c>
      <c r="C302" s="195"/>
      <c r="D302" s="195"/>
      <c r="E302" s="195"/>
      <c r="F302" s="311"/>
      <c r="G302" s="311"/>
      <c r="H302" s="179">
        <v>0.9</v>
      </c>
      <c r="I302" s="179">
        <v>0.9</v>
      </c>
      <c r="J302" s="179">
        <v>0.9</v>
      </c>
      <c r="K302" s="179">
        <v>0.9</v>
      </c>
      <c r="L302" s="179">
        <v>0.9</v>
      </c>
    </row>
    <row r="303" spans="1:12" ht="15.6" x14ac:dyDescent="0.35">
      <c r="A303" s="48"/>
      <c r="B303" s="356" t="s">
        <v>300</v>
      </c>
      <c r="C303" s="357"/>
      <c r="D303" s="357"/>
      <c r="E303" s="357"/>
      <c r="F303" s="358">
        <f>-F15</f>
        <v>37993</v>
      </c>
      <c r="G303" s="358">
        <f>-G15</f>
        <v>44669</v>
      </c>
      <c r="H303" s="358">
        <f>H299*(1+(MAX(H301, 0)*H302))*(1+H300)</f>
        <v>46009.07</v>
      </c>
      <c r="I303" s="358">
        <f t="shared" ref="I303:L303" si="129">I299*(1+(MAX(I301, 0)*I302))*(1+I300)</f>
        <v>49135.956978595364</v>
      </c>
      <c r="J303" s="358">
        <f t="shared" si="129"/>
        <v>54871.318201607435</v>
      </c>
      <c r="K303" s="358">
        <f t="shared" si="129"/>
        <v>61046.630591246452</v>
      </c>
      <c r="L303" s="358">
        <f t="shared" si="129"/>
        <v>67842.078872020502</v>
      </c>
    </row>
    <row r="304" spans="1:12" ht="15.6" x14ac:dyDescent="0.35">
      <c r="A304" s="48"/>
      <c r="B304" s="129"/>
      <c r="C304" s="65"/>
      <c r="D304" s="65"/>
      <c r="E304" s="65"/>
      <c r="F304" s="147"/>
      <c r="G304" s="147"/>
      <c r="H304" s="147"/>
      <c r="I304" s="147"/>
      <c r="J304" s="147"/>
      <c r="K304" s="147"/>
      <c r="L304" s="147"/>
    </row>
    <row r="305" spans="1:12" ht="15.6" x14ac:dyDescent="0.35">
      <c r="A305" s="48"/>
      <c r="B305" s="65"/>
      <c r="C305" s="65"/>
      <c r="D305" s="65"/>
      <c r="E305" s="65"/>
      <c r="F305" s="91"/>
      <c r="G305" s="91"/>
      <c r="H305" s="153"/>
      <c r="I305" s="153"/>
      <c r="J305" s="153"/>
      <c r="K305" s="153"/>
      <c r="L305" s="153"/>
    </row>
    <row r="306" spans="1:12" ht="15.6" x14ac:dyDescent="0.35">
      <c r="A306" s="48"/>
      <c r="B306" s="65"/>
      <c r="C306" s="65"/>
      <c r="D306" s="65"/>
      <c r="E306" s="65"/>
      <c r="F306" s="91"/>
      <c r="G306" s="91"/>
      <c r="H306" s="153"/>
      <c r="I306" s="153"/>
      <c r="J306" s="153"/>
      <c r="K306" s="153"/>
      <c r="L306" s="153"/>
    </row>
    <row r="307" spans="1:12" ht="15.6" x14ac:dyDescent="0.35">
      <c r="A307" s="48"/>
      <c r="B307" s="129"/>
      <c r="C307" s="65"/>
      <c r="D307" s="65"/>
      <c r="E307" s="65"/>
      <c r="F307" s="91"/>
      <c r="G307" s="91"/>
      <c r="H307" s="92"/>
      <c r="I307" s="92"/>
      <c r="J307" s="92"/>
      <c r="K307" s="92"/>
      <c r="L307" s="92"/>
    </row>
    <row r="308" spans="1:12" ht="15.6" x14ac:dyDescent="0.35">
      <c r="A308" s="48"/>
      <c r="B308" s="129"/>
      <c r="C308" s="65"/>
      <c r="D308" s="65"/>
      <c r="E308" s="65"/>
      <c r="F308" s="91"/>
      <c r="G308" s="91"/>
      <c r="H308" s="92"/>
      <c r="I308" s="92"/>
      <c r="J308" s="92"/>
      <c r="K308" s="92"/>
      <c r="L308" s="92"/>
    </row>
    <row r="309" spans="1:12" ht="15.6" x14ac:dyDescent="0.35">
      <c r="A309" s="48"/>
      <c r="B309" s="129"/>
      <c r="C309" s="65"/>
      <c r="D309" s="65"/>
      <c r="E309" s="65"/>
      <c r="F309" s="91"/>
      <c r="G309" s="91"/>
      <c r="H309" s="92"/>
      <c r="I309" s="92"/>
      <c r="J309" s="92"/>
      <c r="K309" s="92"/>
      <c r="L309" s="92"/>
    </row>
    <row r="310" spans="1:12" ht="15.6" x14ac:dyDescent="0.35">
      <c r="A310" s="48"/>
      <c r="B310" s="65"/>
      <c r="C310" s="65"/>
      <c r="D310" s="65"/>
      <c r="E310" s="65"/>
      <c r="F310" s="91"/>
      <c r="G310" s="91"/>
      <c r="H310" s="153"/>
      <c r="I310" s="153"/>
      <c r="J310" s="153"/>
      <c r="K310" s="153"/>
      <c r="L310" s="153"/>
    </row>
    <row r="311" spans="1:12" ht="15.6" x14ac:dyDescent="0.35">
      <c r="A311" s="48"/>
      <c r="B311" s="70"/>
      <c r="C311" s="70"/>
      <c r="D311" s="70"/>
      <c r="E311" s="70"/>
      <c r="F311" s="157"/>
      <c r="G311" s="154"/>
      <c r="H311" s="154"/>
      <c r="I311" s="154"/>
      <c r="J311" s="154"/>
      <c r="K311" s="154"/>
      <c r="L311" s="154"/>
    </row>
    <row r="312" spans="1:12" ht="28.8" x14ac:dyDescent="0.65">
      <c r="A312" s="48"/>
      <c r="B312" s="49" t="str">
        <f>Cover!$B$2</f>
        <v>Solid State PLC</v>
      </c>
      <c r="C312" s="49"/>
      <c r="D312" s="50"/>
      <c r="E312" s="51"/>
      <c r="F312" s="51"/>
      <c r="G312" s="51"/>
      <c r="H312" s="51"/>
      <c r="I312" s="51"/>
      <c r="J312" s="51"/>
      <c r="K312" s="51"/>
      <c r="L312" s="51"/>
    </row>
    <row r="313" spans="1:12" ht="21" x14ac:dyDescent="0.5">
      <c r="A313" s="48"/>
      <c r="B313" s="52" t="s">
        <v>21</v>
      </c>
      <c r="C313" s="53"/>
      <c r="D313" s="51"/>
      <c r="E313" s="51"/>
      <c r="F313" s="51"/>
      <c r="G313" s="51"/>
      <c r="H313" s="51"/>
      <c r="I313" s="51"/>
      <c r="J313" s="51"/>
      <c r="K313" s="51"/>
      <c r="L313" s="278" t="str">
        <f>"Currently Running: "&amp;CHOOSE(Assumptions!$B$10,Assumptions!$F$15,Assumptions!$F$16,Assumptions!$F$17)&amp;"Scenario"</f>
        <v>Currently Running: Upside Scenario</v>
      </c>
    </row>
    <row r="314" spans="1:12" ht="15.6" x14ac:dyDescent="0.35">
      <c r="A314" s="48"/>
      <c r="B314" s="54"/>
      <c r="C314" s="54"/>
      <c r="D314" s="54"/>
      <c r="E314" s="54"/>
      <c r="F314" s="54"/>
      <c r="G314" s="54"/>
      <c r="H314" s="54"/>
      <c r="I314" s="54"/>
      <c r="J314" s="54"/>
      <c r="K314" s="55"/>
      <c r="L314" s="55"/>
    </row>
    <row r="315" spans="1:12" ht="15.6" x14ac:dyDescent="0.35">
      <c r="A315" s="48"/>
      <c r="B315" s="55"/>
      <c r="C315" s="55"/>
      <c r="D315" s="55"/>
      <c r="E315" s="55"/>
      <c r="F315" s="56" t="s">
        <v>55</v>
      </c>
      <c r="G315" s="56"/>
      <c r="H315" s="56"/>
      <c r="I315" s="56"/>
      <c r="J315" s="56"/>
      <c r="K315" s="56"/>
      <c r="L315" s="56"/>
    </row>
    <row r="316" spans="1:12" ht="15.6" x14ac:dyDescent="0.35">
      <c r="A316" s="48"/>
      <c r="B316" s="55"/>
      <c r="C316" s="55"/>
      <c r="D316" s="55"/>
      <c r="E316" s="55"/>
      <c r="F316" s="57">
        <f>$F$7</f>
        <v>2025</v>
      </c>
      <c r="G316" s="57">
        <f>F316+1</f>
        <v>2026</v>
      </c>
      <c r="H316" s="58">
        <f>G316+1</f>
        <v>2027</v>
      </c>
      <c r="I316" s="58">
        <f t="shared" ref="I316" si="130">H316+1</f>
        <v>2028</v>
      </c>
      <c r="J316" s="58">
        <f t="shared" ref="J316" si="131">I316+1</f>
        <v>2029</v>
      </c>
      <c r="K316" s="58">
        <f t="shared" ref="K316" si="132">J316+1</f>
        <v>2030</v>
      </c>
      <c r="L316" s="58">
        <f t="shared" ref="L316" si="133">K316+1</f>
        <v>2031</v>
      </c>
    </row>
    <row r="317" spans="1:12" ht="16.2" thickBot="1" x14ac:dyDescent="0.4">
      <c r="A317" s="48"/>
      <c r="B317" s="59" t="s">
        <v>54</v>
      </c>
      <c r="C317" s="59"/>
      <c r="D317" s="59"/>
      <c r="E317" s="59"/>
      <c r="F317" s="60" t="s">
        <v>56</v>
      </c>
      <c r="G317" s="60"/>
      <c r="H317" s="61"/>
      <c r="I317" s="61"/>
      <c r="J317" s="61"/>
      <c r="K317" s="61"/>
      <c r="L317" s="61" t="s">
        <v>42</v>
      </c>
    </row>
    <row r="318" spans="1:12" ht="15.6" x14ac:dyDescent="0.35">
      <c r="A318" s="48"/>
      <c r="B318" s="65"/>
      <c r="C318" s="65"/>
      <c r="D318" s="70"/>
      <c r="E318" s="70"/>
      <c r="F318" s="157"/>
      <c r="G318" s="154"/>
      <c r="H318" s="147"/>
      <c r="I318" s="147"/>
      <c r="J318" s="147"/>
      <c r="K318" s="147"/>
      <c r="L318" s="147"/>
    </row>
    <row r="319" spans="1:12" ht="15.6" x14ac:dyDescent="0.35">
      <c r="A319" s="48"/>
      <c r="B319" s="65" t="s">
        <v>119</v>
      </c>
      <c r="C319" s="70"/>
      <c r="D319" s="70"/>
      <c r="E319" s="70"/>
      <c r="F319" s="158"/>
      <c r="G319" s="189">
        <v>365</v>
      </c>
      <c r="H319" s="155"/>
      <c r="I319" s="155"/>
      <c r="J319" s="155"/>
      <c r="K319" s="155"/>
      <c r="L319" s="155"/>
    </row>
    <row r="320" spans="1:12" ht="15.6" x14ac:dyDescent="0.35">
      <c r="A320" s="48"/>
      <c r="B320" s="70"/>
      <c r="C320" s="70"/>
      <c r="D320" s="70"/>
      <c r="E320" s="70"/>
      <c r="F320" s="158"/>
      <c r="G320" s="148"/>
      <c r="H320" s="155"/>
      <c r="I320" s="155"/>
      <c r="J320" s="155"/>
      <c r="K320" s="155"/>
      <c r="L320" s="155"/>
    </row>
    <row r="321" spans="1:12" ht="15.6" x14ac:dyDescent="0.35">
      <c r="A321" s="48"/>
      <c r="B321" s="85" t="s">
        <v>120</v>
      </c>
      <c r="C321" s="86"/>
      <c r="D321" s="87"/>
      <c r="E321" s="87"/>
      <c r="F321" s="88"/>
      <c r="G321" s="88"/>
      <c r="H321" s="89"/>
      <c r="I321" s="89"/>
      <c r="J321" s="89"/>
      <c r="K321" s="89"/>
      <c r="L321" s="90"/>
    </row>
    <row r="322" spans="1:12" ht="15.6" x14ac:dyDescent="0.35">
      <c r="A322" s="48"/>
      <c r="B322" s="65"/>
      <c r="C322" s="65"/>
      <c r="D322" s="65"/>
      <c r="E322" s="65"/>
      <c r="F322" s="92"/>
      <c r="G322" s="145"/>
      <c r="H322" s="159"/>
      <c r="I322" s="159"/>
      <c r="J322" s="159"/>
      <c r="K322" s="159"/>
      <c r="L322" s="159"/>
    </row>
    <row r="323" spans="1:12" ht="15.6" x14ac:dyDescent="0.35">
      <c r="A323" s="48"/>
      <c r="B323" s="129" t="s">
        <v>58</v>
      </c>
      <c r="C323" s="65"/>
      <c r="D323" s="65"/>
      <c r="E323" s="65"/>
      <c r="F323" s="193">
        <f>F52</f>
        <v>21616</v>
      </c>
      <c r="G323" s="193">
        <f>G52</f>
        <v>20157</v>
      </c>
      <c r="H323" s="193">
        <f>H338*H335</f>
        <v>19912.254849952646</v>
      </c>
      <c r="I323" s="193">
        <f t="shared" ref="I323:L323" si="134">I338*I335</f>
        <v>20727.699351140272</v>
      </c>
      <c r="J323" s="193">
        <f t="shared" si="134"/>
        <v>22666.853240562781</v>
      </c>
      <c r="K323" s="193">
        <f t="shared" si="134"/>
        <v>24685.14989197957</v>
      </c>
      <c r="L323" s="193">
        <f t="shared" si="134"/>
        <v>26850.511475608673</v>
      </c>
    </row>
    <row r="324" spans="1:12" ht="15.6" x14ac:dyDescent="0.35">
      <c r="A324" s="48"/>
      <c r="B324" s="129" t="s">
        <v>22</v>
      </c>
      <c r="C324" s="65"/>
      <c r="D324" s="65"/>
      <c r="E324" s="65"/>
      <c r="F324" s="193">
        <f>F51</f>
        <v>28239</v>
      </c>
      <c r="G324" s="193">
        <f>G51</f>
        <v>30502</v>
      </c>
      <c r="H324" s="193">
        <f>ABS(H339*H336)</f>
        <v>27954.594789500476</v>
      </c>
      <c r="I324" s="193">
        <f t="shared" ref="I324:L324" si="135">ABS(I339*I336)</f>
        <v>30656.059515811863</v>
      </c>
      <c r="J324" s="193">
        <f t="shared" si="135"/>
        <v>33481.379847558994</v>
      </c>
      <c r="K324" s="193">
        <f t="shared" si="135"/>
        <v>36428.687281979182</v>
      </c>
      <c r="L324" s="193">
        <f t="shared" si="135"/>
        <v>39581.091344056033</v>
      </c>
    </row>
    <row r="325" spans="1:12" ht="15.6" x14ac:dyDescent="0.35">
      <c r="A325" s="48"/>
      <c r="B325" s="132" t="s">
        <v>121</v>
      </c>
      <c r="C325" s="132"/>
      <c r="D325" s="132"/>
      <c r="E325" s="131"/>
      <c r="F325" s="314">
        <f>SUM(F323:F324)</f>
        <v>49855</v>
      </c>
      <c r="G325" s="314">
        <f t="shared" ref="G325:L325" si="136">SUM(G323:G324)</f>
        <v>50659</v>
      </c>
      <c r="H325" s="314">
        <f t="shared" si="136"/>
        <v>47866.849639453125</v>
      </c>
      <c r="I325" s="314">
        <f t="shared" si="136"/>
        <v>51383.758866952136</v>
      </c>
      <c r="J325" s="314">
        <f t="shared" si="136"/>
        <v>56148.233088121779</v>
      </c>
      <c r="K325" s="314">
        <f t="shared" si="136"/>
        <v>61113.837173958753</v>
      </c>
      <c r="L325" s="314">
        <f t="shared" si="136"/>
        <v>66431.602819664709</v>
      </c>
    </row>
    <row r="326" spans="1:12" ht="15.6" x14ac:dyDescent="0.35">
      <c r="A326" s="48"/>
      <c r="B326" s="129" t="s">
        <v>11</v>
      </c>
      <c r="C326" s="70"/>
      <c r="D326" s="70"/>
      <c r="E326" s="70"/>
      <c r="F326" s="193">
        <f>-F66</f>
        <v>17020</v>
      </c>
      <c r="G326" s="193">
        <f>-G66</f>
        <v>17007</v>
      </c>
      <c r="H326" s="193">
        <f>H340*ABS(H336)</f>
        <v>15586.643288474021</v>
      </c>
      <c r="I326" s="193">
        <f t="shared" ref="I326:L326" si="137">I340*ABS(I336)</f>
        <v>17092.898963524109</v>
      </c>
      <c r="J326" s="193">
        <f t="shared" si="137"/>
        <v>18668.212807928521</v>
      </c>
      <c r="K326" s="193">
        <f t="shared" si="137"/>
        <v>20311.543000610451</v>
      </c>
      <c r="L326" s="193">
        <f t="shared" si="137"/>
        <v>22069.22891903354</v>
      </c>
    </row>
    <row r="327" spans="1:12" ht="15.6" x14ac:dyDescent="0.35">
      <c r="A327" s="48"/>
      <c r="B327" s="281" t="s">
        <v>256</v>
      </c>
      <c r="C327" s="78"/>
      <c r="D327" s="78"/>
      <c r="E327" s="78"/>
      <c r="F327" s="315">
        <f>-F68</f>
        <v>5847</v>
      </c>
      <c r="G327" s="315">
        <f>-G68</f>
        <v>6278</v>
      </c>
      <c r="H327" s="315">
        <f>H335*H341</f>
        <v>6201.7728802898591</v>
      </c>
      <c r="I327" s="315">
        <f t="shared" ref="I327:L327" si="138">I335*I341</f>
        <v>6455.7472107187887</v>
      </c>
      <c r="J327" s="315">
        <f t="shared" si="138"/>
        <v>7059.7065359057951</v>
      </c>
      <c r="K327" s="315">
        <f t="shared" si="138"/>
        <v>7688.3152761744168</v>
      </c>
      <c r="L327" s="315">
        <f t="shared" si="138"/>
        <v>8362.7281363234233</v>
      </c>
    </row>
    <row r="328" spans="1:12" ht="16.2" thickBot="1" x14ac:dyDescent="0.4">
      <c r="A328" s="48"/>
      <c r="B328" s="233" t="s">
        <v>122</v>
      </c>
      <c r="C328" s="73"/>
      <c r="D328" s="73"/>
      <c r="E328" s="73"/>
      <c r="F328" s="316">
        <f>SUM(F326:F327)</f>
        <v>22867</v>
      </c>
      <c r="G328" s="316">
        <f>SUM(G326:G327)</f>
        <v>23285</v>
      </c>
      <c r="H328" s="316">
        <f>SUM(H326:H327)</f>
        <v>21788.416168763881</v>
      </c>
      <c r="I328" s="316">
        <f t="shared" ref="I328:L328" si="139">SUM(I326:I327)</f>
        <v>23548.646174242898</v>
      </c>
      <c r="J328" s="316">
        <f t="shared" si="139"/>
        <v>25727.919343834317</v>
      </c>
      <c r="K328" s="316">
        <f t="shared" si="139"/>
        <v>27999.858276784867</v>
      </c>
      <c r="L328" s="316">
        <f t="shared" si="139"/>
        <v>30431.957055356965</v>
      </c>
    </row>
    <row r="329" spans="1:12" ht="15.6" x14ac:dyDescent="0.35">
      <c r="A329" s="48"/>
      <c r="B329" s="65" t="s">
        <v>120</v>
      </c>
      <c r="C329" s="70"/>
      <c r="D329" s="70"/>
      <c r="E329" s="70"/>
      <c r="F329" s="193">
        <f>F325-F328</f>
        <v>26988</v>
      </c>
      <c r="G329" s="193">
        <f>G325-G328</f>
        <v>27374</v>
      </c>
      <c r="H329" s="193">
        <f>H325-H328</f>
        <v>26078.433470689244</v>
      </c>
      <c r="I329" s="193">
        <f t="shared" ref="I329:L329" si="140">I325-I328</f>
        <v>27835.112692709237</v>
      </c>
      <c r="J329" s="193">
        <f t="shared" si="140"/>
        <v>30420.313744287461</v>
      </c>
      <c r="K329" s="193">
        <f t="shared" si="140"/>
        <v>33113.978897173889</v>
      </c>
      <c r="L329" s="193">
        <f t="shared" si="140"/>
        <v>35999.645764307745</v>
      </c>
    </row>
    <row r="330" spans="1:12" ht="15.6" x14ac:dyDescent="0.35">
      <c r="A330" s="48"/>
      <c r="B330" s="65" t="s">
        <v>23</v>
      </c>
      <c r="C330" s="70"/>
      <c r="D330" s="70"/>
      <c r="E330" s="70"/>
      <c r="F330" s="92"/>
      <c r="G330" s="92"/>
      <c r="H330" s="193">
        <f>G329-H329</f>
        <v>1295.5665293107559</v>
      </c>
      <c r="I330" s="193">
        <f t="shared" ref="I330:L330" si="141">H329-I329</f>
        <v>-1756.6792220199932</v>
      </c>
      <c r="J330" s="193">
        <f t="shared" si="141"/>
        <v>-2585.201051578224</v>
      </c>
      <c r="K330" s="193">
        <f t="shared" si="141"/>
        <v>-2693.6651528864277</v>
      </c>
      <c r="L330" s="193">
        <f t="shared" si="141"/>
        <v>-2885.6668671338557</v>
      </c>
    </row>
    <row r="331" spans="1:12" ht="15.6" x14ac:dyDescent="0.35">
      <c r="A331" s="48"/>
      <c r="B331" s="65"/>
      <c r="C331" s="70"/>
      <c r="D331" s="70"/>
      <c r="E331" s="70"/>
      <c r="F331" s="92"/>
      <c r="G331" s="92"/>
      <c r="H331" s="92"/>
      <c r="I331" s="92"/>
      <c r="J331" s="92"/>
      <c r="K331" s="92"/>
      <c r="L331" s="92"/>
    </row>
    <row r="332" spans="1:12" ht="15.6" x14ac:dyDescent="0.35">
      <c r="A332" s="48"/>
      <c r="B332" s="65"/>
      <c r="C332" s="65"/>
      <c r="D332" s="65"/>
      <c r="E332" s="65"/>
      <c r="F332" s="111"/>
      <c r="G332" s="112"/>
      <c r="H332" s="107"/>
      <c r="I332" s="107"/>
      <c r="J332" s="107"/>
      <c r="K332" s="107"/>
      <c r="L332" s="107"/>
    </row>
    <row r="333" spans="1:12" ht="15.6" x14ac:dyDescent="0.35">
      <c r="A333" s="48"/>
      <c r="B333" s="85" t="s">
        <v>123</v>
      </c>
      <c r="C333" s="86"/>
      <c r="D333" s="87"/>
      <c r="E333" s="87"/>
      <c r="F333" s="88"/>
      <c r="G333" s="88"/>
      <c r="H333" s="89"/>
      <c r="I333" s="89"/>
      <c r="J333" s="89"/>
      <c r="K333" s="89"/>
      <c r="L333" s="90"/>
    </row>
    <row r="334" spans="1:12" ht="15.6" x14ac:dyDescent="0.35">
      <c r="A334" s="48"/>
      <c r="B334" s="65"/>
      <c r="C334" s="65"/>
      <c r="D334" s="65"/>
      <c r="E334" s="65"/>
      <c r="F334" s="111"/>
      <c r="G334" s="112"/>
      <c r="H334" s="107"/>
      <c r="I334" s="107"/>
      <c r="J334" s="107"/>
      <c r="K334" s="107"/>
      <c r="L334" s="107"/>
    </row>
    <row r="335" spans="1:12" ht="15.6" x14ac:dyDescent="0.35">
      <c r="A335" s="48"/>
      <c r="B335" s="65" t="s">
        <v>8</v>
      </c>
      <c r="C335" s="65"/>
      <c r="D335" s="65"/>
      <c r="E335" s="65"/>
      <c r="F335" s="366">
        <f>F10</f>
        <v>125064</v>
      </c>
      <c r="G335" s="366">
        <f>G10</f>
        <v>154144</v>
      </c>
      <c r="H335" s="366">
        <f>H10</f>
        <v>152272.39230000001</v>
      </c>
      <c r="I335" s="366">
        <f>I10</f>
        <v>158508.23479596002</v>
      </c>
      <c r="J335" s="366">
        <f>J10</f>
        <v>173337.27369714287</v>
      </c>
      <c r="K335" s="366">
        <f>K10</f>
        <v>188771.5307312248</v>
      </c>
      <c r="L335" s="366">
        <f>L10</f>
        <v>205330.41826145869</v>
      </c>
    </row>
    <row r="336" spans="1:12" ht="15.6" x14ac:dyDescent="0.35">
      <c r="A336" s="48"/>
      <c r="B336" s="65" t="s">
        <v>124</v>
      </c>
      <c r="C336" s="65"/>
      <c r="D336" s="65"/>
      <c r="E336" s="65"/>
      <c r="F336" s="366">
        <f>F11</f>
        <v>-85737</v>
      </c>
      <c r="G336" s="366">
        <f>G11</f>
        <v>-102528</v>
      </c>
      <c r="H336" s="366">
        <f>H11</f>
        <v>-93965.270952000021</v>
      </c>
      <c r="I336" s="366">
        <f>I11</f>
        <v>-103045.8484701711</v>
      </c>
      <c r="J336" s="366">
        <f>J11</f>
        <v>-112542.74844307023</v>
      </c>
      <c r="K336" s="366">
        <f>K11</f>
        <v>-122449.69017266939</v>
      </c>
      <c r="L336" s="366">
        <f>L11</f>
        <v>-133046.03413951141</v>
      </c>
    </row>
    <row r="337" spans="1:12" ht="15.6" x14ac:dyDescent="0.35">
      <c r="A337" s="48"/>
      <c r="B337" s="65"/>
      <c r="C337" s="65"/>
      <c r="D337" s="65"/>
      <c r="E337" s="65"/>
      <c r="F337" s="111"/>
      <c r="G337" s="112"/>
      <c r="H337" s="107"/>
      <c r="I337" s="107"/>
      <c r="J337" s="107"/>
      <c r="K337" s="107"/>
      <c r="L337" s="107"/>
    </row>
    <row r="338" spans="1:12" ht="15.6" x14ac:dyDescent="0.35">
      <c r="A338" s="48"/>
      <c r="B338" s="65" t="s">
        <v>125</v>
      </c>
      <c r="C338" s="65"/>
      <c r="D338" s="65"/>
      <c r="E338" s="65"/>
      <c r="F338" s="190">
        <f>F323/F335</f>
        <v>0.1728395061728395</v>
      </c>
      <c r="G338" s="191">
        <f>G323/G335</f>
        <v>0.13076733444052316</v>
      </c>
      <c r="H338" s="192">
        <f>G338</f>
        <v>0.13076733444052316</v>
      </c>
      <c r="I338" s="192">
        <f t="shared" ref="I338:L338" si="142">H338</f>
        <v>0.13076733444052316</v>
      </c>
      <c r="J338" s="192">
        <f t="shared" si="142"/>
        <v>0.13076733444052316</v>
      </c>
      <c r="K338" s="192">
        <f t="shared" si="142"/>
        <v>0.13076733444052316</v>
      </c>
      <c r="L338" s="192">
        <f t="shared" si="142"/>
        <v>0.13076733444052316</v>
      </c>
    </row>
    <row r="339" spans="1:12" ht="15.6" x14ac:dyDescent="0.35">
      <c r="A339" s="48"/>
      <c r="B339" s="65" t="s">
        <v>126</v>
      </c>
      <c r="C339" s="65"/>
      <c r="D339" s="65"/>
      <c r="E339" s="65"/>
      <c r="F339" s="190">
        <f>F324/ABS(F336)</f>
        <v>0.32936771755484795</v>
      </c>
      <c r="G339" s="191">
        <f>G324/ABS(G336)</f>
        <v>0.29749921972534332</v>
      </c>
      <c r="H339" s="192">
        <f>G339</f>
        <v>0.29749921972534332</v>
      </c>
      <c r="I339" s="192">
        <f t="shared" ref="I339:L341" si="143">H339</f>
        <v>0.29749921972534332</v>
      </c>
      <c r="J339" s="192">
        <f t="shared" si="143"/>
        <v>0.29749921972534332</v>
      </c>
      <c r="K339" s="192">
        <f t="shared" si="143"/>
        <v>0.29749921972534332</v>
      </c>
      <c r="L339" s="192">
        <f t="shared" si="143"/>
        <v>0.29749921972534332</v>
      </c>
    </row>
    <row r="340" spans="1:12" ht="15.6" x14ac:dyDescent="0.35">
      <c r="A340" s="48"/>
      <c r="B340" s="65" t="s">
        <v>127</v>
      </c>
      <c r="C340" s="48"/>
      <c r="D340" s="48"/>
      <c r="E340" s="48"/>
      <c r="F340" s="160">
        <f>F326/ABS(F336)</f>
        <v>0.1985140604406499</v>
      </c>
      <c r="G340" s="160">
        <f>G326/ABS(G336)</f>
        <v>0.16587663857677903</v>
      </c>
      <c r="H340" s="201">
        <f>G340</f>
        <v>0.16587663857677903</v>
      </c>
      <c r="I340" s="201">
        <f t="shared" si="143"/>
        <v>0.16587663857677903</v>
      </c>
      <c r="J340" s="201">
        <f t="shared" si="143"/>
        <v>0.16587663857677903</v>
      </c>
      <c r="K340" s="201">
        <f t="shared" si="143"/>
        <v>0.16587663857677903</v>
      </c>
      <c r="L340" s="201">
        <f t="shared" si="143"/>
        <v>0.16587663857677903</v>
      </c>
    </row>
    <row r="341" spans="1:12" ht="15.6" x14ac:dyDescent="0.35">
      <c r="A341" s="48"/>
      <c r="B341" s="65" t="s">
        <v>260</v>
      </c>
      <c r="C341" s="48"/>
      <c r="D341" s="48"/>
      <c r="E341" s="48"/>
      <c r="F341" s="160">
        <f>F327/F335</f>
        <v>4.6752062943772786E-2</v>
      </c>
      <c r="G341" s="160">
        <f t="shared" ref="G341" si="144">G327/G335</f>
        <v>4.072815030101723E-2</v>
      </c>
      <c r="H341" s="201">
        <f>G341</f>
        <v>4.072815030101723E-2</v>
      </c>
      <c r="I341" s="201">
        <f t="shared" si="143"/>
        <v>4.072815030101723E-2</v>
      </c>
      <c r="J341" s="201">
        <f t="shared" si="143"/>
        <v>4.072815030101723E-2</v>
      </c>
      <c r="K341" s="201">
        <f t="shared" si="143"/>
        <v>4.072815030101723E-2</v>
      </c>
      <c r="L341" s="201">
        <f t="shared" si="143"/>
        <v>4.072815030101723E-2</v>
      </c>
    </row>
    <row r="342" spans="1:12" ht="15.6" x14ac:dyDescent="0.35">
      <c r="A342" s="48"/>
      <c r="B342" s="65"/>
      <c r="C342" s="48"/>
      <c r="D342" s="48"/>
      <c r="E342" s="48"/>
      <c r="F342" s="109"/>
      <c r="G342" s="113"/>
      <c r="H342" s="110"/>
      <c r="I342" s="110"/>
      <c r="J342" s="110"/>
      <c r="K342" s="110"/>
      <c r="L342" s="110"/>
    </row>
    <row r="343" spans="1:12" ht="15.6" x14ac:dyDescent="0.35">
      <c r="A343" s="48"/>
      <c r="B343" s="65" t="s">
        <v>128</v>
      </c>
      <c r="C343" s="48"/>
      <c r="D343" s="48"/>
      <c r="E343" s="48"/>
      <c r="F343" s="317">
        <f t="shared" ref="F343:L343" si="145">F323/F335*$G$319</f>
        <v>63.086419753086417</v>
      </c>
      <c r="G343" s="317">
        <f t="shared" si="145"/>
        <v>47.730077070790955</v>
      </c>
      <c r="H343" s="317">
        <f t="shared" si="145"/>
        <v>47.730077070790955</v>
      </c>
      <c r="I343" s="317">
        <f t="shared" si="145"/>
        <v>47.730077070790955</v>
      </c>
      <c r="J343" s="317">
        <f t="shared" si="145"/>
        <v>47.730077070790955</v>
      </c>
      <c r="K343" s="317">
        <f t="shared" si="145"/>
        <v>47.730077070790955</v>
      </c>
      <c r="L343" s="317">
        <f t="shared" si="145"/>
        <v>47.730077070790955</v>
      </c>
    </row>
    <row r="344" spans="1:12" ht="15.6" x14ac:dyDescent="0.35">
      <c r="A344" s="48"/>
      <c r="B344" s="65" t="s">
        <v>129</v>
      </c>
      <c r="C344" s="48"/>
      <c r="D344" s="48"/>
      <c r="E344" s="48"/>
      <c r="F344" s="317">
        <f>F324/ABS(F336)*G319</f>
        <v>120.2192169075195</v>
      </c>
      <c r="G344" s="317">
        <f>G324/ABS(G336)*G319</f>
        <v>108.58721519975032</v>
      </c>
      <c r="H344" s="317">
        <f>G344</f>
        <v>108.58721519975032</v>
      </c>
      <c r="I344" s="317">
        <f t="shared" ref="I344:L344" si="146">H344</f>
        <v>108.58721519975032</v>
      </c>
      <c r="J344" s="317">
        <f t="shared" si="146"/>
        <v>108.58721519975032</v>
      </c>
      <c r="K344" s="317">
        <f t="shared" si="146"/>
        <v>108.58721519975032</v>
      </c>
      <c r="L344" s="317">
        <f t="shared" si="146"/>
        <v>108.58721519975032</v>
      </c>
    </row>
    <row r="345" spans="1:12" ht="15.6" x14ac:dyDescent="0.35">
      <c r="A345" s="48"/>
      <c r="B345" s="65" t="s">
        <v>130</v>
      </c>
      <c r="C345" s="48"/>
      <c r="D345" s="48"/>
      <c r="E345" s="48"/>
      <c r="F345" s="317">
        <f t="shared" ref="F345:L345" si="147">F326/ABS(F336)*$G$319</f>
        <v>72.457632060837213</v>
      </c>
      <c r="G345" s="317">
        <f t="shared" si="147"/>
        <v>60.54497308052435</v>
      </c>
      <c r="H345" s="317">
        <f t="shared" si="147"/>
        <v>60.54497308052435</v>
      </c>
      <c r="I345" s="317">
        <f t="shared" si="147"/>
        <v>60.54497308052435</v>
      </c>
      <c r="J345" s="317">
        <f t="shared" si="147"/>
        <v>60.54497308052435</v>
      </c>
      <c r="K345" s="317">
        <f t="shared" si="147"/>
        <v>60.54497308052435</v>
      </c>
      <c r="L345" s="317">
        <f t="shared" si="147"/>
        <v>60.54497308052435</v>
      </c>
    </row>
    <row r="346" spans="1:12" ht="15.6" x14ac:dyDescent="0.35">
      <c r="A346" s="48"/>
      <c r="B346" s="65" t="s">
        <v>259</v>
      </c>
      <c r="C346" s="48"/>
      <c r="D346" s="48"/>
      <c r="E346" s="48"/>
      <c r="F346" s="317">
        <f>(F327/F335)*$G$319</f>
        <v>17.064502974477065</v>
      </c>
      <c r="G346" s="317">
        <f t="shared" ref="G346" si="148">(G327/G335)*$G$319</f>
        <v>14.865774859871289</v>
      </c>
      <c r="H346" s="317">
        <f>G346</f>
        <v>14.865774859871289</v>
      </c>
      <c r="I346" s="317">
        <f t="shared" ref="I346:L346" si="149">H346</f>
        <v>14.865774859871289</v>
      </c>
      <c r="J346" s="317">
        <f t="shared" si="149"/>
        <v>14.865774859871289</v>
      </c>
      <c r="K346" s="317">
        <f t="shared" si="149"/>
        <v>14.865774859871289</v>
      </c>
      <c r="L346" s="317">
        <f t="shared" si="149"/>
        <v>14.865774859871289</v>
      </c>
    </row>
    <row r="347" spans="1:12" ht="15.6" x14ac:dyDescent="0.35">
      <c r="A347" s="48"/>
      <c r="B347" s="65"/>
      <c r="C347" s="48"/>
      <c r="D347" s="48"/>
      <c r="E347" s="48"/>
      <c r="F347" s="109"/>
      <c r="G347" s="113"/>
      <c r="H347" s="110"/>
      <c r="I347" s="110"/>
      <c r="J347" s="110"/>
      <c r="K347" s="110"/>
      <c r="L347" s="110"/>
    </row>
    <row r="348" spans="1:12" ht="15.6" x14ac:dyDescent="0.35">
      <c r="A348" s="48"/>
      <c r="B348" s="65"/>
      <c r="C348" s="48"/>
      <c r="D348" s="48"/>
      <c r="E348" s="48"/>
      <c r="F348" s="109"/>
      <c r="G348" s="113"/>
      <c r="H348" s="110"/>
      <c r="I348" s="110"/>
      <c r="J348" s="110"/>
      <c r="K348" s="110"/>
      <c r="L348" s="110"/>
    </row>
    <row r="349" spans="1:12" ht="15.6" x14ac:dyDescent="0.35">
      <c r="A349" s="48"/>
      <c r="B349" s="48"/>
      <c r="C349" s="48"/>
      <c r="D349" s="48"/>
      <c r="E349" s="48"/>
      <c r="F349" s="109"/>
      <c r="G349" s="109"/>
      <c r="H349" s="110"/>
      <c r="I349" s="110"/>
      <c r="J349" s="110"/>
      <c r="K349" s="48"/>
      <c r="L349" s="48"/>
    </row>
    <row r="350" spans="1:12" ht="28.8" x14ac:dyDescent="0.65">
      <c r="A350" s="48"/>
      <c r="B350" s="49" t="str">
        <f>Cover!$B$2</f>
        <v>Solid State PLC</v>
      </c>
      <c r="C350" s="49"/>
      <c r="D350" s="50"/>
      <c r="E350" s="51"/>
      <c r="F350" s="51"/>
      <c r="G350" s="51"/>
      <c r="H350" s="51"/>
      <c r="I350" s="51"/>
      <c r="J350" s="51"/>
      <c r="K350" s="51"/>
      <c r="L350" s="51"/>
    </row>
    <row r="351" spans="1:12" ht="21" x14ac:dyDescent="0.5">
      <c r="A351" s="48"/>
      <c r="B351" s="52" t="s">
        <v>83</v>
      </c>
      <c r="C351" s="53"/>
      <c r="D351" s="51"/>
      <c r="E351" s="51"/>
      <c r="F351" s="51"/>
      <c r="G351" s="51"/>
      <c r="H351" s="51"/>
      <c r="I351" s="51"/>
      <c r="J351" s="51"/>
      <c r="K351" s="51"/>
      <c r="L351" s="278" t="str">
        <f>"Currently Running: "&amp;CHOOSE(Assumptions!$B$10,Assumptions!$F$15,Assumptions!$F$16,Assumptions!$F$17)&amp;"Scenario"</f>
        <v>Currently Running: Upside Scenario</v>
      </c>
    </row>
    <row r="352" spans="1:12" ht="15.6" x14ac:dyDescent="0.35">
      <c r="A352" s="48"/>
      <c r="B352" s="54"/>
      <c r="C352" s="54"/>
      <c r="D352" s="54"/>
      <c r="E352" s="54"/>
      <c r="F352" s="54"/>
      <c r="G352" s="54"/>
      <c r="H352" s="54"/>
      <c r="I352" s="54"/>
      <c r="J352" s="54"/>
      <c r="K352" s="55"/>
      <c r="L352" s="55"/>
    </row>
    <row r="353" spans="1:12" ht="15.6" x14ac:dyDescent="0.35">
      <c r="A353" s="48"/>
      <c r="B353" s="55"/>
      <c r="C353" s="55"/>
      <c r="D353" s="55"/>
      <c r="E353" s="55"/>
      <c r="F353" s="56" t="s">
        <v>55</v>
      </c>
      <c r="G353" s="56"/>
      <c r="H353" s="56"/>
      <c r="I353" s="56"/>
      <c r="J353" s="56"/>
      <c r="K353" s="56"/>
      <c r="L353" s="56"/>
    </row>
    <row r="354" spans="1:12" ht="15.6" x14ac:dyDescent="0.35">
      <c r="A354" s="48"/>
      <c r="B354" s="55"/>
      <c r="C354" s="55"/>
      <c r="D354" s="55"/>
      <c r="E354" s="55"/>
      <c r="F354" s="57">
        <f>$F$7</f>
        <v>2025</v>
      </c>
      <c r="G354" s="57">
        <f>F354+1</f>
        <v>2026</v>
      </c>
      <c r="H354" s="58">
        <f>G354+1</f>
        <v>2027</v>
      </c>
      <c r="I354" s="58">
        <f t="shared" ref="I354" si="150">H354+1</f>
        <v>2028</v>
      </c>
      <c r="J354" s="58">
        <f t="shared" ref="J354" si="151">I354+1</f>
        <v>2029</v>
      </c>
      <c r="K354" s="58">
        <f t="shared" ref="K354" si="152">J354+1</f>
        <v>2030</v>
      </c>
      <c r="L354" s="58">
        <f t="shared" ref="L354" si="153">K354+1</f>
        <v>2031</v>
      </c>
    </row>
    <row r="355" spans="1:12" ht="16.2" thickBot="1" x14ac:dyDescent="0.4">
      <c r="A355" s="48"/>
      <c r="B355" s="59" t="s">
        <v>86</v>
      </c>
      <c r="C355" s="59"/>
      <c r="D355" s="59"/>
      <c r="E355" s="59"/>
      <c r="F355" s="60" t="s">
        <v>56</v>
      </c>
      <c r="G355" s="60"/>
      <c r="H355" s="61"/>
      <c r="I355" s="61"/>
      <c r="J355" s="61"/>
      <c r="K355" s="61"/>
      <c r="L355" s="61" t="s">
        <v>42</v>
      </c>
    </row>
    <row r="356" spans="1:12" ht="15.6" x14ac:dyDescent="0.35">
      <c r="A356" s="48"/>
      <c r="B356" s="55"/>
      <c r="C356" s="55"/>
      <c r="D356" s="55"/>
      <c r="E356" s="55"/>
      <c r="F356" s="83"/>
      <c r="G356" s="83"/>
      <c r="H356" s="84"/>
      <c r="I356" s="84"/>
      <c r="J356" s="84"/>
      <c r="K356" s="84"/>
      <c r="L356" s="84"/>
    </row>
    <row r="357" spans="1:12" ht="15.6" x14ac:dyDescent="0.35">
      <c r="A357" s="48"/>
      <c r="B357" s="85" t="s">
        <v>85</v>
      </c>
      <c r="C357" s="86"/>
      <c r="D357" s="87"/>
      <c r="E357" s="87"/>
      <c r="F357" s="88"/>
      <c r="G357" s="88"/>
      <c r="H357" s="89"/>
      <c r="I357" s="89"/>
      <c r="J357" s="89"/>
      <c r="K357" s="89"/>
      <c r="L357" s="90"/>
    </row>
    <row r="358" spans="1:12" ht="15.6" x14ac:dyDescent="0.35">
      <c r="A358" s="48"/>
      <c r="B358" s="55"/>
      <c r="C358" s="55"/>
      <c r="D358" s="55"/>
      <c r="E358" s="55"/>
      <c r="F358" s="83"/>
      <c r="G358" s="83"/>
      <c r="H358" s="84"/>
      <c r="I358" s="84"/>
      <c r="J358" s="84"/>
      <c r="K358" s="84"/>
      <c r="L358" s="84"/>
    </row>
    <row r="359" spans="1:12" ht="15.6" x14ac:dyDescent="0.35">
      <c r="A359" s="48"/>
      <c r="B359" s="156" t="s">
        <v>85</v>
      </c>
      <c r="C359" s="156"/>
      <c r="D359" s="156"/>
      <c r="E359" s="156"/>
      <c r="F359" s="327">
        <v>3422</v>
      </c>
      <c r="G359" s="327">
        <v>984</v>
      </c>
      <c r="H359" s="333">
        <v>1500</v>
      </c>
      <c r="I359" s="333">
        <v>2000</v>
      </c>
      <c r="J359" s="333">
        <v>2000</v>
      </c>
      <c r="K359" s="333">
        <v>2000</v>
      </c>
      <c r="L359" s="333">
        <v>2000</v>
      </c>
    </row>
    <row r="360" spans="1:12" ht="15.6" x14ac:dyDescent="0.35">
      <c r="A360" s="48"/>
      <c r="B360" s="70"/>
      <c r="C360" s="65"/>
      <c r="D360" s="65"/>
      <c r="E360" s="65"/>
      <c r="F360" s="91"/>
      <c r="G360" s="161"/>
      <c r="H360" s="172"/>
      <c r="I360" s="172"/>
      <c r="J360" s="172"/>
      <c r="K360" s="172"/>
      <c r="L360" s="172"/>
    </row>
    <row r="361" spans="1:12" ht="15.6" x14ac:dyDescent="0.35">
      <c r="A361" s="48"/>
      <c r="B361" s="85" t="s">
        <v>16</v>
      </c>
      <c r="C361" s="86"/>
      <c r="D361" s="87"/>
      <c r="E361" s="87"/>
      <c r="F361" s="88"/>
      <c r="G361" s="88"/>
      <c r="H361" s="89"/>
      <c r="I361" s="89"/>
      <c r="J361" s="89"/>
      <c r="K361" s="89"/>
      <c r="L361" s="90"/>
    </row>
    <row r="362" spans="1:12" ht="15.6" x14ac:dyDescent="0.35">
      <c r="A362" s="48"/>
      <c r="B362" s="70"/>
      <c r="C362" s="65"/>
      <c r="D362" s="65"/>
      <c r="E362" s="65"/>
      <c r="F362" s="91"/>
      <c r="G362" s="161"/>
      <c r="H362" s="172"/>
      <c r="I362" s="172"/>
      <c r="J362" s="172"/>
      <c r="K362" s="172"/>
      <c r="L362" s="172"/>
    </row>
    <row r="363" spans="1:12" ht="15.6" x14ac:dyDescent="0.35">
      <c r="A363" s="48"/>
      <c r="B363" s="65" t="s">
        <v>92</v>
      </c>
      <c r="C363" s="65"/>
      <c r="D363" s="65"/>
      <c r="E363" s="65"/>
      <c r="F363" s="91"/>
      <c r="G363" s="174">
        <v>5</v>
      </c>
      <c r="H363" s="172"/>
      <c r="I363" s="172"/>
      <c r="J363" s="172"/>
      <c r="K363" s="172"/>
      <c r="L363" s="172"/>
    </row>
    <row r="364" spans="1:12" ht="15.6" x14ac:dyDescent="0.35">
      <c r="A364" s="48"/>
      <c r="B364" s="65" t="s">
        <v>90</v>
      </c>
      <c r="C364" s="65"/>
      <c r="D364" s="65"/>
      <c r="E364" s="65"/>
      <c r="F364" s="91"/>
      <c r="G364" s="173" t="s">
        <v>91</v>
      </c>
      <c r="H364" s="172"/>
      <c r="I364" s="172"/>
      <c r="J364" s="172"/>
      <c r="K364" s="172"/>
      <c r="L364" s="172"/>
    </row>
    <row r="365" spans="1:12" ht="15.6" x14ac:dyDescent="0.35">
      <c r="A365" s="48"/>
      <c r="B365" s="70"/>
      <c r="C365" s="65"/>
      <c r="D365" s="65"/>
      <c r="E365" s="65"/>
      <c r="F365" s="91"/>
      <c r="G365" s="161"/>
      <c r="H365" s="172"/>
      <c r="I365" s="172"/>
      <c r="J365" s="172"/>
      <c r="K365" s="172"/>
      <c r="L365" s="172"/>
    </row>
    <row r="366" spans="1:12" ht="15.6" x14ac:dyDescent="0.35">
      <c r="A366" s="48"/>
      <c r="B366" s="65" cm="1">
        <f t="array" ref="B366:B370">TRANSPOSE(H354:L354)</f>
        <v>2027</v>
      </c>
      <c r="C366" s="193" cm="1">
        <f t="array" ref="C366:C370">TRANSPOSE(H359:L359)</f>
        <v>1500</v>
      </c>
      <c r="D366" s="65"/>
      <c r="E366" s="65"/>
      <c r="F366" s="91"/>
      <c r="G366" s="161"/>
      <c r="H366" s="193">
        <f>MIN(IF($B366=H$354, 0.5*$C366/$G$363, $C366/$G$363), ($C366-SUM($G366:G366)))</f>
        <v>150</v>
      </c>
      <c r="I366" s="193">
        <f>MIN(IF($B366=I$354, 0.5*$C366/$G$363, $C366/$G$363), ($C366-SUM($G366:H366)))</f>
        <v>300</v>
      </c>
      <c r="J366" s="193">
        <f>MIN(IF($B366=J$354, 0.5*$C366/$G$363, $C366/$G$363), ($C366-SUM($G366:I366)))</f>
        <v>300</v>
      </c>
      <c r="K366" s="193">
        <f>MIN(IF($B366=K$354, 0.5*$C366/$G$363, $C366/$G$363), ($C366-SUM($G366:J366)))</f>
        <v>300</v>
      </c>
      <c r="L366" s="193">
        <f>MIN(IF($B366=L$354, 0.5*$C366/$G$363, $C366/$G$363), ($C366-SUM($G366:K366)))</f>
        <v>300</v>
      </c>
    </row>
    <row r="367" spans="1:12" ht="15.6" x14ac:dyDescent="0.35">
      <c r="A367" s="48"/>
      <c r="B367" s="65">
        <v>2028</v>
      </c>
      <c r="C367" s="193">
        <v>2000</v>
      </c>
      <c r="D367" s="65"/>
      <c r="E367" s="65"/>
      <c r="F367" s="91"/>
      <c r="G367" s="161"/>
      <c r="H367" s="330"/>
      <c r="I367" s="193">
        <f>MIN(IF($B367=I$354, 0.5*$C367/$G$363, $C367/$G$363), ($C367-SUM($G367:H367)))</f>
        <v>200</v>
      </c>
      <c r="J367" s="193">
        <f>MIN(IF($B367=J$354, 0.5*$C367/$G$363, $C367/$G$363), ($C367-SUM($G367:I367)))</f>
        <v>400</v>
      </c>
      <c r="K367" s="193">
        <f>MIN(IF($B367=K$354, 0.5*$C367/$G$363, $C367/$G$363), ($C367-SUM($G367:J367)))</f>
        <v>400</v>
      </c>
      <c r="L367" s="193">
        <f>MIN(IF($B367=L$354, 0.5*$C367/$G$363, $C367/$G$363), ($C367-SUM($G367:K367)))</f>
        <v>400</v>
      </c>
    </row>
    <row r="368" spans="1:12" ht="15.6" x14ac:dyDescent="0.35">
      <c r="A368" s="48"/>
      <c r="B368" s="65">
        <v>2029</v>
      </c>
      <c r="C368" s="193">
        <v>2000</v>
      </c>
      <c r="D368" s="65"/>
      <c r="E368" s="65"/>
      <c r="F368" s="91"/>
      <c r="G368" s="161"/>
      <c r="H368" s="330"/>
      <c r="I368" s="330"/>
      <c r="J368" s="193">
        <f>MIN(IF($B368=J$354, 0.5*$C368/$G$363, $C368/$G$363), ($C368-SUM($G368:I368)))</f>
        <v>200</v>
      </c>
      <c r="K368" s="193">
        <f>MIN(IF($B368=K$354, 0.5*$C368/$G$363, $C368/$G$363), ($C368-SUM($G368:J368)))</f>
        <v>400</v>
      </c>
      <c r="L368" s="193">
        <f>MIN(IF($B368=L$354, 0.5*$C368/$G$363, $C368/$G$363), ($C368-SUM($G368:K368)))</f>
        <v>400</v>
      </c>
    </row>
    <row r="369" spans="1:12" ht="15.6" x14ac:dyDescent="0.35">
      <c r="A369" s="48"/>
      <c r="B369" s="65">
        <v>2030</v>
      </c>
      <c r="C369" s="193">
        <v>2000</v>
      </c>
      <c r="D369" s="65"/>
      <c r="E369" s="65"/>
      <c r="F369" s="91"/>
      <c r="G369" s="161"/>
      <c r="H369" s="330"/>
      <c r="I369" s="330"/>
      <c r="J369" s="330"/>
      <c r="K369" s="193">
        <f>MIN(IF($B369=K$354, 0.5*$C369/$G$363, $C369/$G$363), ($C369-SUM($G369:J369)))</f>
        <v>200</v>
      </c>
      <c r="L369" s="193">
        <f>MIN(IF($B369=L$354, 0.5*$C369/$G$363, $C369/$G$363), ($C369-SUM($G369:K369)))</f>
        <v>400</v>
      </c>
    </row>
    <row r="370" spans="1:12" ht="15.6" x14ac:dyDescent="0.35">
      <c r="A370" s="48"/>
      <c r="B370" s="65">
        <v>2031</v>
      </c>
      <c r="C370" s="329">
        <v>2000</v>
      </c>
      <c r="D370" s="65"/>
      <c r="E370" s="65"/>
      <c r="F370" s="91"/>
      <c r="G370" s="161"/>
      <c r="H370" s="330"/>
      <c r="I370" s="330"/>
      <c r="J370" s="330"/>
      <c r="K370" s="330"/>
      <c r="L370" s="193">
        <f>MIN(IF($B370=L$354, 0.5*$C370/$G$363, $C370/$G$363), ($C370-SUM($G370:K370)))</f>
        <v>200</v>
      </c>
    </row>
    <row r="371" spans="1:12" ht="15.6" x14ac:dyDescent="0.35">
      <c r="A371" s="48"/>
      <c r="B371" s="132" t="s">
        <v>93</v>
      </c>
      <c r="C371" s="65"/>
      <c r="D371" s="132"/>
      <c r="E371" s="132"/>
      <c r="F371" s="175"/>
      <c r="G371" s="176"/>
      <c r="H371" s="314">
        <f>SUM(H366:H370)</f>
        <v>150</v>
      </c>
      <c r="I371" s="314">
        <f t="shared" ref="I371:K371" si="154">SUM(I366:I370)</f>
        <v>500</v>
      </c>
      <c r="J371" s="314">
        <f t="shared" si="154"/>
        <v>900</v>
      </c>
      <c r="K371" s="314">
        <f t="shared" si="154"/>
        <v>1300</v>
      </c>
      <c r="L371" s="314">
        <f>SUM(L366:L370)</f>
        <v>1700</v>
      </c>
    </row>
    <row r="372" spans="1:12" ht="15.6" x14ac:dyDescent="0.35">
      <c r="A372" s="48"/>
      <c r="B372" s="65" t="s">
        <v>94</v>
      </c>
      <c r="C372" s="65"/>
      <c r="D372" s="65"/>
      <c r="E372" s="65"/>
      <c r="F372" s="91"/>
      <c r="G372" s="161"/>
      <c r="H372" s="193">
        <f>MIN(($H$378)/$G$363, ($H$378) - SUM($G372:G372))</f>
        <v>1112.5999999999999</v>
      </c>
      <c r="I372" s="193">
        <f>MIN(($H$378)/$G$363, ($H$378) - SUM($G372:H372))</f>
        <v>1112.5999999999999</v>
      </c>
      <c r="J372" s="193">
        <f>MIN(($H$378)/$G$363, ($H$378) - SUM($G372:I372))</f>
        <v>1112.5999999999999</v>
      </c>
      <c r="K372" s="193">
        <f>MIN(($H$378)/$G$363, ($H$378) - SUM($G372:J372))</f>
        <v>1112.5999999999999</v>
      </c>
      <c r="L372" s="193">
        <f>MIN(($H$378)/$G$363, ($H$378) - SUM($G372:K372))</f>
        <v>1112.5999999999999</v>
      </c>
    </row>
    <row r="373" spans="1:12" ht="15.6" x14ac:dyDescent="0.35">
      <c r="A373" s="48"/>
      <c r="B373" s="156" t="s">
        <v>95</v>
      </c>
      <c r="C373" s="156"/>
      <c r="D373" s="156"/>
      <c r="E373" s="156"/>
      <c r="F373" s="198"/>
      <c r="G373" s="198"/>
      <c r="H373" s="328">
        <f>SUM(H371:H372)</f>
        <v>1262.5999999999999</v>
      </c>
      <c r="I373" s="328">
        <f t="shared" ref="I373:L373" si="155">SUM(I371:I372)</f>
        <v>1612.6</v>
      </c>
      <c r="J373" s="328">
        <f t="shared" si="155"/>
        <v>2012.6</v>
      </c>
      <c r="K373" s="328">
        <f t="shared" si="155"/>
        <v>2412.6</v>
      </c>
      <c r="L373" s="328">
        <f t="shared" si="155"/>
        <v>2812.6</v>
      </c>
    </row>
    <row r="374" spans="1:12" ht="15.6" x14ac:dyDescent="0.35">
      <c r="A374" s="48"/>
      <c r="B374" s="70"/>
      <c r="C374" s="65"/>
      <c r="D374" s="65"/>
      <c r="E374" s="65"/>
      <c r="F374" s="91"/>
      <c r="G374" s="161"/>
      <c r="H374" s="172"/>
      <c r="I374" s="172"/>
      <c r="J374" s="172"/>
      <c r="K374" s="172"/>
      <c r="L374" s="172"/>
    </row>
    <row r="375" spans="1:12" ht="15.6" x14ac:dyDescent="0.35">
      <c r="A375" s="48"/>
      <c r="B375" s="65"/>
      <c r="C375" s="65"/>
      <c r="D375" s="65"/>
      <c r="E375" s="65"/>
      <c r="F375" s="91"/>
      <c r="G375" s="161"/>
      <c r="H375" s="162"/>
      <c r="I375" s="162"/>
      <c r="J375" s="162"/>
      <c r="K375" s="162"/>
      <c r="L375" s="162"/>
    </row>
    <row r="376" spans="1:12" ht="15.6" x14ac:dyDescent="0.35">
      <c r="A376" s="48"/>
      <c r="B376" s="85" t="s">
        <v>96</v>
      </c>
      <c r="C376" s="86"/>
      <c r="D376" s="87"/>
      <c r="E376" s="87"/>
      <c r="F376" s="88"/>
      <c r="G376" s="88"/>
      <c r="H376" s="89"/>
      <c r="I376" s="89"/>
      <c r="J376" s="89"/>
      <c r="K376" s="89"/>
      <c r="L376" s="90"/>
    </row>
    <row r="377" spans="1:12" ht="15.6" x14ac:dyDescent="0.35">
      <c r="A377" s="48"/>
      <c r="B377" s="70"/>
      <c r="C377" s="70"/>
      <c r="D377" s="70"/>
      <c r="E377" s="70"/>
      <c r="F377" s="157"/>
      <c r="G377" s="163"/>
      <c r="H377" s="163"/>
      <c r="I377" s="163"/>
      <c r="J377" s="163"/>
      <c r="K377" s="163"/>
      <c r="L377" s="163"/>
    </row>
    <row r="378" spans="1:12" ht="15.6" x14ac:dyDescent="0.35">
      <c r="A378" s="48"/>
      <c r="B378" s="65" t="s">
        <v>88</v>
      </c>
      <c r="C378" s="65"/>
      <c r="D378" s="65"/>
      <c r="E378" s="65"/>
      <c r="F378" s="91"/>
      <c r="G378" s="137"/>
      <c r="H378" s="331">
        <f>G60</f>
        <v>5563</v>
      </c>
      <c r="I378" s="331">
        <f>H381</f>
        <v>5800.4</v>
      </c>
      <c r="J378" s="331">
        <f t="shared" ref="J378:L378" si="156">I381</f>
        <v>6187.7999999999993</v>
      </c>
      <c r="K378" s="331">
        <f t="shared" si="156"/>
        <v>6175.1999999999989</v>
      </c>
      <c r="L378" s="331">
        <f t="shared" si="156"/>
        <v>5762.5999999999985</v>
      </c>
    </row>
    <row r="379" spans="1:12" ht="15.6" x14ac:dyDescent="0.35">
      <c r="A379" s="48"/>
      <c r="B379" s="156" t="s">
        <v>85</v>
      </c>
      <c r="C379" s="79"/>
      <c r="D379" s="79"/>
      <c r="E379" s="79"/>
      <c r="F379" s="171"/>
      <c r="G379" s="171"/>
      <c r="H379" s="332">
        <f>H359</f>
        <v>1500</v>
      </c>
      <c r="I379" s="332">
        <f t="shared" ref="I379:L379" si="157">I359</f>
        <v>2000</v>
      </c>
      <c r="J379" s="332">
        <f t="shared" si="157"/>
        <v>2000</v>
      </c>
      <c r="K379" s="332">
        <f t="shared" si="157"/>
        <v>2000</v>
      </c>
      <c r="L379" s="332">
        <f t="shared" si="157"/>
        <v>2000</v>
      </c>
    </row>
    <row r="380" spans="1:12" ht="15.6" x14ac:dyDescent="0.35">
      <c r="A380" s="48"/>
      <c r="B380" s="74" t="s">
        <v>87</v>
      </c>
      <c r="C380" s="74"/>
      <c r="D380" s="74"/>
      <c r="E380" s="74"/>
      <c r="F380" s="394"/>
      <c r="G380" s="394"/>
      <c r="H380" s="395">
        <f>-H373</f>
        <v>-1262.5999999999999</v>
      </c>
      <c r="I380" s="395">
        <f t="shared" ref="I380:L380" si="158">-I373</f>
        <v>-1612.6</v>
      </c>
      <c r="J380" s="395">
        <f t="shared" si="158"/>
        <v>-2012.6</v>
      </c>
      <c r="K380" s="395">
        <f t="shared" si="158"/>
        <v>-2412.6</v>
      </c>
      <c r="L380" s="395">
        <f t="shared" si="158"/>
        <v>-2812.6</v>
      </c>
    </row>
    <row r="381" spans="1:12" ht="15.6" x14ac:dyDescent="0.35">
      <c r="A381" s="48"/>
      <c r="B381" s="65" t="s">
        <v>17</v>
      </c>
      <c r="C381" s="70"/>
      <c r="D381" s="70"/>
      <c r="E381" s="70"/>
      <c r="F381" s="164"/>
      <c r="G381" s="164"/>
      <c r="H381" s="331">
        <f>SUM(H378:H380)</f>
        <v>5800.4</v>
      </c>
      <c r="I381" s="331">
        <f>SUM(I378:I380)</f>
        <v>6187.7999999999993</v>
      </c>
      <c r="J381" s="331">
        <f>SUM(J378:J380)</f>
        <v>6175.1999999999989</v>
      </c>
      <c r="K381" s="331">
        <f>SUM(K378:K380)</f>
        <v>5762.5999999999985</v>
      </c>
      <c r="L381" s="331">
        <f>SUM(L378:L380)</f>
        <v>4949.9999999999982</v>
      </c>
    </row>
    <row r="382" spans="1:12" ht="15.6" x14ac:dyDescent="0.35">
      <c r="A382" s="48"/>
      <c r="B382" s="65"/>
      <c r="C382" s="65"/>
      <c r="D382" s="65"/>
      <c r="E382" s="65"/>
      <c r="F382" s="91"/>
      <c r="G382" s="114"/>
      <c r="H382" s="92"/>
      <c r="I382" s="92"/>
      <c r="J382" s="92"/>
      <c r="K382" s="92"/>
      <c r="L382" s="92"/>
    </row>
    <row r="383" spans="1:12" ht="15.6" x14ac:dyDescent="0.35">
      <c r="A383" s="48"/>
      <c r="B383" s="85" t="s">
        <v>97</v>
      </c>
      <c r="C383" s="86"/>
      <c r="D383" s="87"/>
      <c r="E383" s="87"/>
      <c r="F383" s="88"/>
      <c r="G383" s="88"/>
      <c r="H383" s="89"/>
      <c r="I383" s="89"/>
      <c r="J383" s="89"/>
      <c r="K383" s="89"/>
      <c r="L383" s="90"/>
    </row>
    <row r="384" spans="1:12" ht="15.6" x14ac:dyDescent="0.35">
      <c r="A384" s="48"/>
      <c r="B384" s="96"/>
      <c r="C384" s="70"/>
      <c r="D384" s="65"/>
      <c r="E384" s="65"/>
      <c r="F384" s="91"/>
      <c r="G384" s="91"/>
      <c r="H384" s="92"/>
      <c r="I384" s="92"/>
      <c r="J384" s="92"/>
      <c r="K384" s="92"/>
      <c r="L384" s="92"/>
    </row>
    <row r="385" spans="1:12" ht="15.6" x14ac:dyDescent="0.35">
      <c r="A385" s="48"/>
      <c r="B385" s="65" t="s">
        <v>100</v>
      </c>
      <c r="C385" s="70"/>
      <c r="D385" s="65"/>
      <c r="E385" s="65"/>
      <c r="F385" s="91"/>
      <c r="G385" s="91"/>
      <c r="H385" s="193">
        <f>H389</f>
        <v>-5893</v>
      </c>
      <c r="I385" s="193">
        <f t="shared" ref="I385:L385" si="159">I389</f>
        <v>-6396.58</v>
      </c>
      <c r="J385" s="193">
        <f t="shared" si="159"/>
        <v>-7430.3747999999996</v>
      </c>
      <c r="K385" s="193">
        <f t="shared" si="159"/>
        <v>-8526.1972879999994</v>
      </c>
      <c r="L385" s="193">
        <f t="shared" si="159"/>
        <v>-9687.7691252799996</v>
      </c>
    </row>
    <row r="386" spans="1:12" ht="15.6" x14ac:dyDescent="0.35">
      <c r="A386" s="48"/>
      <c r="B386" s="65" t="s">
        <v>101</v>
      </c>
      <c r="C386" s="70"/>
      <c r="D386" s="65"/>
      <c r="E386" s="65"/>
      <c r="F386" s="91"/>
      <c r="G386" s="91"/>
      <c r="H386" s="177">
        <v>0.06</v>
      </c>
      <c r="I386" s="177">
        <v>0.06</v>
      </c>
      <c r="J386" s="177">
        <v>0.06</v>
      </c>
      <c r="K386" s="177">
        <v>0.06</v>
      </c>
      <c r="L386" s="177">
        <v>0.06</v>
      </c>
    </row>
    <row r="387" spans="1:12" ht="15.6" x14ac:dyDescent="0.35">
      <c r="A387" s="48"/>
      <c r="B387" s="132" t="s">
        <v>102</v>
      </c>
      <c r="C387" s="131"/>
      <c r="D387" s="132"/>
      <c r="E387" s="132"/>
      <c r="F387" s="175"/>
      <c r="G387" s="175"/>
      <c r="H387" s="314">
        <f>H385*H386</f>
        <v>-353.58</v>
      </c>
      <c r="I387" s="314">
        <f t="shared" ref="I387:L387" si="160">I385*I386</f>
        <v>-383.79480000000001</v>
      </c>
      <c r="J387" s="314">
        <f t="shared" si="160"/>
        <v>-445.82248799999996</v>
      </c>
      <c r="K387" s="314">
        <f t="shared" si="160"/>
        <v>-511.57183727999995</v>
      </c>
      <c r="L387" s="314">
        <f t="shared" si="160"/>
        <v>-581.26614751679995</v>
      </c>
    </row>
    <row r="388" spans="1:12" ht="15.6" x14ac:dyDescent="0.35">
      <c r="A388" s="48"/>
      <c r="B388" s="48"/>
      <c r="C388" s="70"/>
      <c r="D388" s="65"/>
      <c r="E388" s="65"/>
      <c r="F388" s="91"/>
      <c r="G388" s="91"/>
      <c r="H388" s="92"/>
      <c r="I388" s="92"/>
      <c r="J388" s="92"/>
      <c r="K388" s="92"/>
      <c r="L388" s="92"/>
    </row>
    <row r="389" spans="1:12" ht="15.6" x14ac:dyDescent="0.35">
      <c r="A389" s="48"/>
      <c r="B389" s="65" t="s">
        <v>98</v>
      </c>
      <c r="C389" s="65"/>
      <c r="D389" s="65"/>
      <c r="E389" s="65"/>
      <c r="F389" s="91"/>
      <c r="G389" s="91"/>
      <c r="H389" s="331">
        <f>G70+G79</f>
        <v>-5893</v>
      </c>
      <c r="I389" s="331">
        <f>H393</f>
        <v>-6396.58</v>
      </c>
      <c r="J389" s="331">
        <f t="shared" ref="J389:L389" si="161">I393</f>
        <v>-7430.3747999999996</v>
      </c>
      <c r="K389" s="331">
        <f t="shared" si="161"/>
        <v>-8526.1972879999994</v>
      </c>
      <c r="L389" s="331">
        <f t="shared" si="161"/>
        <v>-9687.7691252799996</v>
      </c>
    </row>
    <row r="390" spans="1:12" ht="15.6" x14ac:dyDescent="0.35">
      <c r="A390" s="48"/>
      <c r="B390" s="65" t="s">
        <v>99</v>
      </c>
      <c r="C390" s="65"/>
      <c r="D390" s="65"/>
      <c r="E390" s="65"/>
      <c r="F390" s="91"/>
      <c r="G390" s="92"/>
      <c r="H390" s="331">
        <f>-H359</f>
        <v>-1500</v>
      </c>
      <c r="I390" s="331">
        <f>-I359</f>
        <v>-2000</v>
      </c>
      <c r="J390" s="331">
        <f>-J359</f>
        <v>-2000</v>
      </c>
      <c r="K390" s="331">
        <f>-K359</f>
        <v>-2000</v>
      </c>
      <c r="L390" s="331">
        <f>-L359</f>
        <v>-2000</v>
      </c>
    </row>
    <row r="391" spans="1:12" ht="15.6" x14ac:dyDescent="0.35">
      <c r="A391" s="48"/>
      <c r="B391" s="65" t="s">
        <v>102</v>
      </c>
      <c r="C391" s="70"/>
      <c r="D391" s="70"/>
      <c r="E391" s="70"/>
      <c r="F391" s="157"/>
      <c r="G391" s="115"/>
      <c r="H391" s="331">
        <f>H387</f>
        <v>-353.58</v>
      </c>
      <c r="I391" s="331">
        <f t="shared" ref="I391:L391" si="162">I387</f>
        <v>-383.79480000000001</v>
      </c>
      <c r="J391" s="331">
        <f t="shared" si="162"/>
        <v>-445.82248799999996</v>
      </c>
      <c r="K391" s="331">
        <f t="shared" si="162"/>
        <v>-511.57183727999995</v>
      </c>
      <c r="L391" s="331">
        <f t="shared" si="162"/>
        <v>-581.26614751679995</v>
      </c>
    </row>
    <row r="392" spans="1:12" ht="15.6" x14ac:dyDescent="0.35">
      <c r="A392" s="48"/>
      <c r="B392" s="65" t="s">
        <v>103</v>
      </c>
      <c r="C392" s="65"/>
      <c r="D392" s="65"/>
      <c r="E392" s="65"/>
      <c r="F392" s="91"/>
      <c r="G392" s="91"/>
      <c r="H392" s="341">
        <v>1350</v>
      </c>
      <c r="I392" s="341">
        <v>1350</v>
      </c>
      <c r="J392" s="341">
        <v>1350</v>
      </c>
      <c r="K392" s="341">
        <v>1350</v>
      </c>
      <c r="L392" s="341">
        <v>1350</v>
      </c>
    </row>
    <row r="393" spans="1:12" ht="15.6" x14ac:dyDescent="0.35">
      <c r="A393" s="48"/>
      <c r="B393" s="156" t="s">
        <v>104</v>
      </c>
      <c r="C393" s="156"/>
      <c r="D393" s="156"/>
      <c r="E393" s="156"/>
      <c r="F393" s="178"/>
      <c r="G393" s="178"/>
      <c r="H393" s="331">
        <f>SUM(H389:H392)</f>
        <v>-6396.58</v>
      </c>
      <c r="I393" s="331">
        <f t="shared" ref="I393:L393" si="163">SUM(I389:I392)</f>
        <v>-7430.3747999999996</v>
      </c>
      <c r="J393" s="331">
        <f t="shared" si="163"/>
        <v>-8526.1972879999994</v>
      </c>
      <c r="K393" s="331">
        <f t="shared" si="163"/>
        <v>-9687.7691252799996</v>
      </c>
      <c r="L393" s="331">
        <f t="shared" si="163"/>
        <v>-10919.0352727968</v>
      </c>
    </row>
    <row r="394" spans="1:12" ht="15.6" x14ac:dyDescent="0.35">
      <c r="A394" s="48"/>
      <c r="B394" s="65"/>
      <c r="C394" s="65"/>
      <c r="D394" s="65"/>
      <c r="E394" s="65"/>
      <c r="F394" s="101"/>
      <c r="G394" s="101"/>
      <c r="H394" s="331"/>
      <c r="I394" s="331"/>
      <c r="J394" s="331"/>
      <c r="K394" s="331"/>
      <c r="L394" s="331"/>
    </row>
    <row r="395" spans="1:12" ht="15.6" x14ac:dyDescent="0.35">
      <c r="A395" s="48"/>
      <c r="B395" s="65" t="s">
        <v>303</v>
      </c>
      <c r="C395" s="65"/>
      <c r="D395" s="65"/>
      <c r="E395" s="65"/>
      <c r="F395" s="101"/>
      <c r="G395" s="101"/>
      <c r="H395" s="331">
        <f>H392+H391</f>
        <v>996.42000000000007</v>
      </c>
      <c r="I395" s="331">
        <f t="shared" ref="I395:L395" si="164">I392+I391</f>
        <v>966.20519999999999</v>
      </c>
      <c r="J395" s="331">
        <f t="shared" si="164"/>
        <v>904.17751199999998</v>
      </c>
      <c r="K395" s="331">
        <f t="shared" si="164"/>
        <v>838.42816272000005</v>
      </c>
      <c r="L395" s="331">
        <f t="shared" si="164"/>
        <v>768.73385248320005</v>
      </c>
    </row>
    <row r="396" spans="1:12" ht="15.6" x14ac:dyDescent="0.35">
      <c r="A396" s="48"/>
      <c r="B396" s="65"/>
      <c r="C396" s="65"/>
      <c r="D396" s="65"/>
      <c r="E396" s="65"/>
      <c r="F396" s="101"/>
      <c r="G396" s="101"/>
      <c r="H396" s="144"/>
      <c r="I396" s="144"/>
      <c r="J396" s="144"/>
      <c r="K396" s="144"/>
      <c r="L396" s="144"/>
    </row>
    <row r="397" spans="1:12" ht="15.6" x14ac:dyDescent="0.35">
      <c r="A397" s="48"/>
      <c r="B397" s="65" t="s">
        <v>188</v>
      </c>
      <c r="C397" s="65"/>
      <c r="D397" s="65"/>
      <c r="E397" s="65"/>
      <c r="F397" s="101"/>
      <c r="G397" s="101"/>
      <c r="H397" s="331">
        <f>-(I392+I391)</f>
        <v>-966.20519999999999</v>
      </c>
      <c r="I397" s="331">
        <f>-(J392+J391)</f>
        <v>-904.17751199999998</v>
      </c>
      <c r="J397" s="331">
        <f>-(K392+K391)</f>
        <v>-838.42816272000005</v>
      </c>
      <c r="K397" s="331">
        <f>-(L392+L391)</f>
        <v>-768.73385248320005</v>
      </c>
      <c r="L397" s="331">
        <f>K397</f>
        <v>-768.73385248320005</v>
      </c>
    </row>
    <row r="398" spans="1:12" ht="15.6" x14ac:dyDescent="0.35">
      <c r="A398" s="48"/>
      <c r="B398" s="65" t="s">
        <v>189</v>
      </c>
      <c r="C398" s="65"/>
      <c r="D398" s="65"/>
      <c r="E398" s="65"/>
      <c r="F398" s="101"/>
      <c r="G398" s="101"/>
      <c r="H398" s="331">
        <f>(H393-H397)</f>
        <v>-5430.3747999999996</v>
      </c>
      <c r="I398" s="331">
        <f>(I393-I397)</f>
        <v>-6526.1972879999994</v>
      </c>
      <c r="J398" s="331">
        <f>(J393-J397)</f>
        <v>-7687.7691252799996</v>
      </c>
      <c r="K398" s="331">
        <f>(K393-K397)</f>
        <v>-8919.0352727968002</v>
      </c>
      <c r="L398" s="331">
        <f>(L393-L397)</f>
        <v>-10150.301420313601</v>
      </c>
    </row>
    <row r="399" spans="1:12" ht="15.6" x14ac:dyDescent="0.35">
      <c r="A399" s="48"/>
      <c r="B399" s="65"/>
      <c r="C399" s="65"/>
      <c r="D399" s="65"/>
      <c r="E399" s="65"/>
      <c r="F399" s="101"/>
      <c r="G399" s="101"/>
      <c r="H399" s="144"/>
      <c r="I399" s="144"/>
      <c r="J399" s="144"/>
      <c r="K399" s="144"/>
      <c r="L399" s="144"/>
    </row>
    <row r="400" spans="1:12" ht="15.6" x14ac:dyDescent="0.35">
      <c r="A400" s="48"/>
      <c r="B400" s="70"/>
      <c r="C400" s="70"/>
      <c r="D400" s="70"/>
      <c r="E400" s="70"/>
      <c r="F400" s="164"/>
      <c r="G400" s="164"/>
      <c r="H400" s="164"/>
      <c r="I400" s="164"/>
      <c r="J400" s="164"/>
      <c r="K400" s="164"/>
      <c r="L400" s="164"/>
    </row>
    <row r="401" spans="1:12" ht="15.6" x14ac:dyDescent="0.35">
      <c r="A401" s="48"/>
      <c r="B401" s="70"/>
      <c r="C401" s="70"/>
      <c r="D401" s="65"/>
      <c r="E401" s="65"/>
      <c r="F401" s="65"/>
      <c r="G401" s="65"/>
      <c r="H401" s="65"/>
      <c r="I401" s="65"/>
      <c r="J401" s="65"/>
      <c r="K401" s="65"/>
      <c r="L401" s="65"/>
    </row>
    <row r="402" spans="1:12" ht="15.6" x14ac:dyDescent="0.35">
      <c r="A402" s="48"/>
      <c r="B402" s="65"/>
      <c r="C402" s="65"/>
      <c r="D402" s="65"/>
      <c r="E402" s="65"/>
      <c r="F402" s="115"/>
      <c r="G402" s="115"/>
      <c r="H402" s="115"/>
      <c r="I402" s="115"/>
      <c r="J402" s="115"/>
      <c r="K402" s="115"/>
      <c r="L402" s="115"/>
    </row>
    <row r="403" spans="1:12" ht="28.8" x14ac:dyDescent="0.65">
      <c r="A403" s="48"/>
      <c r="B403" s="49" t="str">
        <f>Cover!$B$2</f>
        <v>Solid State PLC</v>
      </c>
      <c r="C403" s="49"/>
      <c r="D403" s="50"/>
      <c r="E403" s="51"/>
      <c r="F403" s="51"/>
      <c r="G403" s="51"/>
      <c r="H403" s="51"/>
      <c r="I403" s="51"/>
      <c r="J403" s="51"/>
      <c r="K403" s="51"/>
      <c r="L403" s="51"/>
    </row>
    <row r="404" spans="1:12" ht="21" x14ac:dyDescent="0.5">
      <c r="A404" s="48"/>
      <c r="B404" s="52" t="s">
        <v>84</v>
      </c>
      <c r="C404" s="53"/>
      <c r="D404" s="51"/>
      <c r="E404" s="51"/>
      <c r="F404" s="51"/>
      <c r="G404" s="51"/>
      <c r="H404" s="51"/>
      <c r="I404" s="51"/>
      <c r="J404" s="51"/>
      <c r="K404" s="51"/>
      <c r="L404" s="278" t="str">
        <f>"Currently Running: "&amp;CHOOSE(Assumptions!$B$10,Assumptions!$F$15,Assumptions!$F$16,Assumptions!$F$17)&amp;"Scenario"</f>
        <v>Currently Running: Upside Scenario</v>
      </c>
    </row>
    <row r="405" spans="1:12" ht="15.6" x14ac:dyDescent="0.35">
      <c r="A405" s="48"/>
      <c r="B405" s="54"/>
      <c r="C405" s="54"/>
      <c r="D405" s="54"/>
      <c r="E405" s="54"/>
      <c r="F405" s="54"/>
      <c r="G405" s="54"/>
      <c r="H405" s="54"/>
      <c r="I405" s="54"/>
      <c r="J405" s="54"/>
      <c r="K405" s="55"/>
      <c r="L405" s="55"/>
    </row>
    <row r="406" spans="1:12" ht="15.6" x14ac:dyDescent="0.35">
      <c r="A406" s="48"/>
      <c r="B406" s="55"/>
      <c r="C406" s="55"/>
      <c r="D406" s="55"/>
      <c r="E406" s="55"/>
      <c r="F406" s="56" t="s">
        <v>55</v>
      </c>
      <c r="G406" s="56"/>
      <c r="H406" s="56"/>
      <c r="I406" s="56"/>
      <c r="J406" s="56"/>
      <c r="K406" s="56"/>
      <c r="L406" s="56"/>
    </row>
    <row r="407" spans="1:12" ht="15.6" x14ac:dyDescent="0.35">
      <c r="A407" s="48"/>
      <c r="B407" s="55"/>
      <c r="C407" s="55"/>
      <c r="D407" s="55"/>
      <c r="E407" s="55"/>
      <c r="F407" s="57">
        <f>$F$7</f>
        <v>2025</v>
      </c>
      <c r="G407" s="57">
        <f>F407+1</f>
        <v>2026</v>
      </c>
      <c r="H407" s="58">
        <f>G407+1</f>
        <v>2027</v>
      </c>
      <c r="I407" s="58">
        <f t="shared" ref="I407" si="165">H407+1</f>
        <v>2028</v>
      </c>
      <c r="J407" s="58">
        <f t="shared" ref="J407" si="166">I407+1</f>
        <v>2029</v>
      </c>
      <c r="K407" s="58">
        <f t="shared" ref="K407" si="167">J407+1</f>
        <v>2030</v>
      </c>
      <c r="L407" s="58">
        <f t="shared" ref="L407" si="168">K407+1</f>
        <v>2031</v>
      </c>
    </row>
    <row r="408" spans="1:12" ht="16.2" thickBot="1" x14ac:dyDescent="0.4">
      <c r="A408" s="48"/>
      <c r="B408" s="59" t="s">
        <v>54</v>
      </c>
      <c r="C408" s="59"/>
      <c r="D408" s="59"/>
      <c r="E408" s="59"/>
      <c r="F408" s="60" t="s">
        <v>56</v>
      </c>
      <c r="G408" s="60"/>
      <c r="H408" s="61"/>
      <c r="I408" s="61"/>
      <c r="J408" s="61"/>
      <c r="K408" s="61"/>
      <c r="L408" s="61" t="s">
        <v>42</v>
      </c>
    </row>
    <row r="409" spans="1:12" ht="15.6" x14ac:dyDescent="0.35">
      <c r="A409" s="48"/>
      <c r="B409" s="55"/>
      <c r="C409" s="55"/>
      <c r="D409" s="55"/>
      <c r="E409" s="55"/>
      <c r="F409" s="165"/>
      <c r="G409" s="165"/>
      <c r="H409" s="166"/>
      <c r="I409" s="166"/>
      <c r="J409" s="166"/>
      <c r="K409" s="166"/>
      <c r="L409" s="166"/>
    </row>
    <row r="410" spans="1:12" ht="15.6" x14ac:dyDescent="0.35">
      <c r="A410" s="48"/>
      <c r="B410" s="65" t="s">
        <v>113</v>
      </c>
      <c r="C410" s="65"/>
      <c r="D410" s="65"/>
      <c r="E410" s="65"/>
      <c r="F410" s="334">
        <v>2538</v>
      </c>
      <c r="G410" s="334">
        <v>2702</v>
      </c>
      <c r="H410" s="335">
        <f>H411*H10</f>
        <v>2893.1754537000002</v>
      </c>
      <c r="I410" s="335">
        <f>I411*I10</f>
        <v>3011.6564611232402</v>
      </c>
      <c r="J410" s="335">
        <f>J411*J10</f>
        <v>3293.4082002457144</v>
      </c>
      <c r="K410" s="335">
        <f>K411*K10</f>
        <v>3586.6590838932711</v>
      </c>
      <c r="L410" s="335">
        <f>L411*L10</f>
        <v>3901.2779469677148</v>
      </c>
    </row>
    <row r="411" spans="1:12" ht="15.6" x14ac:dyDescent="0.35">
      <c r="A411" s="48"/>
      <c r="B411" s="65" t="s">
        <v>105</v>
      </c>
      <c r="C411" s="70"/>
      <c r="D411" s="70"/>
      <c r="E411" s="70"/>
      <c r="F411" s="145">
        <f>F410/F10</f>
        <v>2.0293609671848015E-2</v>
      </c>
      <c r="G411" s="145">
        <f>G410/G10</f>
        <v>1.7529063732613662E-2</v>
      </c>
      <c r="H411" s="179">
        <v>1.9E-2</v>
      </c>
      <c r="I411" s="179">
        <v>1.9E-2</v>
      </c>
      <c r="J411" s="179">
        <v>1.9E-2</v>
      </c>
      <c r="K411" s="179">
        <v>1.9E-2</v>
      </c>
      <c r="L411" s="179">
        <v>1.9E-2</v>
      </c>
    </row>
    <row r="412" spans="1:12" ht="15.6" x14ac:dyDescent="0.35">
      <c r="A412" s="48"/>
      <c r="B412" s="65"/>
      <c r="C412" s="70"/>
      <c r="D412" s="70"/>
      <c r="E412" s="70"/>
      <c r="F412" s="145"/>
      <c r="G412" s="145"/>
      <c r="H412" s="146"/>
      <c r="I412" s="146"/>
      <c r="J412" s="146"/>
      <c r="K412" s="146"/>
      <c r="L412" s="146"/>
    </row>
    <row r="413" spans="1:12" ht="15.6" x14ac:dyDescent="0.35">
      <c r="A413" s="48"/>
      <c r="B413" s="65" t="s">
        <v>114</v>
      </c>
      <c r="C413" s="70"/>
      <c r="D413" s="70"/>
      <c r="E413" s="70"/>
      <c r="F413" s="334">
        <v>1202</v>
      </c>
      <c r="G413" s="334">
        <v>1249</v>
      </c>
      <c r="H413" s="335">
        <f>H414*H10</f>
        <v>1522.723923</v>
      </c>
      <c r="I413" s="335">
        <f>I414*I10</f>
        <v>1585.0823479596002</v>
      </c>
      <c r="J413" s="335">
        <f>J414*J10</f>
        <v>1733.3727369714288</v>
      </c>
      <c r="K413" s="335">
        <f>K414*K10</f>
        <v>1887.7153073122481</v>
      </c>
      <c r="L413" s="335">
        <f>L414*L10</f>
        <v>2053.3041826145868</v>
      </c>
    </row>
    <row r="414" spans="1:12" ht="15.6" x14ac:dyDescent="0.35">
      <c r="A414" s="48"/>
      <c r="B414" s="65" t="s">
        <v>115</v>
      </c>
      <c r="C414" s="70"/>
      <c r="D414" s="70"/>
      <c r="E414" s="70"/>
      <c r="F414" s="145">
        <f>F413/F10</f>
        <v>9.6110791274867276E-3</v>
      </c>
      <c r="G414" s="145">
        <f>G413/G10</f>
        <v>8.1028129541208214E-3</v>
      </c>
      <c r="H414" s="179">
        <v>0.01</v>
      </c>
      <c r="I414" s="179">
        <v>0.01</v>
      </c>
      <c r="J414" s="179">
        <v>0.01</v>
      </c>
      <c r="K414" s="179">
        <v>0.01</v>
      </c>
      <c r="L414" s="179">
        <v>0.01</v>
      </c>
    </row>
    <row r="415" spans="1:12" ht="15.6" x14ac:dyDescent="0.35">
      <c r="A415" s="48"/>
      <c r="B415" s="70"/>
      <c r="C415" s="70"/>
      <c r="D415" s="70"/>
      <c r="E415" s="70"/>
      <c r="F415" s="117"/>
      <c r="G415" s="117"/>
      <c r="H415" s="167"/>
      <c r="I415" s="167"/>
      <c r="J415" s="167"/>
      <c r="K415" s="167"/>
      <c r="L415" s="167"/>
    </row>
    <row r="416" spans="1:12" ht="15.6" x14ac:dyDescent="0.35">
      <c r="A416" s="48"/>
      <c r="B416" s="85" t="s">
        <v>106</v>
      </c>
      <c r="C416" s="86"/>
      <c r="D416" s="87"/>
      <c r="E416" s="87"/>
      <c r="F416" s="88"/>
      <c r="G416" s="88"/>
      <c r="H416" s="89"/>
      <c r="I416" s="89"/>
      <c r="J416" s="89"/>
      <c r="K416" s="89"/>
      <c r="L416" s="90"/>
    </row>
    <row r="417" spans="1:12" ht="15.6" x14ac:dyDescent="0.35">
      <c r="A417" s="48"/>
      <c r="B417" s="70"/>
      <c r="C417" s="70"/>
      <c r="D417" s="70"/>
      <c r="E417" s="70"/>
      <c r="F417" s="117"/>
      <c r="G417" s="117"/>
      <c r="H417" s="167"/>
      <c r="I417" s="167"/>
      <c r="J417" s="167"/>
      <c r="K417" s="167"/>
      <c r="L417" s="167"/>
    </row>
    <row r="418" spans="1:12" ht="15.6" x14ac:dyDescent="0.35">
      <c r="A418" s="48"/>
      <c r="B418" s="65" t="s">
        <v>89</v>
      </c>
      <c r="C418" s="65"/>
      <c r="D418" s="65"/>
      <c r="E418" s="184"/>
      <c r="F418" s="117"/>
      <c r="G418" s="181">
        <v>10</v>
      </c>
      <c r="H418" s="118"/>
      <c r="I418" s="118"/>
      <c r="J418" s="118"/>
      <c r="K418" s="118"/>
      <c r="L418" s="118"/>
    </row>
    <row r="419" spans="1:12" ht="15.6" x14ac:dyDescent="0.35">
      <c r="A419" s="48"/>
      <c r="B419" s="65" t="s">
        <v>90</v>
      </c>
      <c r="C419" s="65"/>
      <c r="D419" s="65"/>
      <c r="E419" s="185"/>
      <c r="F419" s="117"/>
      <c r="G419" s="182" t="s">
        <v>91</v>
      </c>
      <c r="H419" s="118"/>
      <c r="I419" s="118"/>
      <c r="J419" s="118"/>
      <c r="K419" s="118"/>
      <c r="L419" s="118"/>
    </row>
    <row r="420" spans="1:12" ht="15.6" x14ac:dyDescent="0.35">
      <c r="A420" s="48"/>
      <c r="B420" s="65"/>
      <c r="C420" s="65"/>
      <c r="D420" s="65"/>
      <c r="E420" s="70"/>
      <c r="F420" s="117"/>
      <c r="G420" s="117"/>
      <c r="H420" s="168"/>
      <c r="I420" s="118"/>
      <c r="J420" s="118"/>
      <c r="K420" s="118"/>
      <c r="L420" s="118"/>
    </row>
    <row r="421" spans="1:12" ht="15.6" x14ac:dyDescent="0.35">
      <c r="A421" s="48"/>
      <c r="B421" s="65" cm="1">
        <f t="array" ref="B421:B425">TRANSPOSE(H407:L407)</f>
        <v>2027</v>
      </c>
      <c r="C421" s="335" cm="1">
        <f t="array" ref="C421:C425">TRANSPOSE(H410:L410)</f>
        <v>2893.1754537000002</v>
      </c>
      <c r="D421" s="65"/>
      <c r="E421" s="70"/>
      <c r="F421" s="117"/>
      <c r="G421" s="117"/>
      <c r="H421" s="335">
        <f>MIN(IF($B421=H$407, 0.5*$C421/$G$418, $C421/$G$418), ($C421-SUM($G421:G421)))</f>
        <v>144.658772685</v>
      </c>
      <c r="I421" s="335">
        <f>MIN(IF($B421=I$407, 0.5*$C421/$G$418, $C421/$G$418), ($C421-SUM($G421:H421)))</f>
        <v>289.31754537</v>
      </c>
      <c r="J421" s="335">
        <f>MIN(IF($B421=J$407, 0.5*$C421/$G$418, $C421/$G$418), ($C421-SUM($G421:I421)))</f>
        <v>289.31754537</v>
      </c>
      <c r="K421" s="335">
        <f>MIN(IF($B421=K$407, 0.5*$C421/$G$418, $C421/$G$418), ($C421-SUM($G421:J421)))</f>
        <v>289.31754537</v>
      </c>
      <c r="L421" s="335">
        <f>MIN(IF($B421=L$407, 0.5*$C421/$G$418, $C421/$G$418), ($C421-SUM($G421:K421)))</f>
        <v>289.31754537</v>
      </c>
    </row>
    <row r="422" spans="1:12" ht="15.6" x14ac:dyDescent="0.35">
      <c r="A422" s="48"/>
      <c r="B422" s="65">
        <v>2028</v>
      </c>
      <c r="C422" s="335">
        <v>3011.6564611232402</v>
      </c>
      <c r="D422" s="65"/>
      <c r="E422" s="70"/>
      <c r="F422" s="117"/>
      <c r="G422" s="117"/>
      <c r="H422" s="336"/>
      <c r="I422" s="335">
        <f>MIN(IF($B422=I$407, 0.5*$C422/$G$418, $C422/$G$418), ($C422-SUM($G422:H422)))</f>
        <v>150.582823056162</v>
      </c>
      <c r="J422" s="335">
        <f>MIN(IF($B422=J$407, 0.5*$C422/$G$418, $C422/$G$418), ($C422-SUM($G422:I422)))</f>
        <v>301.165646112324</v>
      </c>
      <c r="K422" s="335">
        <f>MIN(IF($B422=K$407, 0.5*$C422/$G$418, $C422/$G$418), ($C422-SUM($G422:J422)))</f>
        <v>301.165646112324</v>
      </c>
      <c r="L422" s="335">
        <f>MIN(IF($B422=L$407, 0.5*$C422/$G$418, $C422/$G$418), ($C422-SUM($G422:K422)))</f>
        <v>301.165646112324</v>
      </c>
    </row>
    <row r="423" spans="1:12" ht="15.6" x14ac:dyDescent="0.35">
      <c r="A423" s="48"/>
      <c r="B423" s="65">
        <v>2029</v>
      </c>
      <c r="C423" s="335">
        <v>3293.4082002457144</v>
      </c>
      <c r="D423" s="65"/>
      <c r="E423" s="70"/>
      <c r="F423" s="117"/>
      <c r="G423" s="117"/>
      <c r="H423" s="336"/>
      <c r="I423" s="336"/>
      <c r="J423" s="335">
        <f>MIN(IF($B423=J$407, 0.5*$C423/$G$418, $C423/$G$418), ($C423-SUM($G423:I423)))</f>
        <v>164.67041001228571</v>
      </c>
      <c r="K423" s="335">
        <f>MIN(IF($B423=K$407, 0.5*$C423/$G$418, $C423/$G$418), ($C423-SUM($G423:J423)))</f>
        <v>329.34082002457143</v>
      </c>
      <c r="L423" s="335">
        <f>MIN(IF($B423=L$407, 0.5*$C423/$G$418, $C423/$G$418), ($C423-SUM($G423:K423)))</f>
        <v>329.34082002457143</v>
      </c>
    </row>
    <row r="424" spans="1:12" ht="15.6" x14ac:dyDescent="0.35">
      <c r="A424" s="48"/>
      <c r="B424" s="65">
        <v>2030</v>
      </c>
      <c r="C424" s="335">
        <v>3586.6590838932711</v>
      </c>
      <c r="D424" s="70"/>
      <c r="E424" s="70"/>
      <c r="F424" s="117"/>
      <c r="G424" s="117"/>
      <c r="H424" s="336"/>
      <c r="I424" s="336"/>
      <c r="J424" s="336"/>
      <c r="K424" s="335">
        <f>MIN(IF($B424=K$407, 0.5*$C424/$G$418, $C424/$G$418), ($C424-SUM($G424:J424)))</f>
        <v>179.33295419466356</v>
      </c>
      <c r="L424" s="335">
        <f>MIN(IF($B424=L$407, 0.5*$C424/$G$418, $C424/$G$418), ($C424-SUM($G424:K424)))</f>
        <v>358.66590838932711</v>
      </c>
    </row>
    <row r="425" spans="1:12" ht="15.6" x14ac:dyDescent="0.35">
      <c r="A425" s="48"/>
      <c r="B425" s="65">
        <v>2031</v>
      </c>
      <c r="C425" s="335">
        <v>3901.2779469677148</v>
      </c>
      <c r="D425" s="65"/>
      <c r="E425" s="70"/>
      <c r="F425" s="117"/>
      <c r="G425" s="117"/>
      <c r="H425" s="336"/>
      <c r="I425" s="336"/>
      <c r="J425" s="336"/>
      <c r="K425" s="336"/>
      <c r="L425" s="335">
        <f>MIN(IF($B425=L$407, 0.5*$C425/$G$418, $C425/$G$418), ($C425-SUM($G425:K425)))</f>
        <v>195.06389734838575</v>
      </c>
    </row>
    <row r="426" spans="1:12" ht="15.6" x14ac:dyDescent="0.35">
      <c r="A426" s="48"/>
      <c r="B426" s="132" t="s">
        <v>107</v>
      </c>
      <c r="C426" s="131"/>
      <c r="D426" s="132"/>
      <c r="E426" s="131"/>
      <c r="F426" s="183"/>
      <c r="G426" s="183"/>
      <c r="H426" s="337">
        <f t="shared" ref="H426:K426" si="169">SUM(H421:H425)</f>
        <v>144.658772685</v>
      </c>
      <c r="I426" s="337">
        <f t="shared" si="169"/>
        <v>439.900368426162</v>
      </c>
      <c r="J426" s="337">
        <f t="shared" si="169"/>
        <v>755.15360149460969</v>
      </c>
      <c r="K426" s="337">
        <f t="shared" si="169"/>
        <v>1099.1569657015589</v>
      </c>
      <c r="L426" s="337">
        <f>SUM(L421:L425)</f>
        <v>1473.5538172446084</v>
      </c>
    </row>
    <row r="427" spans="1:12" ht="15.6" x14ac:dyDescent="0.35">
      <c r="A427" s="48"/>
      <c r="B427" s="65" t="s">
        <v>108</v>
      </c>
      <c r="C427" s="65"/>
      <c r="D427" s="65"/>
      <c r="E427" s="70"/>
      <c r="F427" s="117"/>
      <c r="G427" s="117"/>
      <c r="H427" s="335">
        <f>MIN($G$58/$G$418, ($G$58 - SUM($G$427:G427)))</f>
        <v>635.4</v>
      </c>
      <c r="I427" s="335">
        <f>MIN($G$58/$G$418, ($G$58 - SUM($G$427:H427)))</f>
        <v>635.4</v>
      </c>
      <c r="J427" s="335">
        <f>MIN($G$58/$G$418, ($G$58 - SUM($G$427:I427)))</f>
        <v>635.4</v>
      </c>
      <c r="K427" s="335">
        <f>MIN($G$58/$G$418, ($G$58 - SUM($G$427:J427)))</f>
        <v>635.4</v>
      </c>
      <c r="L427" s="335">
        <f>MIN($G$58/$G$418, ($G$58 - SUM($G$427:K427)))</f>
        <v>635.4</v>
      </c>
    </row>
    <row r="428" spans="1:12" ht="15.6" x14ac:dyDescent="0.35">
      <c r="A428" s="48"/>
      <c r="B428" s="132" t="s">
        <v>19</v>
      </c>
      <c r="C428" s="132"/>
      <c r="D428" s="132"/>
      <c r="E428" s="132"/>
      <c r="F428" s="175"/>
      <c r="G428" s="175"/>
      <c r="H428" s="337">
        <f>SUM(H426:H427)</f>
        <v>780.05877268500001</v>
      </c>
      <c r="I428" s="337">
        <f t="shared" ref="I428:L428" si="170">SUM(I426:I427)</f>
        <v>1075.3003684261621</v>
      </c>
      <c r="J428" s="337">
        <f t="shared" si="170"/>
        <v>1390.5536014946097</v>
      </c>
      <c r="K428" s="337">
        <f t="shared" si="170"/>
        <v>1734.556965701559</v>
      </c>
      <c r="L428" s="337">
        <f t="shared" si="170"/>
        <v>2108.9538172446082</v>
      </c>
    </row>
    <row r="429" spans="1:12" ht="15.6" x14ac:dyDescent="0.35">
      <c r="A429" s="48"/>
      <c r="B429" s="65"/>
      <c r="C429" s="65"/>
      <c r="D429" s="65"/>
      <c r="E429" s="65"/>
      <c r="F429" s="92"/>
      <c r="G429" s="92"/>
      <c r="H429" s="169"/>
      <c r="I429" s="169"/>
      <c r="J429" s="169"/>
      <c r="K429" s="169"/>
      <c r="L429" s="169"/>
    </row>
    <row r="430" spans="1:12" ht="15.6" x14ac:dyDescent="0.35">
      <c r="A430" s="48"/>
      <c r="B430" s="85" t="s">
        <v>109</v>
      </c>
      <c r="C430" s="86"/>
      <c r="D430" s="87"/>
      <c r="E430" s="87"/>
      <c r="F430" s="88"/>
      <c r="G430" s="88"/>
      <c r="H430" s="89"/>
      <c r="I430" s="89"/>
      <c r="J430" s="89"/>
      <c r="K430" s="89"/>
      <c r="L430" s="90"/>
    </row>
    <row r="431" spans="1:12" ht="15.6" x14ac:dyDescent="0.35">
      <c r="A431" s="48"/>
      <c r="B431" s="70"/>
      <c r="C431" s="70"/>
      <c r="D431" s="70"/>
      <c r="E431" s="70"/>
      <c r="F431" s="158"/>
      <c r="G431" s="158"/>
      <c r="H431" s="102"/>
      <c r="I431" s="102"/>
      <c r="J431" s="102"/>
      <c r="K431" s="102"/>
      <c r="L431" s="102"/>
    </row>
    <row r="432" spans="1:12" ht="15.6" x14ac:dyDescent="0.35">
      <c r="A432" s="48"/>
      <c r="B432" s="65" t="s">
        <v>110</v>
      </c>
      <c r="C432" s="70"/>
      <c r="D432" s="70"/>
      <c r="E432" s="70"/>
      <c r="F432" s="70"/>
      <c r="G432" s="158"/>
      <c r="H432" s="193">
        <f>G58</f>
        <v>6354</v>
      </c>
      <c r="I432" s="193">
        <f>H435</f>
        <v>8467.1166810149989</v>
      </c>
      <c r="J432" s="193">
        <f t="shared" ref="J432:L432" si="171">I435</f>
        <v>10403.472773712077</v>
      </c>
      <c r="K432" s="193">
        <f t="shared" si="171"/>
        <v>12306.327372463182</v>
      </c>
      <c r="L432" s="193">
        <f t="shared" si="171"/>
        <v>14158.429490654895</v>
      </c>
    </row>
    <row r="433" spans="1:12" ht="15.6" x14ac:dyDescent="0.35">
      <c r="A433" s="48"/>
      <c r="B433" s="65" t="s">
        <v>20</v>
      </c>
      <c r="C433" s="70"/>
      <c r="D433" s="70"/>
      <c r="E433" s="70"/>
      <c r="F433" s="70"/>
      <c r="G433" s="158"/>
      <c r="H433" s="193">
        <f>H410</f>
        <v>2893.1754537000002</v>
      </c>
      <c r="I433" s="193">
        <f t="shared" ref="I433:L433" si="172">I410</f>
        <v>3011.6564611232402</v>
      </c>
      <c r="J433" s="193">
        <f t="shared" si="172"/>
        <v>3293.4082002457144</v>
      </c>
      <c r="K433" s="193">
        <f t="shared" si="172"/>
        <v>3586.6590838932711</v>
      </c>
      <c r="L433" s="193">
        <f t="shared" si="172"/>
        <v>3901.2779469677148</v>
      </c>
    </row>
    <row r="434" spans="1:12" ht="15.6" x14ac:dyDescent="0.35">
      <c r="A434" s="48"/>
      <c r="B434" s="126" t="s">
        <v>18</v>
      </c>
      <c r="C434" s="187"/>
      <c r="D434" s="187"/>
      <c r="E434" s="187"/>
      <c r="F434" s="187"/>
      <c r="G434" s="188"/>
      <c r="H434" s="329">
        <f>-H428</f>
        <v>-780.05877268500001</v>
      </c>
      <c r="I434" s="329">
        <f t="shared" ref="I434:L434" si="173">-I428</f>
        <v>-1075.3003684261621</v>
      </c>
      <c r="J434" s="329">
        <f t="shared" si="173"/>
        <v>-1390.5536014946097</v>
      </c>
      <c r="K434" s="329">
        <f t="shared" si="173"/>
        <v>-1734.556965701559</v>
      </c>
      <c r="L434" s="329">
        <f t="shared" si="173"/>
        <v>-2108.9538172446082</v>
      </c>
    </row>
    <row r="435" spans="1:12" ht="15.6" x14ac:dyDescent="0.35">
      <c r="A435" s="48"/>
      <c r="B435" s="65" t="s">
        <v>111</v>
      </c>
      <c r="C435" s="65"/>
      <c r="D435" s="65"/>
      <c r="E435" s="65"/>
      <c r="F435" s="65"/>
      <c r="G435" s="92"/>
      <c r="H435" s="193">
        <f>SUM(H432:H434)</f>
        <v>8467.1166810149989</v>
      </c>
      <c r="I435" s="193">
        <f>SUM(I432:I434)</f>
        <v>10403.472773712077</v>
      </c>
      <c r="J435" s="193">
        <f>SUM(J432:J434)</f>
        <v>12306.327372463182</v>
      </c>
      <c r="K435" s="193">
        <f>SUM(K432:K434)</f>
        <v>14158.429490654895</v>
      </c>
      <c r="L435" s="193">
        <f>SUM(L432:L434)</f>
        <v>15950.753620378</v>
      </c>
    </row>
    <row r="436" spans="1:12" ht="15.6" x14ac:dyDescent="0.35">
      <c r="A436" s="48"/>
      <c r="B436" s="70"/>
      <c r="C436" s="70"/>
      <c r="D436" s="70"/>
      <c r="E436" s="70"/>
      <c r="F436" s="70"/>
      <c r="G436" s="102"/>
      <c r="H436" s="102"/>
      <c r="I436" s="102"/>
      <c r="J436" s="102"/>
      <c r="K436" s="102"/>
      <c r="L436" s="102"/>
    </row>
    <row r="437" spans="1:12" ht="15.6" x14ac:dyDescent="0.35">
      <c r="A437" s="48"/>
      <c r="B437" s="85" t="s">
        <v>27</v>
      </c>
      <c r="C437" s="86"/>
      <c r="D437" s="87"/>
      <c r="E437" s="87"/>
      <c r="F437" s="88"/>
      <c r="G437" s="88"/>
      <c r="H437" s="89"/>
      <c r="I437" s="89"/>
      <c r="J437" s="89"/>
      <c r="K437" s="89"/>
      <c r="L437" s="90"/>
    </row>
    <row r="438" spans="1:12" ht="15.6" x14ac:dyDescent="0.35">
      <c r="A438" s="48"/>
      <c r="B438" s="96"/>
      <c r="C438" s="70"/>
      <c r="D438" s="65"/>
      <c r="E438" s="65"/>
      <c r="F438" s="91"/>
      <c r="G438" s="91"/>
      <c r="H438" s="92"/>
      <c r="I438" s="92"/>
      <c r="J438" s="92"/>
      <c r="K438" s="92"/>
      <c r="L438" s="92"/>
    </row>
    <row r="439" spans="1:12" ht="15.6" x14ac:dyDescent="0.35">
      <c r="A439" s="48"/>
      <c r="B439" s="70" t="s">
        <v>266</v>
      </c>
      <c r="C439" s="70"/>
      <c r="D439" s="65"/>
      <c r="E439" s="65"/>
      <c r="F439" s="91"/>
      <c r="G439" s="91"/>
      <c r="H439" s="92"/>
      <c r="I439" s="92"/>
      <c r="J439" s="92"/>
      <c r="K439" s="92"/>
      <c r="L439" s="92"/>
    </row>
    <row r="440" spans="1:12" ht="15.6" x14ac:dyDescent="0.35">
      <c r="A440" s="48"/>
      <c r="B440" s="65" t="s">
        <v>267</v>
      </c>
      <c r="C440" s="70"/>
      <c r="D440" s="65"/>
      <c r="E440" s="65"/>
      <c r="F440" s="91"/>
      <c r="G440" s="91"/>
      <c r="H440" s="92"/>
      <c r="I440" s="92"/>
      <c r="J440" s="92"/>
      <c r="K440" s="92"/>
      <c r="L440" s="92"/>
    </row>
    <row r="441" spans="1:12" ht="15.6" x14ac:dyDescent="0.35">
      <c r="A441" s="48"/>
      <c r="B441" s="65"/>
      <c r="C441" s="65"/>
      <c r="D441" s="65"/>
      <c r="E441" s="70"/>
      <c r="F441" s="70"/>
      <c r="G441" s="158"/>
      <c r="H441" s="101"/>
      <c r="I441" s="101"/>
      <c r="J441" s="101"/>
      <c r="K441" s="101"/>
      <c r="L441" s="101"/>
    </row>
    <row r="442" spans="1:12" ht="15.6" x14ac:dyDescent="0.35">
      <c r="A442" s="48"/>
      <c r="B442" s="65" t="s">
        <v>112</v>
      </c>
      <c r="C442" s="65"/>
      <c r="D442" s="65"/>
      <c r="E442" s="70"/>
      <c r="F442" s="70"/>
      <c r="G442" s="181">
        <v>5</v>
      </c>
      <c r="H442" s="118"/>
      <c r="I442" s="118"/>
      <c r="J442" s="118"/>
      <c r="K442" s="118"/>
      <c r="L442" s="118"/>
    </row>
    <row r="443" spans="1:12" ht="15.6" x14ac:dyDescent="0.35">
      <c r="A443" s="48"/>
      <c r="B443" s="70" t="s">
        <v>90</v>
      </c>
      <c r="C443" s="70"/>
      <c r="D443" s="70"/>
      <c r="E443" s="70"/>
      <c r="F443" s="70"/>
      <c r="G443" s="182" t="s">
        <v>91</v>
      </c>
      <c r="H443" s="102"/>
      <c r="I443" s="102"/>
      <c r="J443" s="102"/>
      <c r="K443" s="102"/>
      <c r="L443" s="102"/>
    </row>
    <row r="444" spans="1:12" ht="15.6" x14ac:dyDescent="0.35">
      <c r="A444" s="48"/>
      <c r="B444" s="65"/>
      <c r="C444" s="65"/>
      <c r="D444" s="65"/>
      <c r="E444" s="65"/>
      <c r="F444" s="92"/>
      <c r="G444" s="92"/>
      <c r="H444" s="92"/>
      <c r="I444" s="92"/>
      <c r="J444" s="92"/>
      <c r="K444" s="92"/>
      <c r="L444" s="92"/>
    </row>
    <row r="445" spans="1:12" ht="15.6" x14ac:dyDescent="0.35">
      <c r="A445" s="48"/>
      <c r="B445" s="65" cm="1">
        <f t="array" ref="B445:B449">TRANSPOSE(H407:L407)</f>
        <v>2027</v>
      </c>
      <c r="C445" s="180" cm="1">
        <f t="array" ref="C445:C449">TRANSPOSE(H413:L413)</f>
        <v>1522.723923</v>
      </c>
      <c r="D445" s="65"/>
      <c r="E445" s="65"/>
      <c r="F445" s="92"/>
      <c r="G445" s="92"/>
      <c r="H445" s="335">
        <f>MIN(IF($B445=H$407, 0.5*$C445/$G$442, $C445/$G$418), ($C445-SUM($G445:G445)))</f>
        <v>152.27239230000001</v>
      </c>
      <c r="I445" s="335">
        <f>MIN(IF($B445=I$407, 0.5*$C445/$G$442, $C445/$G$442), ($C445-SUM($G445:H445)))</f>
        <v>304.54478460000001</v>
      </c>
      <c r="J445" s="335">
        <f>MIN(IF($B445=J$407, 0.5*$C445/$G$442, $C445/$G$442), ($C445-SUM($G445:I445)))</f>
        <v>304.54478460000001</v>
      </c>
      <c r="K445" s="335">
        <f>MIN(IF($B445=K$407, 0.5*$C445/$G$442, $C445/$G$442), ($C445-SUM($G445:J445)))</f>
        <v>304.54478460000001</v>
      </c>
      <c r="L445" s="335">
        <f>MIN(IF($B445=L$407, 0.5*$C445/$G$442, $C445/$G$442), ($C445-SUM($G445:K445)))</f>
        <v>304.54478460000001</v>
      </c>
    </row>
    <row r="446" spans="1:12" ht="15.6" x14ac:dyDescent="0.35">
      <c r="A446" s="48"/>
      <c r="B446" s="65">
        <v>2028</v>
      </c>
      <c r="C446" s="180">
        <v>1585.0823479596002</v>
      </c>
      <c r="D446" s="65"/>
      <c r="E446" s="65"/>
      <c r="F446" s="92"/>
      <c r="G446" s="92"/>
      <c r="H446" s="336"/>
      <c r="I446" s="335">
        <f>MIN(IF($B446=I$407, 0.5*$C446/$G$442, $C446/$G$442), ($C446-SUM($G446:H446)))</f>
        <v>158.50823479596002</v>
      </c>
      <c r="J446" s="335">
        <f>MIN(IF($B446=J$407, 0.5*$C446/$G$442, $C446/$G$442), ($C446-SUM($G446:I446)))</f>
        <v>317.01646959192004</v>
      </c>
      <c r="K446" s="335">
        <f>MIN(IF($B446=K$407, 0.5*$C446/$G$442, $C446/$G$442), ($C446-SUM($G446:J446)))</f>
        <v>317.01646959192004</v>
      </c>
      <c r="L446" s="335">
        <f>MIN(IF($B446=L$407, 0.5*$C446/$G$442, $C446/$G$442), ($C446-SUM($G446:K446)))</f>
        <v>317.01646959192004</v>
      </c>
    </row>
    <row r="447" spans="1:12" ht="15.6" x14ac:dyDescent="0.35">
      <c r="A447" s="48"/>
      <c r="B447" s="65">
        <v>2029</v>
      </c>
      <c r="C447" s="180">
        <v>1733.3727369714288</v>
      </c>
      <c r="D447" s="65"/>
      <c r="E447" s="65"/>
      <c r="F447" s="92"/>
      <c r="G447" s="92"/>
      <c r="H447" s="336"/>
      <c r="I447" s="336"/>
      <c r="J447" s="335">
        <f>MIN(IF($B447=J$407, 0.5*$C447/$G$442, $C447/$G$442), ($C447-SUM($G447:I447)))</f>
        <v>173.33727369714288</v>
      </c>
      <c r="K447" s="335">
        <f>MIN(IF($B447=K$407, 0.5*$C447/$G$442, $C447/$G$442), ($C447-SUM($G447:J447)))</f>
        <v>346.67454739428575</v>
      </c>
      <c r="L447" s="335">
        <f>MIN(IF($B447=L$407, 0.5*$C447/$G$442, $C447/$G$442), ($C447-SUM($G447:K447)))</f>
        <v>346.67454739428575</v>
      </c>
    </row>
    <row r="448" spans="1:12" ht="15.6" x14ac:dyDescent="0.35">
      <c r="A448" s="48"/>
      <c r="B448" s="65">
        <v>2030</v>
      </c>
      <c r="C448" s="180">
        <v>1887.7153073122481</v>
      </c>
      <c r="D448" s="65"/>
      <c r="E448" s="65"/>
      <c r="F448" s="91"/>
      <c r="G448" s="91"/>
      <c r="H448" s="336"/>
      <c r="I448" s="336"/>
      <c r="J448" s="336"/>
      <c r="K448" s="335">
        <f>MIN(IF($B448=K$407, 0.5*$C448/$G$442, $C448/$G$442), ($C448-SUM($G448:J448)))</f>
        <v>188.7715307312248</v>
      </c>
      <c r="L448" s="335">
        <f>MIN(IF($B448=L$407, 0.5*$C448/$G$442, $C448/$G$442), ($C448-SUM($G448:K448)))</f>
        <v>377.5430614624496</v>
      </c>
    </row>
    <row r="449" spans="1:12" ht="15.6" x14ac:dyDescent="0.35">
      <c r="A449" s="48"/>
      <c r="B449" s="65">
        <v>2031</v>
      </c>
      <c r="C449" s="180">
        <v>2053.3041826145868</v>
      </c>
      <c r="D449" s="65"/>
      <c r="E449" s="65"/>
      <c r="F449" s="91"/>
      <c r="G449" s="91"/>
      <c r="H449" s="336"/>
      <c r="I449" s="336"/>
      <c r="J449" s="336"/>
      <c r="K449" s="336"/>
      <c r="L449" s="335">
        <f>MIN(IF($B449=L$407, 0.5*$C449/$G$442, $C449/$G$418), ($C449-SUM($G449:K449)))</f>
        <v>205.33041826145868</v>
      </c>
    </row>
    <row r="450" spans="1:12" ht="15.6" x14ac:dyDescent="0.35">
      <c r="A450" s="48"/>
      <c r="B450" s="132" t="s">
        <v>116</v>
      </c>
      <c r="C450" s="131"/>
      <c r="D450" s="131"/>
      <c r="E450" s="131"/>
      <c r="F450" s="186"/>
      <c r="G450" s="186"/>
      <c r="H450" s="337">
        <f t="shared" ref="H450:K450" si="174">SUM(H445:H449)</f>
        <v>152.27239230000001</v>
      </c>
      <c r="I450" s="337">
        <f t="shared" si="174"/>
        <v>463.05301939596006</v>
      </c>
      <c r="J450" s="337">
        <f t="shared" si="174"/>
        <v>794.89852788906296</v>
      </c>
      <c r="K450" s="337">
        <f t="shared" si="174"/>
        <v>1157.0073323174306</v>
      </c>
      <c r="L450" s="337">
        <f>SUM(L445:L449)</f>
        <v>1551.1092813101138</v>
      </c>
    </row>
    <row r="451" spans="1:12" ht="15.6" x14ac:dyDescent="0.35">
      <c r="A451" s="48"/>
      <c r="B451" s="126" t="s">
        <v>117</v>
      </c>
      <c r="C451" s="187"/>
      <c r="D451" s="187"/>
      <c r="E451" s="187"/>
      <c r="F451" s="188"/>
      <c r="G451" s="188"/>
      <c r="H451" s="335">
        <f>MIN($H$458/$G$442, ($H$458 - SUM($G$451:G451)))</f>
        <v>1562.2</v>
      </c>
      <c r="I451" s="335">
        <f>MIN($H$458/$G$442, ($H$458 - SUM($G$451:H451)))</f>
        <v>1562.2</v>
      </c>
      <c r="J451" s="335">
        <f>MIN($H$458/$G$442, ($H$458 - SUM($G$451:I451)))</f>
        <v>1562.2</v>
      </c>
      <c r="K451" s="335">
        <f>MIN($H$458/$G$442, ($H$458 - SUM($G$451:J451)))</f>
        <v>1562.2</v>
      </c>
      <c r="L451" s="335">
        <f>MIN($H$458/$G$442, ($H$458 - SUM($G$451:K451)))</f>
        <v>1562.1999999999998</v>
      </c>
    </row>
    <row r="452" spans="1:12" ht="15.6" x14ac:dyDescent="0.35">
      <c r="A452" s="48"/>
      <c r="B452" s="65" t="s">
        <v>135</v>
      </c>
      <c r="C452" s="70"/>
      <c r="D452" s="70"/>
      <c r="E452" s="70"/>
      <c r="F452" s="91"/>
      <c r="G452" s="91"/>
      <c r="H452" s="337">
        <f>SUM(H450:H451)</f>
        <v>1714.4723923000001</v>
      </c>
      <c r="I452" s="337">
        <f t="shared" ref="I452:L452" si="175">SUM(I450:I451)</f>
        <v>2025.2530193959601</v>
      </c>
      <c r="J452" s="337">
        <f t="shared" si="175"/>
        <v>2357.098527889063</v>
      </c>
      <c r="K452" s="337">
        <f t="shared" si="175"/>
        <v>2719.2073323174309</v>
      </c>
      <c r="L452" s="337">
        <f t="shared" si="175"/>
        <v>3113.3092813101139</v>
      </c>
    </row>
    <row r="453" spans="1:12" ht="15.6" x14ac:dyDescent="0.35">
      <c r="A453" s="48"/>
      <c r="B453" s="70"/>
      <c r="C453" s="70"/>
      <c r="D453" s="70"/>
      <c r="E453" s="70"/>
      <c r="F453" s="158"/>
      <c r="G453" s="158"/>
      <c r="H453" s="102"/>
      <c r="I453" s="102"/>
      <c r="J453" s="102"/>
      <c r="K453" s="102"/>
      <c r="L453" s="102"/>
    </row>
    <row r="454" spans="1:12" ht="15.6" x14ac:dyDescent="0.35">
      <c r="A454" s="48"/>
      <c r="B454" s="85" t="s">
        <v>118</v>
      </c>
      <c r="C454" s="86"/>
      <c r="D454" s="87"/>
      <c r="E454" s="87"/>
      <c r="F454" s="88"/>
      <c r="G454" s="88"/>
      <c r="H454" s="89"/>
      <c r="I454" s="89"/>
      <c r="J454" s="89"/>
      <c r="K454" s="89"/>
      <c r="L454" s="90"/>
    </row>
    <row r="455" spans="1:12" ht="15.6" x14ac:dyDescent="0.35">
      <c r="A455" s="48"/>
      <c r="B455" s="70"/>
      <c r="C455" s="70"/>
      <c r="D455" s="70"/>
      <c r="E455" s="70"/>
      <c r="F455" s="158"/>
      <c r="G455" s="158"/>
      <c r="H455" s="102"/>
      <c r="I455" s="102"/>
      <c r="J455" s="102"/>
      <c r="K455" s="102"/>
      <c r="L455" s="102"/>
    </row>
    <row r="456" spans="1:12" ht="15.6" x14ac:dyDescent="0.35">
      <c r="A456" s="48"/>
      <c r="B456" s="65" t="s">
        <v>263</v>
      </c>
      <c r="C456" s="70"/>
      <c r="D456" s="70"/>
      <c r="E456" s="70"/>
      <c r="F456" s="70"/>
      <c r="G456" s="158"/>
      <c r="H456" s="193">
        <f>G59</f>
        <v>34643</v>
      </c>
      <c r="I456" s="193">
        <f>H462</f>
        <v>34451.251530699999</v>
      </c>
      <c r="J456" s="193">
        <f t="shared" ref="J456:L456" si="176">I462</f>
        <v>34011.080859263639</v>
      </c>
      <c r="K456" s="193">
        <f t="shared" si="176"/>
        <v>33387.355068346005</v>
      </c>
      <c r="L456" s="193">
        <f t="shared" si="176"/>
        <v>32555.863043340822</v>
      </c>
    </row>
    <row r="457" spans="1:12" ht="15.6" x14ac:dyDescent="0.35">
      <c r="A457" s="48"/>
      <c r="B457" s="74" t="s">
        <v>261</v>
      </c>
      <c r="C457" s="78"/>
      <c r="D457" s="78"/>
      <c r="E457" s="78"/>
      <c r="F457" s="78"/>
      <c r="G457" s="207"/>
      <c r="H457" s="338">
        <v>26832</v>
      </c>
      <c r="I457" s="315">
        <f>H457</f>
        <v>26832</v>
      </c>
      <c r="J457" s="315">
        <f t="shared" ref="J457:L457" si="177">I457</f>
        <v>26832</v>
      </c>
      <c r="K457" s="315">
        <f t="shared" si="177"/>
        <v>26832</v>
      </c>
      <c r="L457" s="315">
        <f t="shared" si="177"/>
        <v>26832</v>
      </c>
    </row>
    <row r="458" spans="1:12" ht="15.6" x14ac:dyDescent="0.35">
      <c r="A458" s="48"/>
      <c r="B458" s="65" t="s">
        <v>262</v>
      </c>
      <c r="C458" s="70"/>
      <c r="D458" s="70"/>
      <c r="E458" s="70"/>
      <c r="F458" s="70"/>
      <c r="G458" s="158"/>
      <c r="H458" s="193">
        <f>H456-H457</f>
        <v>7811</v>
      </c>
      <c r="I458" s="193">
        <f t="shared" ref="I458:L458" si="178">I456-I457</f>
        <v>7619.2515306999994</v>
      </c>
      <c r="J458" s="193">
        <f t="shared" si="178"/>
        <v>7179.0808592636386</v>
      </c>
      <c r="K458" s="193">
        <f t="shared" si="178"/>
        <v>6555.3550683460053</v>
      </c>
      <c r="L458" s="193">
        <f t="shared" si="178"/>
        <v>5723.8630433408216</v>
      </c>
    </row>
    <row r="459" spans="1:12" ht="15.6" x14ac:dyDescent="0.35">
      <c r="A459" s="48"/>
      <c r="B459" s="65" t="s">
        <v>28</v>
      </c>
      <c r="C459" s="70"/>
      <c r="D459" s="70"/>
      <c r="E459" s="70"/>
      <c r="F459" s="70"/>
      <c r="G459" s="158"/>
      <c r="H459" s="193">
        <f>H413</f>
        <v>1522.723923</v>
      </c>
      <c r="I459" s="193">
        <f>I413</f>
        <v>1585.0823479596002</v>
      </c>
      <c r="J459" s="193">
        <f>J413</f>
        <v>1733.3727369714288</v>
      </c>
      <c r="K459" s="193">
        <f>K413</f>
        <v>1887.7153073122481</v>
      </c>
      <c r="L459" s="193">
        <f>L413</f>
        <v>2053.3041826145868</v>
      </c>
    </row>
    <row r="460" spans="1:12" ht="15.6" x14ac:dyDescent="0.35">
      <c r="A460" s="48"/>
      <c r="B460" s="65" t="s">
        <v>27</v>
      </c>
      <c r="C460" s="70"/>
      <c r="D460" s="70"/>
      <c r="E460" s="70"/>
      <c r="F460" s="70"/>
      <c r="G460" s="158"/>
      <c r="H460" s="193">
        <f>-H452</f>
        <v>-1714.4723923000001</v>
      </c>
      <c r="I460" s="193">
        <f t="shared" ref="I460:L460" si="179">-I452</f>
        <v>-2025.2530193959601</v>
      </c>
      <c r="J460" s="193">
        <f t="shared" si="179"/>
        <v>-2357.098527889063</v>
      </c>
      <c r="K460" s="193">
        <f t="shared" si="179"/>
        <v>-2719.2073323174309</v>
      </c>
      <c r="L460" s="193">
        <f t="shared" si="179"/>
        <v>-3113.3092813101139</v>
      </c>
    </row>
    <row r="461" spans="1:12" ht="15.6" x14ac:dyDescent="0.35">
      <c r="A461" s="48"/>
      <c r="B461" s="156" t="s">
        <v>264</v>
      </c>
      <c r="C461" s="156"/>
      <c r="D461" s="156"/>
      <c r="E461" s="156"/>
      <c r="F461" s="156"/>
      <c r="G461" s="203"/>
      <c r="H461" s="328">
        <f>SUM(H458:H460)</f>
        <v>7619.2515306999994</v>
      </c>
      <c r="I461" s="328">
        <f t="shared" ref="I461:L461" si="180">SUM(I458:I460)</f>
        <v>7179.0808592636395</v>
      </c>
      <c r="J461" s="328">
        <f t="shared" si="180"/>
        <v>6555.3550683460044</v>
      </c>
      <c r="K461" s="328">
        <f t="shared" si="180"/>
        <v>5723.8630433408225</v>
      </c>
      <c r="L461" s="328">
        <f t="shared" si="180"/>
        <v>4663.857944645295</v>
      </c>
    </row>
    <row r="462" spans="1:12" ht="15.6" x14ac:dyDescent="0.35">
      <c r="A462" s="48"/>
      <c r="B462" s="65" t="s">
        <v>265</v>
      </c>
      <c r="C462" s="70"/>
      <c r="D462" s="70"/>
      <c r="E462" s="70"/>
      <c r="F462" s="158"/>
      <c r="G462" s="158"/>
      <c r="H462" s="193">
        <f>H461+H457</f>
        <v>34451.251530699999</v>
      </c>
      <c r="I462" s="193">
        <f t="shared" ref="I462:L462" si="181">I461+I457</f>
        <v>34011.080859263639</v>
      </c>
      <c r="J462" s="193">
        <f t="shared" si="181"/>
        <v>33387.355068346005</v>
      </c>
      <c r="K462" s="193">
        <f t="shared" si="181"/>
        <v>32555.863043340822</v>
      </c>
      <c r="L462" s="193">
        <f t="shared" si="181"/>
        <v>31495.857944645293</v>
      </c>
    </row>
    <row r="463" spans="1:12" ht="15.6" x14ac:dyDescent="0.35">
      <c r="A463" s="48"/>
      <c r="B463" s="48"/>
      <c r="C463" s="48"/>
      <c r="D463" s="48"/>
      <c r="E463" s="48"/>
      <c r="F463" s="110"/>
      <c r="G463" s="110"/>
      <c r="H463" s="110"/>
      <c r="I463" s="110"/>
      <c r="J463" s="110"/>
      <c r="K463" s="110"/>
      <c r="L463" s="110"/>
    </row>
    <row r="464" spans="1:12" ht="15.6" x14ac:dyDescent="0.35">
      <c r="A464" s="48"/>
      <c r="B464" s="48"/>
      <c r="C464" s="48"/>
      <c r="D464" s="48"/>
      <c r="E464" s="48"/>
      <c r="F464" s="110"/>
      <c r="G464" s="110"/>
      <c r="H464" s="110"/>
      <c r="I464" s="110"/>
      <c r="J464" s="110"/>
      <c r="K464" s="110"/>
      <c r="L464" s="110"/>
    </row>
    <row r="465" spans="1:12" ht="28.8" x14ac:dyDescent="0.65">
      <c r="A465" s="48"/>
      <c r="B465" s="49" t="str">
        <f>Cover!$B$2</f>
        <v>Solid State PLC</v>
      </c>
      <c r="C465" s="49"/>
      <c r="D465" s="50"/>
      <c r="E465" s="51"/>
      <c r="F465" s="51"/>
      <c r="G465" s="51"/>
      <c r="H465" s="51"/>
      <c r="I465" s="51"/>
      <c r="J465" s="51"/>
      <c r="K465" s="51"/>
      <c r="L465" s="51"/>
    </row>
    <row r="466" spans="1:12" ht="21" x14ac:dyDescent="0.5">
      <c r="A466" s="48"/>
      <c r="B466" s="52" t="s">
        <v>137</v>
      </c>
      <c r="C466" s="53"/>
      <c r="D466" s="51"/>
      <c r="E466" s="51"/>
      <c r="F466" s="51"/>
      <c r="G466" s="51"/>
      <c r="H466" s="51"/>
      <c r="I466" s="51"/>
      <c r="J466" s="51"/>
      <c r="K466" s="51"/>
      <c r="L466" s="278" t="str">
        <f>"Currently Running: "&amp;CHOOSE(Assumptions!$B$10,Assumptions!$F$15,Assumptions!$F$16,Assumptions!$F$17)&amp;"Scenario"</f>
        <v>Currently Running: Upside Scenario</v>
      </c>
    </row>
    <row r="467" spans="1:12" ht="15.6" x14ac:dyDescent="0.35">
      <c r="A467" s="48"/>
      <c r="B467" s="54"/>
      <c r="C467" s="54"/>
      <c r="D467" s="54"/>
      <c r="E467" s="54"/>
      <c r="F467" s="54"/>
      <c r="G467" s="54"/>
      <c r="H467" s="54"/>
      <c r="I467" s="54"/>
      <c r="J467" s="54"/>
      <c r="K467" s="55"/>
      <c r="L467" s="55"/>
    </row>
    <row r="468" spans="1:12" ht="15.6" x14ac:dyDescent="0.35">
      <c r="A468" s="48"/>
      <c r="B468" s="55"/>
      <c r="C468" s="55"/>
      <c r="D468" s="55"/>
      <c r="E468" s="55"/>
      <c r="F468" s="56" t="s">
        <v>55</v>
      </c>
      <c r="G468" s="56"/>
      <c r="H468" s="56"/>
      <c r="I468" s="56"/>
      <c r="J468" s="56"/>
      <c r="K468" s="56"/>
      <c r="L468" s="56"/>
    </row>
    <row r="469" spans="1:12" ht="15.6" x14ac:dyDescent="0.35">
      <c r="A469" s="48"/>
      <c r="B469" s="55"/>
      <c r="C469" s="55"/>
      <c r="D469" s="55"/>
      <c r="E469" s="55"/>
      <c r="F469" s="57">
        <f>$F$7</f>
        <v>2025</v>
      </c>
      <c r="G469" s="57">
        <f>F469+1</f>
        <v>2026</v>
      </c>
      <c r="H469" s="58">
        <f>G469+1</f>
        <v>2027</v>
      </c>
      <c r="I469" s="58">
        <f t="shared" ref="I469" si="182">H469+1</f>
        <v>2028</v>
      </c>
      <c r="J469" s="58">
        <f t="shared" ref="J469" si="183">I469+1</f>
        <v>2029</v>
      </c>
      <c r="K469" s="58">
        <f t="shared" ref="K469" si="184">J469+1</f>
        <v>2030</v>
      </c>
      <c r="L469" s="58">
        <f t="shared" ref="L469" si="185">K469+1</f>
        <v>2031</v>
      </c>
    </row>
    <row r="470" spans="1:12" ht="16.2" thickBot="1" x14ac:dyDescent="0.4">
      <c r="A470" s="48"/>
      <c r="B470" s="59" t="s">
        <v>54</v>
      </c>
      <c r="C470" s="59"/>
      <c r="D470" s="59"/>
      <c r="E470" s="59"/>
      <c r="F470" s="60" t="s">
        <v>56</v>
      </c>
      <c r="G470" s="60"/>
      <c r="H470" s="61"/>
      <c r="I470" s="61"/>
      <c r="J470" s="61"/>
      <c r="K470" s="61"/>
      <c r="L470" s="61" t="s">
        <v>42</v>
      </c>
    </row>
    <row r="471" spans="1:12" ht="15.6" x14ac:dyDescent="0.35">
      <c r="A471" s="48"/>
      <c r="B471" s="55"/>
      <c r="C471" s="55"/>
      <c r="D471" s="55"/>
      <c r="E471" s="55"/>
      <c r="F471" s="83"/>
      <c r="G471" s="83"/>
      <c r="H471" s="84"/>
      <c r="I471" s="84"/>
      <c r="J471" s="84"/>
      <c r="K471" s="84"/>
      <c r="L471" s="84"/>
    </row>
    <row r="472" spans="1:12" ht="15.6" x14ac:dyDescent="0.35">
      <c r="A472" s="48"/>
      <c r="B472" s="65" t="s">
        <v>138</v>
      </c>
      <c r="C472" s="70"/>
      <c r="D472" s="70"/>
      <c r="E472" s="70"/>
      <c r="F472" s="158"/>
      <c r="G472" s="158"/>
      <c r="H472" s="193">
        <f>G54</f>
        <v>6568</v>
      </c>
      <c r="I472" s="343">
        <f>H54</f>
        <v>3897.1818447400037</v>
      </c>
      <c r="J472" s="343">
        <f>I54</f>
        <v>3956.7221471735656</v>
      </c>
      <c r="K472" s="343">
        <f>J54</f>
        <v>3654.4072853548919</v>
      </c>
      <c r="L472" s="343">
        <f>K54</f>
        <v>3641.7662258651917</v>
      </c>
    </row>
    <row r="473" spans="1:12" ht="15.6" x14ac:dyDescent="0.35">
      <c r="A473" s="48"/>
      <c r="B473" s="65" t="s">
        <v>168</v>
      </c>
      <c r="C473" s="70"/>
      <c r="D473" s="70"/>
      <c r="E473" s="70"/>
      <c r="F473" s="158"/>
      <c r="G473" s="158"/>
      <c r="H473" s="239">
        <v>2.5000000000000001E-2</v>
      </c>
      <c r="I473" s="239">
        <v>2.5000000000000001E-2</v>
      </c>
      <c r="J473" s="239">
        <v>2.5000000000000001E-2</v>
      </c>
      <c r="K473" s="239">
        <v>2.5000000000000001E-2</v>
      </c>
      <c r="L473" s="239">
        <v>2.5000000000000001E-2</v>
      </c>
    </row>
    <row r="474" spans="1:12" ht="15.6" x14ac:dyDescent="0.35">
      <c r="A474" s="48"/>
      <c r="B474" s="65" t="s">
        <v>139</v>
      </c>
      <c r="C474" s="70"/>
      <c r="D474" s="70"/>
      <c r="E474" s="70"/>
      <c r="F474" s="158"/>
      <c r="G474" s="158"/>
      <c r="H474" s="193">
        <f>H10*H473</f>
        <v>3806.8098075000003</v>
      </c>
      <c r="I474" s="193">
        <f>I10*I473</f>
        <v>3962.7058698990004</v>
      </c>
      <c r="J474" s="193">
        <f>J10*J473</f>
        <v>4333.4318424285721</v>
      </c>
      <c r="K474" s="193">
        <f>K10*K473</f>
        <v>4719.2882682806203</v>
      </c>
      <c r="L474" s="193">
        <f>L10*L473</f>
        <v>5133.2604565364672</v>
      </c>
    </row>
    <row r="475" spans="1:12" ht="15.6" x14ac:dyDescent="0.35">
      <c r="A475" s="48"/>
      <c r="B475" s="132" t="s">
        <v>140</v>
      </c>
      <c r="C475" s="132"/>
      <c r="D475" s="131"/>
      <c r="E475" s="131"/>
      <c r="F475" s="186"/>
      <c r="G475" s="186"/>
      <c r="H475" s="314">
        <f>H472-H474</f>
        <v>2761.1901924999997</v>
      </c>
      <c r="I475" s="314">
        <f t="shared" ref="I475:L475" si="186">I472-I474</f>
        <v>-65.524025158996665</v>
      </c>
      <c r="J475" s="314">
        <f t="shared" si="186"/>
        <v>-376.70969525500641</v>
      </c>
      <c r="K475" s="314">
        <f t="shared" si="186"/>
        <v>-1064.8809829257284</v>
      </c>
      <c r="L475" s="314">
        <f t="shared" si="186"/>
        <v>-1491.4942306712755</v>
      </c>
    </row>
    <row r="476" spans="1:12" ht="15.6" x14ac:dyDescent="0.35">
      <c r="A476" s="48"/>
      <c r="B476" s="65" t="s">
        <v>142</v>
      </c>
      <c r="C476" s="65"/>
      <c r="D476" s="65"/>
      <c r="E476" s="65"/>
      <c r="F476" s="92"/>
      <c r="G476" s="92"/>
      <c r="H476" s="329">
        <f>H113+H119</f>
        <v>10655.277661195749</v>
      </c>
      <c r="I476" s="329">
        <f>I113+I119</f>
        <v>2461.2894270489396</v>
      </c>
      <c r="J476" s="329">
        <f>J113+J119</f>
        <v>1923.0278476544918</v>
      </c>
      <c r="K476" s="329">
        <f>K113+K119</f>
        <v>1971.3437528551312</v>
      </c>
      <c r="L476" s="329">
        <f>L113+L119</f>
        <v>1836.8789121199288</v>
      </c>
    </row>
    <row r="477" spans="1:12" ht="15.6" x14ac:dyDescent="0.35">
      <c r="A477" s="48"/>
      <c r="B477" s="132" t="s">
        <v>141</v>
      </c>
      <c r="C477" s="131"/>
      <c r="D477" s="132"/>
      <c r="E477" s="132"/>
      <c r="F477" s="204"/>
      <c r="G477" s="204"/>
      <c r="H477" s="315">
        <f>SUM(H475:H476)</f>
        <v>13416.467853695749</v>
      </c>
      <c r="I477" s="315">
        <f t="shared" ref="I477:L477" si="187">SUM(I475:I476)</f>
        <v>2395.765401889943</v>
      </c>
      <c r="J477" s="315">
        <f t="shared" si="187"/>
        <v>1546.3181523994854</v>
      </c>
      <c r="K477" s="315">
        <f t="shared" si="187"/>
        <v>906.46276992940284</v>
      </c>
      <c r="L477" s="315">
        <f t="shared" si="187"/>
        <v>345.38468144865328</v>
      </c>
    </row>
    <row r="478" spans="1:12" ht="15.6" x14ac:dyDescent="0.35">
      <c r="A478" s="48"/>
      <c r="B478" s="79" t="s">
        <v>143</v>
      </c>
      <c r="C478" s="156"/>
      <c r="D478" s="156"/>
      <c r="E478" s="156"/>
      <c r="F478" s="170"/>
      <c r="G478" s="170"/>
      <c r="H478" s="340">
        <f>H477</f>
        <v>13416.467853695749</v>
      </c>
      <c r="I478" s="340">
        <f t="shared" ref="I478:L478" si="188">I477</f>
        <v>2395.765401889943</v>
      </c>
      <c r="J478" s="340">
        <f t="shared" si="188"/>
        <v>1546.3181523994854</v>
      </c>
      <c r="K478" s="340">
        <f t="shared" si="188"/>
        <v>906.46276992940284</v>
      </c>
      <c r="L478" s="340">
        <f t="shared" si="188"/>
        <v>345.38468144865328</v>
      </c>
    </row>
    <row r="479" spans="1:12" ht="15.6" x14ac:dyDescent="0.35">
      <c r="A479" s="48"/>
      <c r="B479" s="65"/>
      <c r="C479" s="70"/>
      <c r="D479" s="65"/>
      <c r="E479" s="65"/>
      <c r="F479" s="91"/>
      <c r="G479" s="91"/>
      <c r="H479" s="92"/>
      <c r="I479" s="92"/>
      <c r="J479" s="92"/>
      <c r="K479" s="92"/>
      <c r="L479" s="92"/>
    </row>
    <row r="480" spans="1:12" ht="15.6" x14ac:dyDescent="0.35">
      <c r="A480" s="48"/>
      <c r="B480" s="205" t="s">
        <v>144</v>
      </c>
      <c r="C480" s="70"/>
      <c r="D480" s="70"/>
      <c r="E480" s="70"/>
      <c r="F480" s="158"/>
      <c r="G480" s="158"/>
      <c r="H480" s="158"/>
      <c r="I480" s="158"/>
      <c r="J480" s="158"/>
      <c r="K480" s="158"/>
      <c r="L480" s="158"/>
    </row>
    <row r="481" spans="1:18" ht="15.6" x14ac:dyDescent="0.35">
      <c r="A481" s="48"/>
      <c r="B481" s="65" t="s">
        <v>145</v>
      </c>
      <c r="C481" s="65"/>
      <c r="D481" s="70"/>
      <c r="E481" s="70"/>
      <c r="F481" s="158"/>
      <c r="G481" s="158"/>
      <c r="H481" s="193">
        <f>-MAX(0, MIN((SUM(H$478:H480)-H474), H486, G489*$L$520))</f>
        <v>-9609.6580461957492</v>
      </c>
      <c r="I481" s="193">
        <f>-MAX(0, MIN((SUM(I$478:I480)-I474), I486, H489*$L$520))</f>
        <v>0</v>
      </c>
      <c r="J481" s="193">
        <f>-MAX(0, MIN((SUM(J$478:J480)-J474), J486, I489*$L$520))</f>
        <v>0</v>
      </c>
      <c r="K481" s="193">
        <f>-MAX(0, MIN((SUM(K$478:K480)-K474), K486, J489*$L$520))</f>
        <v>0</v>
      </c>
      <c r="L481" s="193">
        <f>-MAX(0, MIN((SUM(L$478:L480)-L474), L486, K489*$L$520))</f>
        <v>0</v>
      </c>
      <c r="R481" t="s">
        <v>202</v>
      </c>
    </row>
    <row r="482" spans="1:18" ht="15.6" x14ac:dyDescent="0.35">
      <c r="A482" s="48"/>
      <c r="B482" s="65"/>
      <c r="C482" s="65"/>
      <c r="D482" s="70"/>
      <c r="E482" s="70"/>
      <c r="F482" s="158"/>
      <c r="G482" s="158"/>
      <c r="H482" s="118"/>
      <c r="I482" s="118"/>
      <c r="J482" s="118"/>
      <c r="K482" s="118"/>
      <c r="L482" s="118"/>
    </row>
    <row r="483" spans="1:18" ht="15.6" x14ac:dyDescent="0.35">
      <c r="A483" s="48"/>
      <c r="B483" s="85" t="s">
        <v>24</v>
      </c>
      <c r="C483" s="86"/>
      <c r="D483" s="87"/>
      <c r="E483" s="87"/>
      <c r="F483" s="88"/>
      <c r="G483" s="88"/>
      <c r="H483" s="89"/>
      <c r="I483" s="89"/>
      <c r="J483" s="89"/>
      <c r="K483" s="89"/>
      <c r="L483" s="90"/>
    </row>
    <row r="484" spans="1:18" ht="15.6" x14ac:dyDescent="0.35">
      <c r="A484" s="48"/>
      <c r="B484" s="65"/>
      <c r="C484" s="65"/>
      <c r="D484" s="65"/>
      <c r="E484" s="65"/>
      <c r="F484" s="91"/>
      <c r="G484" s="114"/>
      <c r="H484" s="118"/>
      <c r="I484" s="118"/>
      <c r="J484" s="118"/>
      <c r="K484" s="118"/>
      <c r="L484" s="118"/>
    </row>
    <row r="485" spans="1:18" ht="15.6" x14ac:dyDescent="0.35">
      <c r="A485" s="48"/>
      <c r="B485" s="208" t="s">
        <v>145</v>
      </c>
      <c r="C485" s="65"/>
      <c r="D485" s="65"/>
      <c r="E485" s="65"/>
      <c r="F485" s="91"/>
      <c r="G485" s="114"/>
      <c r="H485" s="118"/>
      <c r="I485" s="118"/>
      <c r="J485" s="118"/>
      <c r="K485" s="118"/>
      <c r="L485" s="118"/>
    </row>
    <row r="486" spans="1:18" ht="15.6" x14ac:dyDescent="0.35">
      <c r="A486" s="48"/>
      <c r="B486" s="156" t="s">
        <v>146</v>
      </c>
      <c r="C486" s="156"/>
      <c r="D486" s="156"/>
      <c r="E486" s="156"/>
      <c r="F486" s="170"/>
      <c r="G486" s="194"/>
      <c r="H486" s="328">
        <f>G489</f>
        <v>10159</v>
      </c>
      <c r="I486" s="203">
        <f>H489</f>
        <v>549.34195380425081</v>
      </c>
      <c r="J486" s="203">
        <f t="shared" ref="J486:L486" si="189">I489</f>
        <v>549.34195380425081</v>
      </c>
      <c r="K486" s="203">
        <f t="shared" si="189"/>
        <v>549.34195380425081</v>
      </c>
      <c r="L486" s="203">
        <f t="shared" si="189"/>
        <v>549.34195380425081</v>
      </c>
    </row>
    <row r="487" spans="1:18" ht="15.6" x14ac:dyDescent="0.35">
      <c r="A487" s="48"/>
      <c r="B487" s="65" t="s">
        <v>147</v>
      </c>
      <c r="C487" s="70"/>
      <c r="D487" s="70"/>
      <c r="E487" s="70"/>
      <c r="F487" s="158"/>
      <c r="G487" s="158"/>
      <c r="H487" s="193">
        <f>MIN(MAX(0, -H478), H491-H486)</f>
        <v>0</v>
      </c>
      <c r="I487" s="92">
        <f t="shared" ref="I487:L487" si="190">MIN(MAX(0, -I478), I491-I486)</f>
        <v>0</v>
      </c>
      <c r="J487" s="92">
        <f t="shared" si="190"/>
        <v>0</v>
      </c>
      <c r="K487" s="92">
        <f t="shared" si="190"/>
        <v>0</v>
      </c>
      <c r="L487" s="92">
        <f t="shared" si="190"/>
        <v>0</v>
      </c>
    </row>
    <row r="488" spans="1:18" ht="15.6" x14ac:dyDescent="0.35">
      <c r="A488" s="48"/>
      <c r="B488" s="74" t="s">
        <v>148</v>
      </c>
      <c r="C488" s="78"/>
      <c r="D488" s="78"/>
      <c r="E488" s="78"/>
      <c r="F488" s="207"/>
      <c r="G488" s="207"/>
      <c r="H488" s="315">
        <f>H481</f>
        <v>-9609.6580461957492</v>
      </c>
      <c r="I488" s="199">
        <f t="shared" ref="I488:L488" si="191">I481</f>
        <v>0</v>
      </c>
      <c r="J488" s="199">
        <f t="shared" si="191"/>
        <v>0</v>
      </c>
      <c r="K488" s="199">
        <f t="shared" si="191"/>
        <v>0</v>
      </c>
      <c r="L488" s="199">
        <f t="shared" si="191"/>
        <v>0</v>
      </c>
    </row>
    <row r="489" spans="1:18" ht="15.6" x14ac:dyDescent="0.35">
      <c r="A489" s="48"/>
      <c r="B489" s="65" t="s">
        <v>149</v>
      </c>
      <c r="C489" s="70"/>
      <c r="D489" s="65"/>
      <c r="E489" s="65"/>
      <c r="F489" s="65"/>
      <c r="G489" s="339">
        <v>10159</v>
      </c>
      <c r="H489" s="340">
        <f>SUM(H486:H488)</f>
        <v>549.34195380425081</v>
      </c>
      <c r="I489" s="202">
        <f t="shared" ref="I489:L489" si="192">SUM(I486:I488)</f>
        <v>549.34195380425081</v>
      </c>
      <c r="J489" s="202">
        <f t="shared" si="192"/>
        <v>549.34195380425081</v>
      </c>
      <c r="K489" s="202">
        <f t="shared" si="192"/>
        <v>549.34195380425081</v>
      </c>
      <c r="L489" s="202">
        <f t="shared" si="192"/>
        <v>549.34195380425081</v>
      </c>
    </row>
    <row r="490" spans="1:18" ht="15.6" x14ac:dyDescent="0.35">
      <c r="A490" s="48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</row>
    <row r="491" spans="1:18" ht="15.6" x14ac:dyDescent="0.35">
      <c r="A491" s="48"/>
      <c r="B491" s="65" t="s">
        <v>150</v>
      </c>
      <c r="C491" s="70"/>
      <c r="D491" s="65"/>
      <c r="E491" s="65"/>
      <c r="F491" s="65"/>
      <c r="G491" s="342">
        <v>15000</v>
      </c>
      <c r="H491" s="193">
        <f>G491</f>
        <v>15000</v>
      </c>
      <c r="I491" s="193">
        <f t="shared" ref="I491:L491" si="193">H491</f>
        <v>15000</v>
      </c>
      <c r="J491" s="193">
        <f t="shared" si="193"/>
        <v>15000</v>
      </c>
      <c r="K491" s="193">
        <f t="shared" si="193"/>
        <v>15000</v>
      </c>
      <c r="L491" s="193">
        <f t="shared" si="193"/>
        <v>15000</v>
      </c>
    </row>
    <row r="492" spans="1:18" ht="15.6" x14ac:dyDescent="0.35">
      <c r="A492" s="48"/>
      <c r="B492" s="65" t="s">
        <v>151</v>
      </c>
      <c r="C492" s="65"/>
      <c r="D492" s="65"/>
      <c r="E492" s="65"/>
      <c r="F492" s="65"/>
      <c r="G492" s="193">
        <f>G491-G489</f>
        <v>4841</v>
      </c>
      <c r="H492" s="193">
        <f t="shared" ref="H492:L492" si="194">H491-H489</f>
        <v>14450.658046195749</v>
      </c>
      <c r="I492" s="193">
        <f t="shared" si="194"/>
        <v>14450.658046195749</v>
      </c>
      <c r="J492" s="193">
        <f t="shared" si="194"/>
        <v>14450.658046195749</v>
      </c>
      <c r="K492" s="193">
        <f t="shared" si="194"/>
        <v>14450.658046195749</v>
      </c>
      <c r="L492" s="193">
        <f t="shared" si="194"/>
        <v>14450.658046195749</v>
      </c>
    </row>
    <row r="493" spans="1:18" ht="15.6" customHeight="1" x14ac:dyDescent="0.35">
      <c r="A493" s="48"/>
      <c r="B493" s="65"/>
      <c r="C493" s="65"/>
      <c r="D493" s="65"/>
      <c r="E493" s="65"/>
      <c r="F493" s="65"/>
      <c r="G493" s="120"/>
      <c r="H493" s="92"/>
      <c r="I493" s="92"/>
      <c r="J493" s="92"/>
      <c r="K493" s="92"/>
      <c r="L493" s="92"/>
    </row>
    <row r="494" spans="1:18" ht="15.6" customHeight="1" x14ac:dyDescent="0.35">
      <c r="A494" s="48"/>
      <c r="B494" s="85" t="s">
        <v>164</v>
      </c>
      <c r="C494" s="86"/>
      <c r="D494" s="87"/>
      <c r="E494" s="87"/>
      <c r="F494" s="88"/>
      <c r="G494" s="88"/>
      <c r="H494" s="89"/>
      <c r="I494" s="89"/>
      <c r="J494" s="89"/>
      <c r="K494" s="89"/>
      <c r="L494" s="90"/>
    </row>
    <row r="495" spans="1:18" ht="15.6" customHeight="1" x14ac:dyDescent="0.35">
      <c r="A495" s="48"/>
      <c r="B495" s="65"/>
      <c r="C495" s="65"/>
      <c r="D495" s="65"/>
      <c r="E495" s="65"/>
      <c r="F495" s="65"/>
      <c r="G495" s="120"/>
      <c r="H495" s="92"/>
      <c r="I495" s="92"/>
      <c r="J495" s="92"/>
      <c r="K495" s="92"/>
      <c r="L495" s="92"/>
    </row>
    <row r="496" spans="1:18" ht="15.6" customHeight="1" x14ac:dyDescent="0.35">
      <c r="A496" s="48"/>
      <c r="B496" s="65" t="s">
        <v>159</v>
      </c>
      <c r="C496" s="65"/>
      <c r="D496" s="65"/>
      <c r="E496" s="65"/>
      <c r="F496" s="65"/>
      <c r="G496" s="120"/>
      <c r="H496" s="221">
        <v>4.2000000000000003E-2</v>
      </c>
      <c r="I496" s="221">
        <v>4.5999999999999999E-2</v>
      </c>
      <c r="J496" s="221">
        <v>0.05</v>
      </c>
      <c r="K496" s="221">
        <v>0.05</v>
      </c>
      <c r="L496" s="221">
        <v>4.7E-2</v>
      </c>
    </row>
    <row r="497" spans="1:12" ht="15.6" x14ac:dyDescent="0.35">
      <c r="A497" s="48"/>
      <c r="B497" s="65" t="s">
        <v>15</v>
      </c>
      <c r="C497" s="65"/>
      <c r="D497" s="65"/>
      <c r="E497" s="65"/>
      <c r="F497" s="65"/>
      <c r="G497" s="120"/>
      <c r="H497" s="222">
        <v>0.01</v>
      </c>
      <c r="I497" s="223">
        <f>H497</f>
        <v>0.01</v>
      </c>
      <c r="J497" s="223">
        <f t="shared" ref="J497:L497" si="195">I497</f>
        <v>0.01</v>
      </c>
      <c r="K497" s="223">
        <f t="shared" si="195"/>
        <v>0.01</v>
      </c>
      <c r="L497" s="223">
        <f t="shared" si="195"/>
        <v>0.01</v>
      </c>
    </row>
    <row r="498" spans="1:12" ht="15.6" x14ac:dyDescent="0.35">
      <c r="A498" s="48"/>
      <c r="B498" s="65" t="s">
        <v>165</v>
      </c>
      <c r="C498" s="65"/>
      <c r="D498" s="65"/>
      <c r="E498" s="65"/>
      <c r="F498" s="65"/>
      <c r="G498" s="120"/>
      <c r="H498" s="224">
        <v>5.0000000000000001E-3</v>
      </c>
      <c r="I498" s="225">
        <f>H498</f>
        <v>5.0000000000000001E-3</v>
      </c>
      <c r="J498" s="225">
        <f t="shared" ref="J498:L498" si="196">I498</f>
        <v>5.0000000000000001E-3</v>
      </c>
      <c r="K498" s="225">
        <f t="shared" si="196"/>
        <v>5.0000000000000001E-3</v>
      </c>
      <c r="L498" s="225">
        <f t="shared" si="196"/>
        <v>5.0000000000000001E-3</v>
      </c>
    </row>
    <row r="499" spans="1:12" ht="15.6" x14ac:dyDescent="0.35">
      <c r="A499" s="48"/>
      <c r="B499" s="65"/>
      <c r="C499" s="65"/>
      <c r="D499" s="65"/>
      <c r="E499" s="65"/>
      <c r="F499" s="65"/>
      <c r="G499" s="120"/>
      <c r="H499" s="226"/>
      <c r="I499" s="226"/>
      <c r="J499" s="226"/>
      <c r="K499" s="226"/>
      <c r="L499" s="226"/>
    </row>
    <row r="500" spans="1:12" ht="15.6" x14ac:dyDescent="0.35">
      <c r="A500" s="48"/>
      <c r="B500" s="65" t="s">
        <v>145</v>
      </c>
      <c r="C500" s="65"/>
      <c r="D500" s="65"/>
      <c r="E500" s="65"/>
      <c r="F500" s="65"/>
      <c r="G500" s="120"/>
      <c r="H500" s="227">
        <f>H496+$H$520</f>
        <v>8.6999999999999994E-2</v>
      </c>
      <c r="I500" s="227">
        <f>I496+$H$520</f>
        <v>9.0999999999999998E-2</v>
      </c>
      <c r="J500" s="227">
        <f>J496+$H$520</f>
        <v>9.5000000000000001E-2</v>
      </c>
      <c r="K500" s="227">
        <f>K496+$H$520</f>
        <v>9.5000000000000001E-2</v>
      </c>
      <c r="L500" s="227">
        <f>L496+$H$520</f>
        <v>9.1999999999999998E-2</v>
      </c>
    </row>
    <row r="501" spans="1:12" ht="15.6" x14ac:dyDescent="0.35">
      <c r="A501" s="48"/>
      <c r="B501" s="65"/>
      <c r="C501" s="65"/>
      <c r="D501" s="65"/>
      <c r="E501" s="65"/>
      <c r="F501" s="65"/>
      <c r="G501" s="120"/>
      <c r="H501" s="220"/>
      <c r="I501" s="220"/>
      <c r="J501" s="220"/>
      <c r="K501" s="220"/>
      <c r="L501" s="220"/>
    </row>
    <row r="502" spans="1:12" ht="15.6" x14ac:dyDescent="0.35">
      <c r="A502" s="48"/>
      <c r="B502" s="85" t="s">
        <v>166</v>
      </c>
      <c r="C502" s="86"/>
      <c r="D502" s="87"/>
      <c r="E502" s="87"/>
      <c r="F502" s="88"/>
      <c r="G502" s="88"/>
      <c r="H502" s="89"/>
      <c r="I502" s="89"/>
      <c r="J502" s="89"/>
      <c r="K502" s="89"/>
      <c r="L502" s="90"/>
    </row>
    <row r="503" spans="1:12" ht="15.6" x14ac:dyDescent="0.35">
      <c r="A503" s="48"/>
      <c r="B503" s="65"/>
      <c r="C503" s="65"/>
      <c r="D503" s="65"/>
      <c r="E503" s="65"/>
      <c r="F503" s="65"/>
      <c r="G503" s="120"/>
      <c r="H503" s="220"/>
      <c r="I503" s="220"/>
      <c r="J503" s="220"/>
      <c r="K503" s="220"/>
      <c r="L503" s="220"/>
    </row>
    <row r="504" spans="1:12" ht="15.6" x14ac:dyDescent="0.35">
      <c r="A504" s="48"/>
      <c r="B504" s="65" t="s">
        <v>165</v>
      </c>
      <c r="C504" s="65"/>
      <c r="D504" s="65"/>
      <c r="E504" s="65"/>
      <c r="F504" s="65"/>
      <c r="G504" s="120"/>
      <c r="H504" s="92">
        <f t="shared" ref="H504:L504" si="197">G492*H498</f>
        <v>24.205000000000002</v>
      </c>
      <c r="I504" s="92">
        <f>H492*I498</f>
        <v>72.253290230978749</v>
      </c>
      <c r="J504" s="92">
        <f t="shared" ref="J504:L504" si="198">I492*J498</f>
        <v>72.253290230978749</v>
      </c>
      <c r="K504" s="92">
        <f t="shared" si="198"/>
        <v>72.253290230978749</v>
      </c>
      <c r="L504" s="92">
        <f t="shared" si="198"/>
        <v>72.253290230978749</v>
      </c>
    </row>
    <row r="505" spans="1:12" ht="15.6" x14ac:dyDescent="0.35">
      <c r="A505" s="48"/>
      <c r="B505" s="65"/>
      <c r="C505" s="65"/>
      <c r="D505" s="65"/>
      <c r="E505" s="65"/>
      <c r="F505" s="65"/>
      <c r="G505" s="120"/>
      <c r="H505" s="220"/>
      <c r="I505" s="220"/>
      <c r="J505" s="220"/>
      <c r="K505" s="220"/>
      <c r="L505" s="220"/>
    </row>
    <row r="506" spans="1:12" ht="15.6" x14ac:dyDescent="0.35">
      <c r="A506" s="48"/>
      <c r="B506" s="65" t="s">
        <v>145</v>
      </c>
      <c r="C506" s="65"/>
      <c r="D506" s="65"/>
      <c r="E506" s="65"/>
      <c r="F506" s="65"/>
      <c r="G506" s="120"/>
      <c r="H506" s="92">
        <f>H500*H486</f>
        <v>883.83299999999997</v>
      </c>
      <c r="I506" s="92">
        <f t="shared" ref="I506:L506" si="199">I500*I486</f>
        <v>49.990117796186823</v>
      </c>
      <c r="J506" s="92">
        <f t="shared" si="199"/>
        <v>52.187485611403829</v>
      </c>
      <c r="K506" s="92">
        <f t="shared" si="199"/>
        <v>52.187485611403829</v>
      </c>
      <c r="L506" s="92">
        <f t="shared" si="199"/>
        <v>50.539459749991074</v>
      </c>
    </row>
    <row r="507" spans="1:12" ht="15.6" x14ac:dyDescent="0.35">
      <c r="A507" s="48"/>
      <c r="B507" s="156" t="s">
        <v>167</v>
      </c>
      <c r="C507" s="156"/>
      <c r="D507" s="156"/>
      <c r="E507" s="156"/>
      <c r="F507" s="156"/>
      <c r="G507" s="237"/>
      <c r="H507" s="238">
        <f>SUM(H504:H506)</f>
        <v>908.03800000000001</v>
      </c>
      <c r="I507" s="238">
        <f t="shared" ref="I507:L507" si="200">SUM(I504:I506)</f>
        <v>122.24340802716557</v>
      </c>
      <c r="J507" s="238">
        <f t="shared" si="200"/>
        <v>124.44077584238258</v>
      </c>
      <c r="K507" s="238">
        <f t="shared" si="200"/>
        <v>124.44077584238258</v>
      </c>
      <c r="L507" s="238">
        <f t="shared" si="200"/>
        <v>122.79274998096983</v>
      </c>
    </row>
    <row r="508" spans="1:12" ht="15.6" x14ac:dyDescent="0.35">
      <c r="A508" s="48"/>
      <c r="B508" s="65"/>
      <c r="C508" s="65"/>
      <c r="D508" s="65"/>
      <c r="E508" s="65"/>
      <c r="F508" s="65"/>
      <c r="G508" s="120"/>
      <c r="H508" s="228"/>
      <c r="I508" s="228"/>
      <c r="J508" s="228"/>
      <c r="K508" s="228"/>
      <c r="L508" s="228"/>
    </row>
    <row r="509" spans="1:12" ht="15.6" x14ac:dyDescent="0.35">
      <c r="A509" s="48"/>
      <c r="B509" s="85" t="s">
        <v>203</v>
      </c>
      <c r="C509" s="86"/>
      <c r="D509" s="87"/>
      <c r="E509" s="87"/>
      <c r="F509" s="88"/>
      <c r="G509" s="88"/>
      <c r="H509" s="89"/>
      <c r="I509" s="89"/>
      <c r="J509" s="89"/>
      <c r="K509" s="89"/>
      <c r="L509" s="90"/>
    </row>
    <row r="510" spans="1:12" ht="15.6" x14ac:dyDescent="0.35">
      <c r="A510" s="48"/>
      <c r="B510" s="65"/>
      <c r="C510" s="65"/>
      <c r="D510" s="65"/>
      <c r="E510" s="65"/>
      <c r="F510" s="65"/>
      <c r="G510" s="120"/>
      <c r="H510" s="220"/>
      <c r="I510" s="220"/>
      <c r="J510" s="220"/>
      <c r="K510" s="220"/>
      <c r="L510" s="220"/>
    </row>
    <row r="511" spans="1:12" ht="15.6" x14ac:dyDescent="0.35">
      <c r="A511" s="48"/>
      <c r="B511" s="65"/>
      <c r="C511" s="65"/>
      <c r="D511" s="65"/>
      <c r="E511" s="65"/>
      <c r="F511" s="65"/>
      <c r="G511" s="120"/>
      <c r="H511" s="220"/>
      <c r="I511" s="220"/>
      <c r="J511" s="220"/>
      <c r="K511" s="220"/>
      <c r="L511" s="220"/>
    </row>
    <row r="512" spans="1:12" ht="15.6" x14ac:dyDescent="0.35">
      <c r="A512" s="48"/>
      <c r="B512" s="65" t="s">
        <v>15</v>
      </c>
      <c r="C512" s="65"/>
      <c r="D512" s="65"/>
      <c r="E512" s="65"/>
      <c r="F512" s="65"/>
      <c r="G512" s="120"/>
      <c r="H512" s="92">
        <f>H497*G54</f>
        <v>65.680000000000007</v>
      </c>
      <c r="I512" s="92">
        <f>I497*H54</f>
        <v>38.97181844740004</v>
      </c>
      <c r="J512" s="92">
        <f>J497*I54</f>
        <v>39.567221471735657</v>
      </c>
      <c r="K512" s="92">
        <f>K497*J54</f>
        <v>36.544072853548919</v>
      </c>
      <c r="L512" s="92">
        <f>L497*K54</f>
        <v>36.417662258651916</v>
      </c>
    </row>
    <row r="513" spans="1:12" ht="15.6" x14ac:dyDescent="0.35">
      <c r="A513" s="48"/>
      <c r="B513" s="156" t="s">
        <v>204</v>
      </c>
      <c r="C513" s="156"/>
      <c r="D513" s="156"/>
      <c r="E513" s="156"/>
      <c r="F513" s="156"/>
      <c r="G513" s="237"/>
      <c r="H513" s="238">
        <f>SUM(H512)</f>
        <v>65.680000000000007</v>
      </c>
      <c r="I513" s="238">
        <f t="shared" ref="I513" si="201">SUM(I512)</f>
        <v>38.97181844740004</v>
      </c>
      <c r="J513" s="238">
        <f t="shared" ref="J513" si="202">SUM(J512)</f>
        <v>39.567221471735657</v>
      </c>
      <c r="K513" s="238">
        <f t="shared" ref="K513" si="203">SUM(K512)</f>
        <v>36.544072853548919</v>
      </c>
      <c r="L513" s="238">
        <f t="shared" ref="L513" si="204">SUM(L512)</f>
        <v>36.417662258651916</v>
      </c>
    </row>
    <row r="514" spans="1:12" ht="15.6" x14ac:dyDescent="0.35">
      <c r="A514" s="48"/>
      <c r="B514" s="65"/>
      <c r="C514" s="65"/>
      <c r="D514" s="65"/>
      <c r="E514" s="65"/>
      <c r="F514" s="65"/>
      <c r="G514" s="65"/>
      <c r="H514" s="115"/>
      <c r="I514" s="115"/>
      <c r="J514" s="115"/>
      <c r="K514" s="115"/>
      <c r="L514" s="115"/>
    </row>
    <row r="515" spans="1:12" ht="15.6" x14ac:dyDescent="0.35">
      <c r="A515" s="48"/>
      <c r="B515" s="85" t="s">
        <v>152</v>
      </c>
      <c r="C515" s="86"/>
      <c r="D515" s="87"/>
      <c r="E515" s="87"/>
      <c r="F515" s="88"/>
      <c r="G515" s="88"/>
      <c r="H515" s="89"/>
      <c r="I515" s="89"/>
      <c r="J515" s="89"/>
      <c r="K515" s="89"/>
      <c r="L515" s="90"/>
    </row>
    <row r="516" spans="1:12" ht="15.6" x14ac:dyDescent="0.35">
      <c r="A516" s="48"/>
      <c r="B516" s="96"/>
      <c r="C516" s="96"/>
      <c r="D516" s="96"/>
      <c r="E516" s="96"/>
      <c r="F516" s="96"/>
      <c r="G516" s="119"/>
      <c r="H516" s="119"/>
      <c r="I516" s="119"/>
      <c r="J516" s="119"/>
      <c r="K516" s="119"/>
      <c r="L516" s="119"/>
    </row>
    <row r="517" spans="1:12" ht="15.6" x14ac:dyDescent="0.35">
      <c r="A517" s="48"/>
      <c r="B517" s="96"/>
      <c r="C517" s="96"/>
      <c r="D517" s="96"/>
      <c r="E517" s="209"/>
      <c r="F517" s="209"/>
      <c r="G517" s="209" t="s">
        <v>153</v>
      </c>
      <c r="H517" s="209" t="s">
        <v>158</v>
      </c>
      <c r="I517" s="210" t="s">
        <v>154</v>
      </c>
      <c r="J517" s="210" t="s">
        <v>155</v>
      </c>
      <c r="K517" s="210" t="s">
        <v>161</v>
      </c>
      <c r="L517" s="210" t="s">
        <v>15</v>
      </c>
    </row>
    <row r="518" spans="1:12" ht="16.2" thickBot="1" x14ac:dyDescent="0.4">
      <c r="A518" s="48"/>
      <c r="B518" s="211"/>
      <c r="C518" s="211"/>
      <c r="D518" s="211"/>
      <c r="E518" s="212"/>
      <c r="F518" s="212"/>
      <c r="G518" s="212" t="s">
        <v>157</v>
      </c>
      <c r="H518" s="212" t="s">
        <v>159</v>
      </c>
      <c r="I518" s="213" t="s">
        <v>160</v>
      </c>
      <c r="J518" s="213" t="s">
        <v>156</v>
      </c>
      <c r="K518" s="213" t="s">
        <v>156</v>
      </c>
      <c r="L518" s="213" t="s">
        <v>162</v>
      </c>
    </row>
    <row r="519" spans="1:12" ht="15.6" x14ac:dyDescent="0.35">
      <c r="A519" s="48"/>
      <c r="B519" s="96"/>
      <c r="C519" s="96"/>
      <c r="D519" s="96"/>
      <c r="E519" s="96"/>
      <c r="F519" s="96"/>
      <c r="G519" s="119"/>
      <c r="H519" s="119"/>
      <c r="I519" s="119"/>
      <c r="J519" s="119"/>
      <c r="K519" s="119"/>
      <c r="L519" s="119"/>
    </row>
    <row r="520" spans="1:12" ht="15.6" x14ac:dyDescent="0.35">
      <c r="A520" s="48"/>
      <c r="B520" s="216" t="s">
        <v>145</v>
      </c>
      <c r="C520" s="216"/>
      <c r="D520" s="216"/>
      <c r="E520" s="216"/>
      <c r="F520" s="216"/>
      <c r="G520" s="217">
        <v>0</v>
      </c>
      <c r="H520" s="218">
        <v>4.4999999999999998E-2</v>
      </c>
      <c r="I520" s="217" t="s">
        <v>91</v>
      </c>
      <c r="J520" s="217" t="s">
        <v>163</v>
      </c>
      <c r="K520" s="217" t="s">
        <v>163</v>
      </c>
      <c r="L520" s="219">
        <v>1</v>
      </c>
    </row>
    <row r="521" spans="1:12" ht="16.2" thickBot="1" x14ac:dyDescent="0.4">
      <c r="A521" s="48"/>
      <c r="B521" s="214"/>
      <c r="C521" s="214"/>
      <c r="D521" s="214"/>
      <c r="E521" s="214"/>
      <c r="F521" s="214"/>
      <c r="G521" s="214"/>
      <c r="H521" s="215"/>
      <c r="I521" s="215"/>
      <c r="J521" s="215"/>
      <c r="K521" s="215"/>
      <c r="L521" s="215"/>
    </row>
    <row r="522" spans="1:12" ht="15.6" x14ac:dyDescent="0.35">
      <c r="A522" s="48"/>
      <c r="B522" s="48"/>
      <c r="C522" s="48"/>
      <c r="D522" s="48"/>
      <c r="E522" s="48"/>
      <c r="F522" s="48"/>
      <c r="G522" s="48"/>
      <c r="H522" s="116"/>
      <c r="I522" s="116"/>
      <c r="J522" s="116"/>
      <c r="K522" s="116"/>
      <c r="L522" s="116"/>
    </row>
    <row r="523" spans="1:12" ht="15.6" x14ac:dyDescent="0.35">
      <c r="A523" s="48"/>
      <c r="B523" s="96"/>
      <c r="C523" s="96"/>
      <c r="D523" s="96"/>
      <c r="E523" s="48"/>
      <c r="F523" s="48"/>
      <c r="G523" s="48"/>
      <c r="H523" s="123"/>
      <c r="I523" s="123"/>
      <c r="J523" s="123"/>
      <c r="K523" s="123"/>
      <c r="L523" s="123"/>
    </row>
    <row r="524" spans="1:12" ht="15.6" x14ac:dyDescent="0.35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28.8" x14ac:dyDescent="0.65">
      <c r="A525" s="48"/>
      <c r="B525" s="49" t="str">
        <f>Cover!$B$2</f>
        <v>Solid State PLC</v>
      </c>
      <c r="C525" s="49"/>
      <c r="D525" s="50"/>
      <c r="E525" s="51"/>
      <c r="F525" s="51"/>
      <c r="G525" s="51"/>
      <c r="H525" s="51"/>
      <c r="I525" s="51"/>
      <c r="J525" s="51"/>
      <c r="K525" s="51"/>
      <c r="L525" s="51"/>
    </row>
    <row r="526" spans="1:12" ht="21" x14ac:dyDescent="0.5">
      <c r="A526" s="48"/>
      <c r="B526" s="52" t="s">
        <v>26</v>
      </c>
      <c r="C526" s="53"/>
      <c r="D526" s="51"/>
      <c r="E526" s="51"/>
      <c r="F526" s="51"/>
      <c r="G526" s="51"/>
      <c r="H526" s="51"/>
      <c r="I526" s="51"/>
      <c r="J526" s="51"/>
      <c r="K526" s="51"/>
      <c r="L526" s="278" t="str">
        <f>"Currently Running: "&amp;CHOOSE(Assumptions!$B$10,Assumptions!$F$15,Assumptions!$F$16,Assumptions!$F$17)&amp;"Scenario"</f>
        <v>Currently Running: Upside Scenario</v>
      </c>
    </row>
    <row r="527" spans="1:12" ht="15.6" x14ac:dyDescent="0.35">
      <c r="A527" s="48"/>
      <c r="B527" s="54"/>
      <c r="C527" s="54"/>
      <c r="D527" s="54"/>
      <c r="E527" s="54"/>
      <c r="F527" s="54"/>
      <c r="G527" s="54"/>
      <c r="H527" s="54"/>
      <c r="I527" s="54"/>
      <c r="J527" s="54"/>
      <c r="K527" s="55"/>
      <c r="L527" s="55"/>
    </row>
    <row r="528" spans="1:12" ht="15.6" x14ac:dyDescent="0.35">
      <c r="A528" s="48"/>
      <c r="B528" s="55"/>
      <c r="C528" s="55"/>
      <c r="D528" s="55"/>
      <c r="E528" s="55"/>
      <c r="F528" s="56" t="s">
        <v>55</v>
      </c>
      <c r="G528" s="56"/>
      <c r="H528" s="56"/>
      <c r="I528" s="56"/>
      <c r="J528" s="56"/>
      <c r="K528" s="56"/>
      <c r="L528" s="56"/>
    </row>
    <row r="529" spans="1:12" ht="15.6" x14ac:dyDescent="0.35">
      <c r="A529" s="48"/>
      <c r="B529" s="55"/>
      <c r="C529" s="55"/>
      <c r="D529" s="55"/>
      <c r="E529" s="55"/>
      <c r="F529" s="57">
        <v>2025</v>
      </c>
      <c r="G529" s="57">
        <v>2026</v>
      </c>
      <c r="H529" s="58">
        <f>G529+1</f>
        <v>2027</v>
      </c>
      <c r="I529" s="58">
        <f t="shared" ref="I529" si="205">H529+1</f>
        <v>2028</v>
      </c>
      <c r="J529" s="58">
        <f t="shared" ref="J529" si="206">I529+1</f>
        <v>2029</v>
      </c>
      <c r="K529" s="58">
        <f t="shared" ref="K529" si="207">J529+1</f>
        <v>2030</v>
      </c>
      <c r="L529" s="58">
        <f t="shared" ref="L529" si="208">K529+1</f>
        <v>2031</v>
      </c>
    </row>
    <row r="530" spans="1:12" ht="16.2" thickBot="1" x14ac:dyDescent="0.4">
      <c r="A530" s="48"/>
      <c r="B530" s="59" t="s">
        <v>54</v>
      </c>
      <c r="C530" s="59"/>
      <c r="D530" s="59"/>
      <c r="E530" s="59"/>
      <c r="F530" s="60" t="s">
        <v>56</v>
      </c>
      <c r="G530" s="60"/>
      <c r="H530" s="61"/>
      <c r="I530" s="61"/>
      <c r="J530" s="61"/>
      <c r="K530" s="61"/>
      <c r="L530" s="61" t="s">
        <v>42</v>
      </c>
    </row>
    <row r="531" spans="1:12" ht="15.6" x14ac:dyDescent="0.35">
      <c r="A531" s="48"/>
      <c r="B531" s="55"/>
      <c r="C531" s="55"/>
      <c r="D531" s="55"/>
      <c r="E531" s="55"/>
      <c r="F531" s="83"/>
      <c r="G531" s="83"/>
      <c r="H531" s="84"/>
      <c r="I531" s="84"/>
      <c r="J531" s="84"/>
      <c r="K531" s="84"/>
      <c r="L531" s="84"/>
    </row>
    <row r="532" spans="1:12" ht="15.6" x14ac:dyDescent="0.35">
      <c r="A532" s="48"/>
      <c r="B532" s="85" t="s">
        <v>306</v>
      </c>
      <c r="C532" s="86"/>
      <c r="D532" s="87"/>
      <c r="E532" s="87"/>
      <c r="F532" s="88"/>
      <c r="G532" s="88"/>
      <c r="H532" s="89"/>
      <c r="I532" s="89"/>
      <c r="J532" s="89"/>
      <c r="K532" s="89"/>
      <c r="L532" s="90"/>
    </row>
    <row r="533" spans="1:12" ht="15.6" x14ac:dyDescent="0.35">
      <c r="A533" s="48"/>
      <c r="B533" s="65"/>
      <c r="C533" s="65"/>
      <c r="D533" s="65"/>
      <c r="E533" s="65"/>
      <c r="F533" s="65"/>
      <c r="G533" s="115"/>
      <c r="H533" s="115"/>
      <c r="I533" s="115"/>
      <c r="J533" s="115"/>
      <c r="K533" s="115"/>
      <c r="L533" s="115"/>
    </row>
    <row r="534" spans="1:12" ht="15.6" x14ac:dyDescent="0.35">
      <c r="A534" s="48"/>
      <c r="B534" s="65" t="s">
        <v>25</v>
      </c>
      <c r="C534" s="65"/>
      <c r="D534" s="65"/>
      <c r="E534" s="65"/>
      <c r="F534" s="293">
        <f>F29</f>
        <v>320</v>
      </c>
      <c r="G534" s="293">
        <f>G29</f>
        <v>5845</v>
      </c>
      <c r="H534" s="304">
        <f>H29</f>
        <v>11102.113347999986</v>
      </c>
      <c r="I534" s="304">
        <f>I29</f>
        <v>5859.3629576137873</v>
      </c>
      <c r="J534" s="304">
        <f>J29</f>
        <v>5392.511010094554</v>
      </c>
      <c r="K534" s="304">
        <f>K29</f>
        <v>4675.7414270401277</v>
      </c>
      <c r="L534" s="304">
        <f>L29</f>
        <v>3774.6640146876616</v>
      </c>
    </row>
    <row r="535" spans="1:12" ht="15.6" x14ac:dyDescent="0.35">
      <c r="A535" s="48"/>
      <c r="B535" s="65" t="s">
        <v>174</v>
      </c>
      <c r="C535" s="65"/>
      <c r="D535" s="65"/>
      <c r="E535" s="65"/>
      <c r="F535" s="179">
        <v>0.25</v>
      </c>
      <c r="G535" s="179">
        <v>0.25</v>
      </c>
      <c r="H535" s="179">
        <v>0.25</v>
      </c>
      <c r="I535" s="179">
        <v>0.25</v>
      </c>
      <c r="J535" s="179">
        <v>0.25</v>
      </c>
      <c r="K535" s="179">
        <v>0.25</v>
      </c>
      <c r="L535" s="179">
        <v>0.25</v>
      </c>
    </row>
    <row r="536" spans="1:12" ht="16.2" thickBot="1" x14ac:dyDescent="0.4">
      <c r="A536" s="48"/>
      <c r="B536" s="72" t="s">
        <v>172</v>
      </c>
      <c r="C536" s="73"/>
      <c r="D536" s="73"/>
      <c r="E536" s="73"/>
      <c r="F536" s="241">
        <f>-F31/F534</f>
        <v>-0.6</v>
      </c>
      <c r="G536" s="241">
        <f>-G31/G534</f>
        <v>0.30059880239520959</v>
      </c>
      <c r="H536" s="242">
        <v>0.3</v>
      </c>
      <c r="I536" s="242">
        <v>0.3</v>
      </c>
      <c r="J536" s="242">
        <v>0.3</v>
      </c>
      <c r="K536" s="242">
        <v>0.3</v>
      </c>
      <c r="L536" s="242">
        <v>0.3</v>
      </c>
    </row>
    <row r="537" spans="1:12" ht="15.6" x14ac:dyDescent="0.35">
      <c r="A537" s="48"/>
      <c r="B537" s="371" t="s">
        <v>315</v>
      </c>
      <c r="C537" s="70"/>
      <c r="D537" s="70"/>
      <c r="E537" s="70"/>
      <c r="F537" s="117"/>
      <c r="G537" s="117"/>
      <c r="H537" s="377">
        <f>MAX(0, H536*H534)</f>
        <v>3330.6340043999958</v>
      </c>
      <c r="I537" s="377">
        <f>MAX(0, I536*I534)</f>
        <v>1757.8088872841361</v>
      </c>
      <c r="J537" s="377">
        <f>MAX(0, J536*J534)</f>
        <v>1617.7533030283662</v>
      </c>
      <c r="K537" s="377">
        <f>MAX(0, K536*K534)</f>
        <v>1402.7224281120382</v>
      </c>
      <c r="L537" s="377">
        <f>MAX(0, L536*L534)</f>
        <v>1132.3992044062984</v>
      </c>
    </row>
    <row r="538" spans="1:12" ht="15.6" x14ac:dyDescent="0.35">
      <c r="A538" s="48"/>
      <c r="B538" s="374" t="s">
        <v>317</v>
      </c>
      <c r="C538" s="70"/>
      <c r="D538" s="70"/>
      <c r="E538" s="70"/>
      <c r="F538" s="117"/>
      <c r="G538" s="117"/>
      <c r="H538" s="389">
        <v>0</v>
      </c>
      <c r="I538" s="389">
        <v>0</v>
      </c>
      <c r="J538" s="389">
        <v>0</v>
      </c>
      <c r="K538" s="389">
        <v>0</v>
      </c>
      <c r="L538" s="389">
        <v>0</v>
      </c>
    </row>
    <row r="539" spans="1:12" ht="16.2" thickBot="1" x14ac:dyDescent="0.4">
      <c r="A539" s="48"/>
      <c r="B539" s="378" t="s">
        <v>316</v>
      </c>
      <c r="C539" s="73"/>
      <c r="D539" s="73"/>
      <c r="E539" s="73"/>
      <c r="F539" s="379"/>
      <c r="G539" s="379"/>
      <c r="H539" s="388">
        <f>H544</f>
        <v>-2247</v>
      </c>
      <c r="I539" s="388">
        <f t="shared" ref="I539:L539" si="209">I544</f>
        <v>0</v>
      </c>
      <c r="J539" s="388">
        <f t="shared" si="209"/>
        <v>0</v>
      </c>
      <c r="K539" s="388">
        <f t="shared" si="209"/>
        <v>0</v>
      </c>
      <c r="L539" s="388">
        <f t="shared" si="209"/>
        <v>0</v>
      </c>
    </row>
    <row r="540" spans="1:12" ht="15.6" x14ac:dyDescent="0.35">
      <c r="A540" s="48"/>
      <c r="B540" s="371" t="s">
        <v>48</v>
      </c>
      <c r="C540" s="70"/>
      <c r="D540" s="70"/>
      <c r="E540" s="70"/>
      <c r="F540" s="117"/>
      <c r="G540" s="117"/>
      <c r="H540" s="377">
        <f>H537+H539</f>
        <v>1083.6340043999958</v>
      </c>
      <c r="I540" s="377">
        <f>I537+I539</f>
        <v>1757.8088872841361</v>
      </c>
      <c r="J540" s="377">
        <f>J537+J539</f>
        <v>1617.7533030283662</v>
      </c>
      <c r="K540" s="377">
        <f>K537+K539</f>
        <v>1402.7224281120382</v>
      </c>
      <c r="L540" s="377">
        <f>L537+L539</f>
        <v>1132.3992044062984</v>
      </c>
    </row>
    <row r="541" spans="1:12" ht="15.6" x14ac:dyDescent="0.35">
      <c r="A541" s="48"/>
      <c r="B541" s="65"/>
      <c r="C541" s="65"/>
      <c r="D541" s="65"/>
      <c r="E541" s="65"/>
      <c r="F541" s="120"/>
      <c r="G541" s="196"/>
      <c r="H541" s="229"/>
      <c r="I541" s="229"/>
      <c r="J541" s="229"/>
      <c r="K541" s="229"/>
      <c r="L541" s="229"/>
    </row>
    <row r="542" spans="1:12" ht="15.6" x14ac:dyDescent="0.35">
      <c r="A542" s="48"/>
      <c r="B542" s="85" t="s">
        <v>308</v>
      </c>
      <c r="C542" s="86"/>
      <c r="D542" s="87"/>
      <c r="E542" s="87"/>
      <c r="F542" s="88"/>
      <c r="G542" s="88"/>
      <c r="H542" s="89"/>
      <c r="I542" s="89"/>
      <c r="J542" s="89"/>
      <c r="K542" s="89"/>
      <c r="L542" s="90"/>
    </row>
    <row r="543" spans="1:12" ht="15.6" x14ac:dyDescent="0.35">
      <c r="A543" s="48"/>
      <c r="B543" s="65"/>
      <c r="C543" s="65"/>
      <c r="D543" s="65"/>
      <c r="E543" s="65"/>
      <c r="F543" s="120"/>
      <c r="G543" s="120"/>
      <c r="H543" s="120"/>
      <c r="I543" s="120"/>
      <c r="J543" s="120"/>
      <c r="K543" s="120"/>
      <c r="L543" s="120"/>
    </row>
    <row r="544" spans="1:12" ht="15.6" x14ac:dyDescent="0.35">
      <c r="A544" s="48"/>
      <c r="B544" s="65" t="s">
        <v>309</v>
      </c>
      <c r="C544" s="65"/>
      <c r="D544" s="65"/>
      <c r="E544" s="65"/>
      <c r="F544" s="120"/>
      <c r="G544" s="120"/>
      <c r="H544" s="381">
        <f>-G53-G69</f>
        <v>-2247</v>
      </c>
      <c r="I544" s="381">
        <f>-H53-H69</f>
        <v>0</v>
      </c>
      <c r="J544" s="381">
        <f>-I53-I69</f>
        <v>0</v>
      </c>
      <c r="K544" s="381">
        <f>-J53-J69</f>
        <v>0</v>
      </c>
      <c r="L544" s="381">
        <f>-K53-K69</f>
        <v>0</v>
      </c>
    </row>
    <row r="545" spans="1:12" ht="15.6" x14ac:dyDescent="0.35">
      <c r="A545" s="48"/>
      <c r="B545" s="65" t="s">
        <v>173</v>
      </c>
      <c r="C545" s="65"/>
      <c r="D545" s="65"/>
      <c r="E545" s="65"/>
      <c r="F545" s="120"/>
      <c r="G545" s="115"/>
      <c r="H545" s="381">
        <f>H537</f>
        <v>3330.6340043999958</v>
      </c>
      <c r="I545" s="381">
        <f>I537</f>
        <v>1757.8088872841361</v>
      </c>
      <c r="J545" s="381">
        <f>J537</f>
        <v>1617.7533030283662</v>
      </c>
      <c r="K545" s="381">
        <f>K537</f>
        <v>1402.7224281120382</v>
      </c>
      <c r="L545" s="381">
        <f>L537</f>
        <v>1132.3992044062984</v>
      </c>
    </row>
    <row r="546" spans="1:12" ht="16.2" thickBot="1" x14ac:dyDescent="0.4">
      <c r="A546" s="48"/>
      <c r="B546" s="72" t="s">
        <v>30</v>
      </c>
      <c r="C546" s="72"/>
      <c r="D546" s="72"/>
      <c r="E546" s="72"/>
      <c r="F546" s="243"/>
      <c r="G546" s="244"/>
      <c r="H546" s="380">
        <f>-H540</f>
        <v>-1083.6340043999958</v>
      </c>
      <c r="I546" s="380">
        <f t="shared" ref="I546:L546" si="210">-I540</f>
        <v>-1757.8088872841361</v>
      </c>
      <c r="J546" s="380">
        <f t="shared" si="210"/>
        <v>-1617.7533030283662</v>
      </c>
      <c r="K546" s="380">
        <f t="shared" si="210"/>
        <v>-1402.7224281120382</v>
      </c>
      <c r="L546" s="380">
        <f t="shared" si="210"/>
        <v>-1132.3992044062984</v>
      </c>
    </row>
    <row r="547" spans="1:12" ht="15.6" x14ac:dyDescent="0.35">
      <c r="A547" s="48"/>
      <c r="B547" s="70" t="s">
        <v>310</v>
      </c>
      <c r="C547" s="70"/>
      <c r="D547" s="70"/>
      <c r="E547" s="70"/>
      <c r="F547" s="117"/>
      <c r="G547" s="206"/>
      <c r="H547" s="382">
        <f>SUM(H544:H546)</f>
        <v>0</v>
      </c>
      <c r="I547" s="382">
        <f t="shared" ref="I547:L547" si="211">SUM(I544:I546)</f>
        <v>0</v>
      </c>
      <c r="J547" s="382">
        <f t="shared" si="211"/>
        <v>0</v>
      </c>
      <c r="K547" s="382">
        <f t="shared" si="211"/>
        <v>0</v>
      </c>
      <c r="L547" s="382">
        <f t="shared" si="211"/>
        <v>0</v>
      </c>
    </row>
    <row r="548" spans="1:12" ht="15.6" x14ac:dyDescent="0.35">
      <c r="A548" s="48"/>
      <c r="B548" s="65"/>
      <c r="C548" s="65"/>
      <c r="D548" s="65"/>
      <c r="E548" s="65"/>
      <c r="F548" s="120"/>
      <c r="G548" s="115"/>
      <c r="H548" s="115"/>
      <c r="I548" s="115"/>
      <c r="J548" s="115"/>
      <c r="K548" s="115"/>
      <c r="L548" s="115"/>
    </row>
    <row r="549" spans="1:12" ht="15.6" x14ac:dyDescent="0.35">
      <c r="A549" s="48"/>
      <c r="B549" s="383" t="s">
        <v>311</v>
      </c>
      <c r="C549" s="86"/>
      <c r="D549" s="87"/>
      <c r="E549" s="87"/>
      <c r="F549" s="88"/>
      <c r="G549" s="88"/>
      <c r="H549" s="89"/>
      <c r="I549" s="89"/>
      <c r="J549" s="89"/>
      <c r="K549" s="89"/>
      <c r="L549" s="90"/>
    </row>
    <row r="550" spans="1:12" ht="15.6" x14ac:dyDescent="0.35">
      <c r="A550" s="48"/>
      <c r="B550" s="65"/>
      <c r="C550" s="65"/>
      <c r="D550" s="65"/>
      <c r="E550" s="65"/>
      <c r="F550" s="120"/>
      <c r="G550" s="115"/>
      <c r="H550" s="115"/>
      <c r="I550" s="115"/>
      <c r="J550" s="115"/>
      <c r="K550" s="115"/>
      <c r="L550" s="115"/>
    </row>
    <row r="551" spans="1:12" ht="15.6" x14ac:dyDescent="0.35">
      <c r="A551" s="48"/>
      <c r="B551" s="371" t="s">
        <v>313</v>
      </c>
      <c r="C551" s="65"/>
      <c r="D551" s="65"/>
      <c r="E551" s="65"/>
      <c r="F551" s="120"/>
      <c r="G551" s="115"/>
      <c r="H551" s="115"/>
      <c r="I551" s="115"/>
      <c r="J551" s="115"/>
      <c r="K551" s="115"/>
      <c r="L551" s="115"/>
    </row>
    <row r="552" spans="1:12" ht="15.6" x14ac:dyDescent="0.35">
      <c r="A552" s="48"/>
      <c r="B552" s="156" t="s">
        <v>176</v>
      </c>
      <c r="C552" s="156"/>
      <c r="D552" s="156"/>
      <c r="E552" s="156"/>
      <c r="F552" s="237"/>
      <c r="G552" s="387"/>
      <c r="H552" s="396">
        <f>G78</f>
        <v>-1784</v>
      </c>
      <c r="I552" s="396">
        <f>H78</f>
        <v>-749</v>
      </c>
      <c r="J552" s="396">
        <f>I78</f>
        <v>-749</v>
      </c>
      <c r="K552" s="396">
        <f>J78</f>
        <v>-749</v>
      </c>
      <c r="L552" s="396">
        <f>K78</f>
        <v>-749</v>
      </c>
    </row>
    <row r="553" spans="1:12" ht="15.6" x14ac:dyDescent="0.35">
      <c r="A553" s="48"/>
      <c r="B553" s="386" t="s">
        <v>314</v>
      </c>
      <c r="C553" s="74"/>
      <c r="D553" s="74"/>
      <c r="E553" s="74"/>
      <c r="F553" s="369"/>
      <c r="G553" s="370"/>
      <c r="H553" s="397">
        <f>G61</f>
        <v>1035</v>
      </c>
      <c r="I553" s="397">
        <f>H61</f>
        <v>0</v>
      </c>
      <c r="J553" s="397">
        <f>I61</f>
        <v>0</v>
      </c>
      <c r="K553" s="397">
        <f>J61</f>
        <v>0</v>
      </c>
      <c r="L553" s="397">
        <f>K61</f>
        <v>0</v>
      </c>
    </row>
    <row r="554" spans="1:12" ht="15.6" x14ac:dyDescent="0.35">
      <c r="A554" s="48"/>
      <c r="B554" s="371" t="s">
        <v>312</v>
      </c>
      <c r="C554" s="371"/>
      <c r="D554" s="371"/>
      <c r="E554" s="371"/>
      <c r="F554" s="372"/>
      <c r="G554" s="373"/>
      <c r="H554" s="384">
        <f>SUM(H552:H553)</f>
        <v>-749</v>
      </c>
      <c r="I554" s="384">
        <f t="shared" ref="I554:L554" si="212">SUM(I552:I553)</f>
        <v>-749</v>
      </c>
      <c r="J554" s="384">
        <f t="shared" si="212"/>
        <v>-749</v>
      </c>
      <c r="K554" s="384">
        <f t="shared" si="212"/>
        <v>-749</v>
      </c>
      <c r="L554" s="384">
        <f t="shared" si="212"/>
        <v>-749</v>
      </c>
    </row>
    <row r="555" spans="1:12" ht="15.6" x14ac:dyDescent="0.35">
      <c r="A555" s="48"/>
      <c r="B555" s="74" t="s">
        <v>307</v>
      </c>
      <c r="C555" s="74"/>
      <c r="D555" s="74"/>
      <c r="E555" s="74"/>
      <c r="F555" s="369"/>
      <c r="G555" s="370"/>
      <c r="H555" s="385">
        <f>H538</f>
        <v>0</v>
      </c>
      <c r="I555" s="385">
        <f t="shared" ref="I555:L555" si="213">I538</f>
        <v>0</v>
      </c>
      <c r="J555" s="385">
        <f t="shared" si="213"/>
        <v>0</v>
      </c>
      <c r="K555" s="385">
        <f t="shared" si="213"/>
        <v>0</v>
      </c>
      <c r="L555" s="385">
        <f t="shared" si="213"/>
        <v>0</v>
      </c>
    </row>
    <row r="556" spans="1:12" ht="15.6" x14ac:dyDescent="0.35">
      <c r="A556" s="48"/>
      <c r="B556" s="371" t="s">
        <v>304</v>
      </c>
      <c r="C556" s="371"/>
      <c r="D556" s="371"/>
      <c r="E556" s="371"/>
      <c r="F556" s="372"/>
      <c r="G556" s="373"/>
      <c r="H556" s="384">
        <f>SUM(H554:H555)</f>
        <v>-749</v>
      </c>
      <c r="I556" s="384">
        <f t="shared" ref="I556:L556" si="214">SUM(I554:I555)</f>
        <v>-749</v>
      </c>
      <c r="J556" s="384">
        <f t="shared" si="214"/>
        <v>-749</v>
      </c>
      <c r="K556" s="384">
        <f t="shared" si="214"/>
        <v>-749</v>
      </c>
      <c r="L556" s="384">
        <f t="shared" si="214"/>
        <v>-749</v>
      </c>
    </row>
    <row r="557" spans="1:12" ht="15.6" x14ac:dyDescent="0.35">
      <c r="A557" s="48"/>
      <c r="B557" s="65"/>
      <c r="C557" s="65"/>
      <c r="D557" s="65"/>
      <c r="E557" s="65"/>
      <c r="F557" s="120"/>
      <c r="G557" s="115"/>
      <c r="H557" s="115"/>
      <c r="I557" s="115"/>
      <c r="J557" s="115"/>
      <c r="K557" s="115"/>
      <c r="L557" s="115"/>
    </row>
    <row r="558" spans="1:12" ht="15.6" x14ac:dyDescent="0.35">
      <c r="A558" s="48"/>
      <c r="B558" s="65"/>
      <c r="C558" s="65"/>
      <c r="D558" s="65"/>
      <c r="E558" s="65"/>
      <c r="F558" s="120"/>
      <c r="G558" s="115"/>
      <c r="H558" s="115"/>
      <c r="I558" s="115"/>
      <c r="J558" s="115"/>
      <c r="K558" s="115"/>
      <c r="L558" s="115"/>
    </row>
    <row r="559" spans="1:12" ht="15.6" x14ac:dyDescent="0.35">
      <c r="A559" s="48"/>
      <c r="B559" s="65"/>
      <c r="C559" s="65"/>
      <c r="D559" s="65"/>
      <c r="E559" s="65"/>
      <c r="F559" s="120"/>
      <c r="G559" s="115"/>
      <c r="H559" s="115"/>
      <c r="I559" s="115"/>
      <c r="J559" s="115"/>
      <c r="K559" s="115"/>
      <c r="L559" s="115"/>
    </row>
    <row r="560" spans="1:12" ht="15.6" x14ac:dyDescent="0.35">
      <c r="A560" s="48"/>
      <c r="B560" s="65"/>
      <c r="C560" s="65"/>
      <c r="D560" s="65"/>
      <c r="E560" s="65"/>
      <c r="F560" s="120"/>
      <c r="G560" s="115"/>
      <c r="H560" s="115"/>
      <c r="I560" s="115"/>
      <c r="J560" s="115"/>
      <c r="K560" s="115"/>
      <c r="L560" s="115"/>
    </row>
    <row r="561" spans="1:12" ht="28.8" x14ac:dyDescent="0.65">
      <c r="A561" s="48"/>
      <c r="B561" s="49" t="str">
        <f>Cover!$B$2</f>
        <v>Solid State PLC</v>
      </c>
      <c r="C561" s="49"/>
      <c r="D561" s="50"/>
      <c r="E561" s="51"/>
      <c r="F561" s="51"/>
      <c r="G561" s="51"/>
      <c r="H561" s="51"/>
      <c r="I561" s="51"/>
      <c r="J561" s="51"/>
      <c r="K561" s="51"/>
      <c r="L561" s="51"/>
    </row>
    <row r="562" spans="1:12" ht="21" x14ac:dyDescent="0.5">
      <c r="A562" s="48"/>
      <c r="B562" s="52" t="s">
        <v>175</v>
      </c>
      <c r="C562" s="53"/>
      <c r="D562" s="51"/>
      <c r="E562" s="51"/>
      <c r="F562" s="51"/>
      <c r="G562" s="51"/>
      <c r="H562" s="51"/>
      <c r="I562" s="51"/>
      <c r="J562" s="51"/>
      <c r="K562" s="51"/>
      <c r="L562" s="278" t="str">
        <f>"Currently Running: "&amp;CHOOSE(Assumptions!$B$10,Assumptions!$F$15,Assumptions!$F$16,Assumptions!$F$17)&amp;"Scenario"</f>
        <v>Currently Running: Upside Scenario</v>
      </c>
    </row>
    <row r="563" spans="1:12" ht="15.6" x14ac:dyDescent="0.35">
      <c r="A563" s="48"/>
      <c r="B563" s="54"/>
      <c r="C563" s="54"/>
      <c r="D563" s="54"/>
      <c r="E563" s="54"/>
      <c r="F563" s="54"/>
      <c r="G563" s="54"/>
      <c r="H563" s="54"/>
      <c r="I563" s="54"/>
      <c r="J563" s="54"/>
      <c r="K563" s="55"/>
      <c r="L563" s="55"/>
    </row>
    <row r="564" spans="1:12" ht="15.6" x14ac:dyDescent="0.35">
      <c r="A564" s="48"/>
      <c r="B564" s="55"/>
      <c r="C564" s="55"/>
      <c r="D564" s="55"/>
      <c r="E564" s="55"/>
      <c r="F564" s="56" t="s">
        <v>55</v>
      </c>
      <c r="G564" s="56"/>
      <c r="H564" s="56"/>
      <c r="I564" s="56"/>
      <c r="J564" s="56"/>
      <c r="K564" s="56"/>
      <c r="L564" s="56"/>
    </row>
    <row r="565" spans="1:12" ht="15.6" x14ac:dyDescent="0.35">
      <c r="A565" s="48"/>
      <c r="B565" s="55"/>
      <c r="C565" s="55"/>
      <c r="D565" s="55"/>
      <c r="E565" s="55"/>
      <c r="F565" s="57">
        <v>2025</v>
      </c>
      <c r="G565" s="57">
        <v>2026</v>
      </c>
      <c r="H565" s="58">
        <f>G565+1</f>
        <v>2027</v>
      </c>
      <c r="I565" s="58">
        <f t="shared" ref="I565" si="215">H565+1</f>
        <v>2028</v>
      </c>
      <c r="J565" s="58">
        <f t="shared" ref="J565" si="216">I565+1</f>
        <v>2029</v>
      </c>
      <c r="K565" s="58">
        <f t="shared" ref="K565" si="217">J565+1</f>
        <v>2030</v>
      </c>
      <c r="L565" s="58">
        <f t="shared" ref="L565" si="218">K565+1</f>
        <v>2031</v>
      </c>
    </row>
    <row r="566" spans="1:12" ht="16.2" thickBot="1" x14ac:dyDescent="0.4">
      <c r="B566" s="59" t="s">
        <v>54</v>
      </c>
      <c r="C566" s="59"/>
      <c r="D566" s="59"/>
      <c r="E566" s="59"/>
      <c r="F566" s="60" t="s">
        <v>56</v>
      </c>
      <c r="G566" s="60"/>
      <c r="H566" s="61"/>
      <c r="I566" s="61"/>
      <c r="J566" s="61"/>
      <c r="K566" s="61"/>
      <c r="L566" s="61" t="s">
        <v>42</v>
      </c>
    </row>
    <row r="567" spans="1:12" ht="15.6" x14ac:dyDescent="0.35">
      <c r="B567" s="55"/>
      <c r="C567" s="55"/>
      <c r="D567" s="55"/>
      <c r="E567" s="55"/>
      <c r="F567" s="83"/>
      <c r="G567" s="83"/>
      <c r="H567" s="84"/>
      <c r="I567" s="84"/>
      <c r="J567" s="84"/>
      <c r="K567" s="84"/>
      <c r="L567" s="84"/>
    </row>
    <row r="568" spans="1:12" ht="15.6" x14ac:dyDescent="0.35">
      <c r="B568" s="85" t="s">
        <v>35</v>
      </c>
      <c r="C568" s="86"/>
      <c r="D568" s="87"/>
      <c r="E568" s="87"/>
      <c r="F568" s="88"/>
      <c r="G568" s="88"/>
      <c r="H568" s="89"/>
      <c r="I568" s="89"/>
      <c r="J568" s="89"/>
      <c r="K568" s="89"/>
      <c r="L568" s="90"/>
    </row>
    <row r="569" spans="1:12" ht="15.6" x14ac:dyDescent="0.35">
      <c r="B569" s="195"/>
      <c r="C569" s="195"/>
      <c r="D569" s="55"/>
      <c r="E569" s="55"/>
      <c r="F569" s="83"/>
      <c r="G569" s="83"/>
      <c r="H569" s="101"/>
      <c r="I569" s="101"/>
      <c r="J569" s="101"/>
      <c r="K569" s="101"/>
      <c r="L569" s="101"/>
    </row>
    <row r="570" spans="1:12" ht="15" x14ac:dyDescent="0.35">
      <c r="B570" s="195" t="s">
        <v>177</v>
      </c>
      <c r="C570" s="195"/>
      <c r="D570" s="195"/>
      <c r="E570" s="195"/>
      <c r="F570" s="235"/>
      <c r="G570" s="235"/>
      <c r="H570" s="177">
        <v>0.35</v>
      </c>
      <c r="I570" s="177">
        <v>0.35</v>
      </c>
      <c r="J570" s="177">
        <v>0.35</v>
      </c>
      <c r="K570" s="177">
        <v>0.35</v>
      </c>
      <c r="L570" s="177">
        <v>0.35</v>
      </c>
    </row>
    <row r="571" spans="1:12" ht="15.6" thickBot="1" x14ac:dyDescent="0.4">
      <c r="B571" s="68" t="s">
        <v>72</v>
      </c>
      <c r="C571" s="68"/>
      <c r="D571" s="68"/>
      <c r="E571" s="68"/>
      <c r="F571" s="245"/>
      <c r="G571" s="245"/>
      <c r="H571" s="69">
        <f>H32</f>
        <v>7771.4793435999909</v>
      </c>
      <c r="I571" s="69">
        <f>I32</f>
        <v>4101.554070329651</v>
      </c>
      <c r="J571" s="69">
        <f>J32</f>
        <v>3774.7577070661878</v>
      </c>
      <c r="K571" s="69">
        <f>K32</f>
        <v>3273.0189989280898</v>
      </c>
      <c r="L571" s="69">
        <f>L32</f>
        <v>2642.2648102813632</v>
      </c>
    </row>
    <row r="572" spans="1:12" ht="15" x14ac:dyDescent="0.35">
      <c r="B572" s="195" t="s">
        <v>178</v>
      </c>
      <c r="C572" s="195"/>
      <c r="D572" s="195"/>
      <c r="E572" s="195"/>
      <c r="F572" s="235"/>
      <c r="G572" s="235"/>
      <c r="H572" s="67">
        <f>H571*H570</f>
        <v>2720.0177702599967</v>
      </c>
      <c r="I572" s="67">
        <f t="shared" ref="I572" si="219">I571*I570</f>
        <v>1435.5439246153778</v>
      </c>
      <c r="J572" s="67">
        <f>MAX(0, J571*J570)</f>
        <v>1321.1651974731656</v>
      </c>
      <c r="K572" s="67">
        <f t="shared" ref="K572:L572" si="220">MAX(0, K571*K570)</f>
        <v>1145.5566496248314</v>
      </c>
      <c r="L572" s="67">
        <f t="shared" si="220"/>
        <v>924.79268359847708</v>
      </c>
    </row>
    <row r="573" spans="1:12" ht="15" x14ac:dyDescent="0.35">
      <c r="B573" s="195"/>
      <c r="C573" s="195"/>
      <c r="D573" s="195"/>
      <c r="E573" s="195"/>
      <c r="F573" s="235"/>
      <c r="G573" s="235"/>
      <c r="H573" s="101"/>
      <c r="I573" s="101"/>
      <c r="J573" s="101"/>
      <c r="K573" s="101"/>
      <c r="L573" s="101"/>
    </row>
    <row r="574" spans="1:12" ht="15.6" x14ac:dyDescent="0.35">
      <c r="B574" s="85" t="s">
        <v>179</v>
      </c>
      <c r="C574" s="86"/>
      <c r="D574" s="87"/>
      <c r="E574" s="87"/>
      <c r="F574" s="88"/>
      <c r="G574" s="88"/>
      <c r="H574" s="89"/>
      <c r="I574" s="89"/>
      <c r="J574" s="89"/>
      <c r="K574" s="89"/>
      <c r="L574" s="90"/>
    </row>
    <row r="575" spans="1:12" ht="15" x14ac:dyDescent="0.35">
      <c r="B575" s="124"/>
      <c r="C575" s="124"/>
      <c r="D575" s="124"/>
      <c r="E575" s="124"/>
      <c r="F575" s="235"/>
      <c r="G575" s="235"/>
      <c r="H575" s="101"/>
      <c r="I575" s="101"/>
      <c r="J575" s="101"/>
      <c r="K575" s="101"/>
      <c r="L575" s="101"/>
    </row>
    <row r="576" spans="1:12" ht="15" x14ac:dyDescent="0.35">
      <c r="B576" s="195" t="s">
        <v>180</v>
      </c>
      <c r="C576" s="195"/>
      <c r="D576" s="195"/>
      <c r="E576" s="195"/>
      <c r="F576" s="235"/>
      <c r="G576" s="235"/>
      <c r="H576" s="67">
        <f>G581</f>
        <v>35600</v>
      </c>
      <c r="I576" s="67">
        <f t="shared" ref="I576:L576" si="221">H581</f>
        <v>40651.461573339991</v>
      </c>
      <c r="J576" s="67">
        <f t="shared" si="221"/>
        <v>43317.471719054265</v>
      </c>
      <c r="K576" s="67">
        <f t="shared" si="221"/>
        <v>45771.064228647287</v>
      </c>
      <c r="L576" s="67">
        <f t="shared" si="221"/>
        <v>47898.52657795055</v>
      </c>
    </row>
    <row r="577" spans="2:12" ht="15" x14ac:dyDescent="0.35">
      <c r="B577" s="247" t="s">
        <v>181</v>
      </c>
      <c r="C577" s="248"/>
      <c r="D577" s="248"/>
      <c r="E577" s="248"/>
      <c r="F577" s="249"/>
      <c r="G577" s="249"/>
      <c r="H577" s="133">
        <f>H32</f>
        <v>7771.4793435999909</v>
      </c>
      <c r="I577" s="133">
        <f>I32</f>
        <v>4101.554070329651</v>
      </c>
      <c r="J577" s="133">
        <f>J32</f>
        <v>3774.7577070661878</v>
      </c>
      <c r="K577" s="133">
        <f>K32</f>
        <v>3273.0189989280898</v>
      </c>
      <c r="L577" s="133">
        <f>L32</f>
        <v>2642.2648102813632</v>
      </c>
    </row>
    <row r="578" spans="2:12" ht="15" x14ac:dyDescent="0.35">
      <c r="B578" s="246" t="s">
        <v>182</v>
      </c>
      <c r="C578" s="65"/>
      <c r="D578" s="65"/>
      <c r="E578" s="65"/>
      <c r="F578" s="65"/>
      <c r="G578" s="65"/>
      <c r="H578" s="67">
        <f>-H572</f>
        <v>-2720.0177702599967</v>
      </c>
      <c r="I578" s="67">
        <f t="shared" ref="I578:L578" si="222">-I572</f>
        <v>-1435.5439246153778</v>
      </c>
      <c r="J578" s="67">
        <f t="shared" si="222"/>
        <v>-1321.1651974731656</v>
      </c>
      <c r="K578" s="67">
        <f t="shared" si="222"/>
        <v>-1145.5566496248314</v>
      </c>
      <c r="L578" s="67">
        <f t="shared" si="222"/>
        <v>-924.79268359847708</v>
      </c>
    </row>
    <row r="579" spans="2:12" ht="15" x14ac:dyDescent="0.35">
      <c r="B579" s="246" t="s">
        <v>183</v>
      </c>
      <c r="C579" s="65"/>
      <c r="D579" s="65"/>
      <c r="E579" s="65"/>
      <c r="F579" s="65"/>
      <c r="G579" s="65"/>
      <c r="H579" s="252">
        <f>0</f>
        <v>0</v>
      </c>
      <c r="I579" s="252">
        <f>0</f>
        <v>0</v>
      </c>
      <c r="J579" s="252">
        <f>0</f>
        <v>0</v>
      </c>
      <c r="K579" s="252">
        <f>0</f>
        <v>0</v>
      </c>
      <c r="L579" s="252">
        <f>0</f>
        <v>0</v>
      </c>
    </row>
    <row r="580" spans="2:12" ht="15.6" thickBot="1" x14ac:dyDescent="0.4">
      <c r="B580" s="250" t="s">
        <v>184</v>
      </c>
      <c r="C580" s="72"/>
      <c r="D580" s="72"/>
      <c r="E580" s="72"/>
      <c r="F580" s="72"/>
      <c r="G580" s="72"/>
      <c r="H580" s="251">
        <f>0</f>
        <v>0</v>
      </c>
      <c r="I580" s="251">
        <f>0</f>
        <v>0</v>
      </c>
      <c r="J580" s="251">
        <f>0</f>
        <v>0</v>
      </c>
      <c r="K580" s="251">
        <f>0</f>
        <v>0</v>
      </c>
      <c r="L580" s="251">
        <f>0</f>
        <v>0</v>
      </c>
    </row>
    <row r="581" spans="2:12" ht="15" x14ac:dyDescent="0.35">
      <c r="B581" s="65" t="s">
        <v>185</v>
      </c>
      <c r="C581" s="65"/>
      <c r="D581" s="65"/>
      <c r="E581" s="65"/>
      <c r="F581" s="65"/>
      <c r="G581" s="67">
        <f>G86</f>
        <v>35600</v>
      </c>
      <c r="H581" s="67">
        <f>SUM(H576:H580)</f>
        <v>40651.461573339991</v>
      </c>
      <c r="I581" s="67">
        <f t="shared" ref="I581:L581" si="223">SUM(I576:I580)</f>
        <v>43317.471719054265</v>
      </c>
      <c r="J581" s="67">
        <f t="shared" si="223"/>
        <v>45771.064228647287</v>
      </c>
      <c r="K581" s="67">
        <f t="shared" si="223"/>
        <v>47898.52657795055</v>
      </c>
      <c r="L581" s="67">
        <f t="shared" si="223"/>
        <v>49615.998704633435</v>
      </c>
    </row>
    <row r="582" spans="2:12" ht="15" x14ac:dyDescent="0.35">
      <c r="B582" s="70"/>
      <c r="C582" s="70"/>
      <c r="D582" s="70"/>
      <c r="E582" s="70"/>
      <c r="F582" s="70"/>
      <c r="G582" s="206"/>
      <c r="H582" s="206"/>
      <c r="I582" s="206"/>
      <c r="J582" s="206"/>
      <c r="K582" s="206"/>
      <c r="L582" s="206"/>
    </row>
    <row r="583" spans="2:12" ht="15" x14ac:dyDescent="0.35">
      <c r="B583" s="65"/>
      <c r="C583" s="65"/>
      <c r="D583" s="65"/>
      <c r="E583" s="65"/>
      <c r="F583" s="65"/>
      <c r="G583" s="65"/>
      <c r="H583" s="92"/>
      <c r="I583" s="92"/>
      <c r="J583" s="92"/>
      <c r="K583" s="92"/>
      <c r="L583" s="92"/>
    </row>
    <row r="584" spans="2:12" ht="15.6" x14ac:dyDescent="0.35">
      <c r="B584" s="48"/>
      <c r="C584" s="48"/>
      <c r="D584" s="48"/>
      <c r="E584" s="48"/>
      <c r="F584" s="48"/>
      <c r="G584" s="48"/>
      <c r="H584" s="236"/>
      <c r="I584" s="236"/>
      <c r="J584" s="236"/>
      <c r="K584" s="236"/>
      <c r="L584" s="236"/>
    </row>
    <row r="585" spans="2:12" ht="15.6" x14ac:dyDescent="0.35">
      <c r="B585" s="48"/>
      <c r="C585" s="48"/>
      <c r="D585" s="96"/>
      <c r="E585" s="96"/>
      <c r="F585" s="96"/>
      <c r="G585" s="96"/>
      <c r="H585" s="125"/>
      <c r="I585" s="125"/>
      <c r="J585" s="125"/>
      <c r="K585" s="125"/>
      <c r="L585" s="125"/>
    </row>
    <row r="586" spans="2:12" ht="15.6" x14ac:dyDescent="0.35">
      <c r="B586" s="48"/>
      <c r="C586" s="48"/>
      <c r="D586" s="48"/>
      <c r="E586" s="48"/>
      <c r="F586" s="48"/>
      <c r="G586" s="48"/>
      <c r="H586" s="125"/>
      <c r="I586" s="125"/>
      <c r="J586" s="125"/>
      <c r="K586" s="125"/>
      <c r="L586" s="125"/>
    </row>
    <row r="587" spans="2:12" ht="15.6" x14ac:dyDescent="0.35">
      <c r="B587" s="48"/>
      <c r="C587" s="48"/>
      <c r="D587" s="48"/>
      <c r="E587" s="48"/>
      <c r="F587" s="48"/>
      <c r="G587" s="48"/>
      <c r="H587" s="125"/>
      <c r="I587" s="125"/>
      <c r="J587" s="125"/>
      <c r="K587" s="125"/>
      <c r="L587" s="125"/>
    </row>
    <row r="588" spans="2:12" ht="15.6" x14ac:dyDescent="0.35">
      <c r="B588" s="96"/>
      <c r="C588" s="96"/>
      <c r="D588" s="48"/>
      <c r="E588" s="48"/>
      <c r="F588" s="48"/>
      <c r="G588" s="48"/>
      <c r="H588" s="125"/>
      <c r="I588" s="125"/>
      <c r="J588" s="125"/>
      <c r="K588" s="125"/>
      <c r="L588" s="125"/>
    </row>
    <row r="589" spans="2:12" ht="15.6" x14ac:dyDescent="0.35">
      <c r="B589" s="48"/>
      <c r="C589" s="48"/>
      <c r="D589" s="48"/>
      <c r="E589" s="48"/>
      <c r="F589" s="48"/>
      <c r="G589" s="48"/>
      <c r="H589" s="125"/>
      <c r="I589" s="125"/>
      <c r="J589" s="125"/>
      <c r="K589" s="125"/>
      <c r="L589" s="125"/>
    </row>
    <row r="590" spans="2:12" ht="15.6" x14ac:dyDescent="0.35">
      <c r="B590" s="48"/>
      <c r="C590" s="48"/>
      <c r="D590" s="48"/>
      <c r="E590" s="48"/>
      <c r="F590" s="48"/>
      <c r="G590" s="48"/>
      <c r="H590" s="98"/>
      <c r="I590" s="98"/>
      <c r="J590" s="98"/>
      <c r="K590" s="98"/>
      <c r="L590" s="98"/>
    </row>
    <row r="591" spans="2:12" ht="15.6" x14ac:dyDescent="0.35">
      <c r="B591" s="96"/>
      <c r="C591" s="96"/>
      <c r="D591" s="96"/>
      <c r="E591" s="96"/>
      <c r="F591" s="96"/>
      <c r="G591" s="96"/>
      <c r="H591" s="125"/>
      <c r="I591" s="125"/>
      <c r="J591" s="125"/>
      <c r="K591" s="125"/>
      <c r="L591" s="125"/>
    </row>
    <row r="593" spans="2:12" x14ac:dyDescent="0.3">
      <c r="B593" s="5"/>
      <c r="C593" s="5"/>
    </row>
    <row r="595" spans="2:12" x14ac:dyDescent="0.3">
      <c r="H595" s="32"/>
      <c r="I595" s="32"/>
      <c r="J595" s="32"/>
      <c r="K595" s="32"/>
      <c r="L595" s="32"/>
    </row>
    <row r="596" spans="2:12" x14ac:dyDescent="0.3">
      <c r="H596" s="34"/>
      <c r="I596" s="34"/>
      <c r="J596" s="34"/>
      <c r="K596" s="34"/>
      <c r="L596" s="34"/>
    </row>
    <row r="597" spans="2:12" x14ac:dyDescent="0.3">
      <c r="B597" s="5"/>
      <c r="C597" s="5"/>
      <c r="D597" s="5"/>
      <c r="E597" s="5"/>
      <c r="F597" s="5"/>
      <c r="G597" s="5"/>
      <c r="H597" s="31"/>
      <c r="I597" s="31"/>
      <c r="J597" s="31"/>
      <c r="K597" s="31"/>
      <c r="L597" s="31"/>
    </row>
    <row r="598" spans="2:12" x14ac:dyDescent="0.3">
      <c r="B598" s="5"/>
      <c r="C598" s="5"/>
      <c r="D598" s="5"/>
      <c r="E598" s="5"/>
      <c r="F598" s="5"/>
      <c r="G598" s="5"/>
      <c r="H598" s="31"/>
      <c r="I598" s="31"/>
      <c r="J598" s="31"/>
      <c r="K598" s="31"/>
      <c r="L598" s="31"/>
    </row>
    <row r="599" spans="2:12" x14ac:dyDescent="0.3">
      <c r="B599" s="5"/>
      <c r="C599" s="5"/>
    </row>
    <row r="601" spans="2:12" x14ac:dyDescent="0.3">
      <c r="H601" s="32"/>
      <c r="I601" s="32"/>
      <c r="J601" s="32"/>
      <c r="K601" s="32"/>
      <c r="L601" s="32"/>
    </row>
    <row r="602" spans="2:12" x14ac:dyDescent="0.3">
      <c r="H602" s="34"/>
      <c r="I602" s="34"/>
      <c r="J602" s="34"/>
      <c r="K602" s="34"/>
      <c r="L602" s="34"/>
    </row>
    <row r="603" spans="2:12" x14ac:dyDescent="0.3">
      <c r="B603" s="5"/>
      <c r="C603" s="5"/>
      <c r="D603" s="5"/>
      <c r="E603" s="5"/>
      <c r="F603" s="5"/>
      <c r="G603" s="5"/>
      <c r="H603" s="31"/>
      <c r="I603" s="31"/>
      <c r="J603" s="31"/>
      <c r="K603" s="31"/>
      <c r="L603" s="31"/>
    </row>
    <row r="604" spans="2:12" x14ac:dyDescent="0.3">
      <c r="B604" s="5"/>
      <c r="C604" s="5"/>
      <c r="H604" s="35"/>
    </row>
    <row r="605" spans="2:12" x14ac:dyDescent="0.3">
      <c r="B605" s="5"/>
      <c r="C605" s="5"/>
    </row>
    <row r="607" spans="2:12" x14ac:dyDescent="0.3">
      <c r="H607" s="32"/>
      <c r="I607" s="32"/>
      <c r="J607" s="32"/>
      <c r="K607" s="32"/>
      <c r="L607" s="32"/>
    </row>
    <row r="608" spans="2:12" x14ac:dyDescent="0.3">
      <c r="H608" s="34"/>
      <c r="I608" s="34"/>
      <c r="J608" s="34"/>
      <c r="K608" s="34"/>
      <c r="L608" s="34"/>
    </row>
    <row r="609" spans="2:12" x14ac:dyDescent="0.3">
      <c r="B609" s="5"/>
      <c r="C609" s="5"/>
      <c r="D609" s="5"/>
      <c r="E609" s="5"/>
      <c r="F609" s="5"/>
      <c r="G609" s="5"/>
      <c r="H609" s="31"/>
      <c r="I609" s="31"/>
      <c r="J609" s="31"/>
      <c r="K609" s="31"/>
      <c r="L609" s="31"/>
    </row>
    <row r="610" spans="2:12" x14ac:dyDescent="0.3">
      <c r="B610" s="5"/>
      <c r="C610" s="5"/>
      <c r="D610" s="5"/>
      <c r="E610" s="5"/>
      <c r="F610" s="5"/>
      <c r="G610" s="5"/>
      <c r="H610" s="31"/>
      <c r="I610" s="31"/>
      <c r="J610" s="31"/>
      <c r="K610" s="31"/>
      <c r="L610" s="31"/>
    </row>
    <row r="611" spans="2:12" x14ac:dyDescent="0.3">
      <c r="B611" s="5"/>
      <c r="C611" s="5"/>
      <c r="D611" s="5"/>
      <c r="E611" s="5"/>
      <c r="F611" s="5"/>
      <c r="G611" s="5"/>
      <c r="H611" s="31"/>
      <c r="I611" s="31"/>
      <c r="J611" s="31"/>
      <c r="K611" s="31"/>
      <c r="L611" s="31"/>
    </row>
    <row r="612" spans="2:12" x14ac:dyDescent="0.3">
      <c r="B612" s="5"/>
      <c r="C612" s="5"/>
      <c r="D612" s="5"/>
      <c r="E612" s="5"/>
      <c r="F612" s="5"/>
      <c r="G612" s="5"/>
      <c r="H612" s="31"/>
      <c r="I612" s="31"/>
      <c r="J612" s="31"/>
      <c r="K612" s="31"/>
      <c r="L612" s="31"/>
    </row>
    <row r="613" spans="2:12" x14ac:dyDescent="0.3">
      <c r="B613" s="5"/>
      <c r="C613" s="5"/>
    </row>
    <row r="615" spans="2:12" x14ac:dyDescent="0.3">
      <c r="H615" s="32"/>
      <c r="I615" s="32"/>
      <c r="J615" s="32"/>
      <c r="K615" s="32"/>
      <c r="L615" s="32"/>
    </row>
    <row r="616" spans="2:12" x14ac:dyDescent="0.3">
      <c r="H616" s="34"/>
      <c r="I616" s="34"/>
      <c r="J616" s="34"/>
      <c r="K616" s="34"/>
      <c r="L616" s="34"/>
    </row>
    <row r="617" spans="2:12" x14ac:dyDescent="0.3">
      <c r="B617" s="5"/>
      <c r="C617" s="5"/>
      <c r="D617" s="5"/>
      <c r="E617" s="5"/>
      <c r="F617" s="5"/>
      <c r="G617" s="5"/>
      <c r="H617" s="31"/>
      <c r="I617" s="31"/>
      <c r="J617" s="31"/>
      <c r="K617" s="31"/>
      <c r="L617" s="31"/>
    </row>
    <row r="618" spans="2:12" x14ac:dyDescent="0.3">
      <c r="B618" s="5"/>
      <c r="C618" s="5"/>
      <c r="H618" s="35"/>
    </row>
    <row r="619" spans="2:12" x14ac:dyDescent="0.3">
      <c r="B619" s="5"/>
      <c r="C619" s="5"/>
    </row>
    <row r="621" spans="2:12" x14ac:dyDescent="0.3">
      <c r="H621" s="32"/>
      <c r="I621" s="32"/>
      <c r="J621" s="32"/>
      <c r="K621" s="32"/>
      <c r="L621" s="32"/>
    </row>
    <row r="622" spans="2:12" x14ac:dyDescent="0.3">
      <c r="H622" s="34"/>
      <c r="I622" s="34"/>
      <c r="J622" s="34"/>
      <c r="K622" s="34"/>
      <c r="L622" s="34"/>
    </row>
    <row r="623" spans="2:12" x14ac:dyDescent="0.3">
      <c r="B623" s="5"/>
      <c r="C623" s="5"/>
      <c r="D623" s="5"/>
      <c r="E623" s="5"/>
      <c r="F623" s="5"/>
      <c r="G623" s="5"/>
      <c r="H623" s="31"/>
      <c r="I623" s="31"/>
      <c r="J623" s="31"/>
      <c r="K623" s="31"/>
      <c r="L623" s="31"/>
    </row>
    <row r="624" spans="2:12" x14ac:dyDescent="0.3">
      <c r="B624" s="5"/>
      <c r="C624" s="5"/>
      <c r="D624" s="5"/>
      <c r="E624" s="5"/>
      <c r="F624" s="5"/>
      <c r="G624" s="5"/>
      <c r="H624" s="31"/>
      <c r="I624" s="31"/>
      <c r="J624" s="31"/>
      <c r="K624" s="31"/>
      <c r="L624" s="31"/>
    </row>
    <row r="625" spans="2:12" x14ac:dyDescent="0.3">
      <c r="E625" s="5"/>
      <c r="F625" s="5"/>
      <c r="G625" s="5"/>
      <c r="H625" s="31"/>
      <c r="I625" s="31"/>
      <c r="J625" s="31"/>
      <c r="K625" s="31"/>
      <c r="L625" s="31"/>
    </row>
    <row r="626" spans="2:12" x14ac:dyDescent="0.3">
      <c r="E626" s="5"/>
      <c r="F626" s="5"/>
      <c r="G626" s="5"/>
      <c r="H626" s="31"/>
      <c r="I626" s="31"/>
      <c r="J626" s="31"/>
      <c r="K626" s="31"/>
      <c r="L626" s="31"/>
    </row>
    <row r="627" spans="2:12" x14ac:dyDescent="0.3">
      <c r="B627" s="5"/>
      <c r="C627" s="5"/>
      <c r="D627" s="5"/>
      <c r="H627" s="31"/>
      <c r="I627" s="31"/>
      <c r="J627" s="31"/>
      <c r="K627" s="31"/>
      <c r="L627" s="31"/>
    </row>
    <row r="628" spans="2:12" x14ac:dyDescent="0.3">
      <c r="B628" s="5"/>
      <c r="C628" s="5"/>
      <c r="D628" s="5"/>
      <c r="H628" s="31"/>
      <c r="I628" s="31"/>
      <c r="J628" s="31"/>
      <c r="K628" s="31"/>
      <c r="L628" s="31"/>
    </row>
    <row r="629" spans="2:12" x14ac:dyDescent="0.3">
      <c r="B629" s="5"/>
      <c r="C629" s="5"/>
      <c r="H629" s="31"/>
      <c r="I629" s="31"/>
      <c r="J629" s="31"/>
      <c r="K629" s="31"/>
      <c r="L629" s="31"/>
    </row>
    <row r="630" spans="2:12" x14ac:dyDescent="0.3">
      <c r="B630" s="5"/>
      <c r="C630" s="5"/>
      <c r="D630" s="5"/>
      <c r="H630" s="36"/>
      <c r="I630" s="36"/>
      <c r="J630" s="36"/>
      <c r="K630" s="36"/>
      <c r="L630" s="36"/>
    </row>
    <row r="633" spans="2:12" ht="25.8" x14ac:dyDescent="0.5">
      <c r="B633" s="3"/>
      <c r="C633" s="3"/>
      <c r="D633" s="3"/>
      <c r="E633" s="4"/>
      <c r="F633" s="4"/>
      <c r="G633" s="4"/>
      <c r="H633" s="4"/>
      <c r="I633" s="4"/>
      <c r="J633" s="4"/>
      <c r="K633" s="4"/>
      <c r="L633" s="4"/>
    </row>
    <row r="634" spans="2:12" x14ac:dyDescent="0.3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spans="2:12" x14ac:dyDescent="0.3">
      <c r="B635" s="4"/>
      <c r="C635" s="4"/>
      <c r="D635" s="4"/>
      <c r="E635" s="4"/>
      <c r="F635" s="4"/>
      <c r="G635" s="4"/>
      <c r="H635" s="4"/>
      <c r="I635" s="4"/>
      <c r="J635" s="4"/>
    </row>
    <row r="636" spans="2:12" x14ac:dyDescent="0.3">
      <c r="B636" s="4"/>
      <c r="C636" s="4"/>
      <c r="D636" s="4"/>
      <c r="E636" s="4"/>
      <c r="F636" s="4"/>
      <c r="G636" s="4"/>
      <c r="H636" s="4"/>
      <c r="I636" s="4"/>
      <c r="J636" s="4"/>
    </row>
    <row r="638" spans="2:12" x14ac:dyDescent="0.3">
      <c r="F638" s="28"/>
      <c r="G638" s="28"/>
      <c r="H638" s="29"/>
      <c r="I638" s="29"/>
      <c r="J638" s="29"/>
      <c r="K638" s="29"/>
      <c r="L638" s="29"/>
    </row>
    <row r="640" spans="2:12" x14ac:dyDescent="0.3">
      <c r="B640" s="5"/>
      <c r="C640" s="5"/>
    </row>
    <row r="641" spans="2:12" x14ac:dyDescent="0.3">
      <c r="B641" s="5"/>
      <c r="C641" s="5"/>
    </row>
    <row r="642" spans="2:12" x14ac:dyDescent="0.3">
      <c r="H642" s="30"/>
      <c r="I642" s="30"/>
      <c r="J642" s="30"/>
      <c r="K642" s="30"/>
      <c r="L642" s="30"/>
    </row>
    <row r="643" spans="2:12" x14ac:dyDescent="0.3">
      <c r="F643" s="8"/>
      <c r="H643" s="32"/>
      <c r="I643" s="32"/>
      <c r="J643" s="32"/>
      <c r="K643" s="32"/>
      <c r="L643" s="32"/>
    </row>
    <row r="644" spans="2:12" x14ac:dyDescent="0.3">
      <c r="H644" s="32"/>
      <c r="I644" s="32"/>
      <c r="J644" s="32"/>
      <c r="K644" s="32"/>
      <c r="L644" s="32"/>
    </row>
    <row r="645" spans="2:12" x14ac:dyDescent="0.3">
      <c r="H645" s="32"/>
      <c r="I645" s="32"/>
      <c r="J645" s="32"/>
      <c r="K645" s="32"/>
      <c r="L645" s="32"/>
    </row>
    <row r="646" spans="2:12" x14ac:dyDescent="0.3">
      <c r="H646" s="32"/>
      <c r="I646" s="32"/>
      <c r="J646" s="32"/>
      <c r="K646" s="32"/>
      <c r="L646" s="32"/>
    </row>
    <row r="647" spans="2:12" x14ac:dyDescent="0.3">
      <c r="H647" s="32"/>
      <c r="I647" s="32"/>
      <c r="J647" s="32"/>
      <c r="K647" s="32"/>
      <c r="L647" s="32"/>
    </row>
    <row r="648" spans="2:12" x14ac:dyDescent="0.3">
      <c r="B648" s="5"/>
      <c r="C648" s="5"/>
      <c r="D648" s="5"/>
      <c r="E648" s="5"/>
      <c r="F648" s="5"/>
      <c r="G648" s="5"/>
      <c r="H648" s="10"/>
      <c r="I648" s="10"/>
      <c r="J648" s="10"/>
      <c r="K648" s="10"/>
      <c r="L648" s="10"/>
    </row>
    <row r="649" spans="2:12" x14ac:dyDescent="0.3">
      <c r="B649" s="5"/>
      <c r="C649" s="5"/>
      <c r="D649" s="5"/>
      <c r="E649" s="5"/>
      <c r="F649" s="5"/>
      <c r="G649" s="5"/>
      <c r="H649" s="37"/>
      <c r="I649" s="37"/>
      <c r="J649" s="37"/>
      <c r="K649" s="37"/>
      <c r="L649" s="37"/>
    </row>
    <row r="650" spans="2:12" x14ac:dyDescent="0.3">
      <c r="B650" s="5"/>
      <c r="C650" s="5"/>
      <c r="D650" s="5"/>
      <c r="E650" s="5"/>
      <c r="F650" s="5"/>
      <c r="G650" s="5"/>
      <c r="H650" s="37"/>
      <c r="I650" s="37"/>
      <c r="J650" s="37"/>
      <c r="K650" s="37"/>
      <c r="L650" s="37"/>
    </row>
    <row r="651" spans="2:12" x14ac:dyDescent="0.3">
      <c r="B651" s="5"/>
      <c r="C651" s="5"/>
      <c r="D651" s="5"/>
      <c r="E651" s="5"/>
      <c r="F651" s="5"/>
      <c r="G651" s="5"/>
      <c r="H651" s="37"/>
      <c r="I651" s="37"/>
      <c r="J651" s="37"/>
      <c r="K651" s="37"/>
      <c r="L651" s="37"/>
    </row>
    <row r="652" spans="2:12" x14ac:dyDescent="0.3">
      <c r="D652" s="5"/>
      <c r="E652" s="5"/>
      <c r="F652" s="5"/>
      <c r="G652" s="5"/>
      <c r="H652" s="32"/>
      <c r="I652" s="32"/>
      <c r="J652" s="32"/>
      <c r="K652" s="32"/>
      <c r="L652" s="32"/>
    </row>
    <row r="653" spans="2:12" x14ac:dyDescent="0.3">
      <c r="D653" s="5"/>
      <c r="E653" s="5"/>
      <c r="F653" s="5"/>
      <c r="G653" s="5"/>
      <c r="H653" s="32"/>
      <c r="I653" s="32"/>
      <c r="J653" s="32"/>
      <c r="K653" s="32"/>
      <c r="L653" s="32"/>
    </row>
    <row r="654" spans="2:12" x14ac:dyDescent="0.3">
      <c r="D654" s="5"/>
      <c r="E654" s="5"/>
      <c r="F654" s="5"/>
      <c r="G654" s="5"/>
      <c r="H654" s="32"/>
      <c r="I654" s="30"/>
      <c r="J654" s="30"/>
      <c r="K654" s="30"/>
      <c r="L654" s="30"/>
    </row>
    <row r="655" spans="2:12" x14ac:dyDescent="0.3">
      <c r="D655" s="5"/>
      <c r="E655" s="5"/>
      <c r="F655" s="5"/>
      <c r="G655" s="5"/>
      <c r="H655" s="32"/>
      <c r="I655" s="32"/>
      <c r="J655" s="30"/>
      <c r="K655" s="32"/>
      <c r="L655" s="32"/>
    </row>
    <row r="656" spans="2:12" x14ac:dyDescent="0.3">
      <c r="D656" s="5"/>
      <c r="E656" s="5"/>
      <c r="F656" s="5"/>
      <c r="G656" s="5"/>
      <c r="H656" s="32"/>
      <c r="I656" s="32"/>
      <c r="J656" s="32"/>
      <c r="K656" s="30"/>
      <c r="L656" s="30"/>
    </row>
    <row r="657" spans="2:12" x14ac:dyDescent="0.3">
      <c r="D657" s="5"/>
      <c r="E657" s="5"/>
      <c r="F657" s="5"/>
      <c r="G657" s="5"/>
      <c r="H657" s="32"/>
      <c r="I657" s="32"/>
      <c r="J657" s="32"/>
      <c r="K657" s="32"/>
      <c r="L657" s="30"/>
    </row>
    <row r="658" spans="2:12" x14ac:dyDescent="0.3">
      <c r="B658" s="5"/>
      <c r="C658" s="5"/>
      <c r="D658" s="5"/>
      <c r="E658" s="5"/>
      <c r="F658" s="5"/>
      <c r="G658" s="5"/>
      <c r="H658" s="10"/>
      <c r="I658" s="10"/>
      <c r="J658" s="10"/>
      <c r="K658" s="10"/>
      <c r="L658" s="10"/>
    </row>
    <row r="660" spans="2:12" x14ac:dyDescent="0.3">
      <c r="B660" s="5"/>
      <c r="C660" s="5"/>
      <c r="F660" s="5"/>
      <c r="G660" s="5"/>
      <c r="H660" s="5"/>
      <c r="I660" s="5"/>
      <c r="J660" s="5"/>
      <c r="K660" s="5"/>
      <c r="L660" s="5"/>
    </row>
    <row r="662" spans="2:12" x14ac:dyDescent="0.3">
      <c r="F662" s="32"/>
      <c r="G662" s="32"/>
      <c r="H662" s="32"/>
      <c r="I662" s="32"/>
      <c r="J662" s="32"/>
      <c r="K662" s="32"/>
      <c r="L662" s="32"/>
    </row>
    <row r="663" spans="2:12" x14ac:dyDescent="0.3">
      <c r="F663" s="32"/>
      <c r="G663" s="38"/>
      <c r="H663" s="38"/>
      <c r="I663" s="32"/>
      <c r="J663" s="32"/>
      <c r="K663" s="32"/>
      <c r="L663" s="32"/>
    </row>
    <row r="664" spans="2:12" x14ac:dyDescent="0.3">
      <c r="F664" s="32"/>
      <c r="G664" s="32"/>
      <c r="H664" s="32"/>
      <c r="I664" s="32"/>
      <c r="J664" s="32"/>
      <c r="K664" s="32"/>
      <c r="L664" s="32"/>
    </row>
    <row r="665" spans="2:12" x14ac:dyDescent="0.3">
      <c r="B665" s="5"/>
      <c r="C665" s="5"/>
      <c r="D665" s="5"/>
      <c r="E665" s="5"/>
      <c r="F665" s="10"/>
      <c r="G665" s="10"/>
      <c r="H665" s="10"/>
      <c r="I665" s="10"/>
      <c r="J665" s="10"/>
      <c r="K665" s="10"/>
      <c r="L665" s="10"/>
    </row>
    <row r="667" spans="2:12" x14ac:dyDescent="0.3">
      <c r="B667" s="5"/>
      <c r="C667" s="5"/>
    </row>
    <row r="669" spans="2:12" x14ac:dyDescent="0.3">
      <c r="F669" s="6"/>
      <c r="G669" s="32"/>
      <c r="H669" s="32"/>
      <c r="I669" s="32"/>
      <c r="J669" s="32"/>
      <c r="K669" s="32"/>
      <c r="L669" s="32"/>
    </row>
    <row r="670" spans="2:12" x14ac:dyDescent="0.3">
      <c r="F670" s="9"/>
      <c r="G670" s="9"/>
      <c r="H670" s="38"/>
      <c r="I670" s="38"/>
      <c r="J670" s="38"/>
      <c r="K670" s="38"/>
      <c r="L670" s="38"/>
    </row>
    <row r="671" spans="2:12" x14ac:dyDescent="0.3">
      <c r="F671" s="39"/>
      <c r="G671" s="39"/>
      <c r="H671" s="38"/>
      <c r="I671" s="38"/>
      <c r="J671" s="38"/>
      <c r="K671" s="38"/>
      <c r="L671" s="38"/>
    </row>
    <row r="672" spans="2:12" x14ac:dyDescent="0.3">
      <c r="F672" s="5"/>
      <c r="G672" s="5"/>
      <c r="H672" s="10"/>
      <c r="I672" s="10"/>
      <c r="J672" s="10"/>
      <c r="K672" s="10"/>
      <c r="L672" s="10"/>
    </row>
    <row r="675" spans="2:12" ht="25.8" x14ac:dyDescent="0.5">
      <c r="B675" s="3"/>
      <c r="C675" s="3"/>
      <c r="D675" s="3"/>
      <c r="E675" s="4"/>
      <c r="F675" s="4"/>
      <c r="G675" s="4"/>
      <c r="H675" s="4"/>
      <c r="I675" s="4"/>
      <c r="J675" s="4"/>
      <c r="K675" s="4"/>
      <c r="L675" s="4"/>
    </row>
    <row r="676" spans="2:12" x14ac:dyDescent="0.3"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spans="2:12" x14ac:dyDescent="0.3">
      <c r="B677" s="4"/>
      <c r="C677" s="4"/>
      <c r="D677" s="4"/>
      <c r="E677" s="4"/>
      <c r="F677" s="4"/>
      <c r="G677" s="4"/>
      <c r="H677" s="4"/>
      <c r="I677" s="4"/>
      <c r="J677" s="4"/>
    </row>
    <row r="678" spans="2:12" x14ac:dyDescent="0.3">
      <c r="B678" s="4"/>
      <c r="C678" s="4"/>
      <c r="D678" s="4"/>
      <c r="E678" s="4"/>
      <c r="F678" s="4"/>
      <c r="G678" s="4"/>
      <c r="H678" s="4"/>
      <c r="I678" s="4"/>
      <c r="J678" s="4"/>
    </row>
    <row r="680" spans="2:12" x14ac:dyDescent="0.3">
      <c r="F680" s="28"/>
      <c r="G680" s="28"/>
      <c r="H680" s="29"/>
      <c r="I680" s="29"/>
      <c r="J680" s="29"/>
      <c r="K680" s="29"/>
      <c r="L680" s="29"/>
    </row>
    <row r="682" spans="2:12" x14ac:dyDescent="0.3">
      <c r="B682" s="5"/>
      <c r="C682" s="5"/>
    </row>
    <row r="683" spans="2:12" x14ac:dyDescent="0.3">
      <c r="B683" s="5"/>
      <c r="C683" s="5"/>
    </row>
    <row r="684" spans="2:12" x14ac:dyDescent="0.3">
      <c r="F684" s="32"/>
      <c r="G684" s="32"/>
      <c r="H684" s="9"/>
      <c r="I684" s="9"/>
      <c r="J684" s="9"/>
      <c r="K684" s="9"/>
      <c r="L684" s="9"/>
    </row>
    <row r="685" spans="2:12" x14ac:dyDescent="0.3">
      <c r="F685" s="32"/>
      <c r="G685" s="32"/>
      <c r="H685" s="9"/>
      <c r="I685" s="9"/>
      <c r="J685" s="9"/>
      <c r="K685" s="9"/>
      <c r="L685" s="9"/>
    </row>
    <row r="686" spans="2:12" x14ac:dyDescent="0.3">
      <c r="F686" s="32"/>
      <c r="G686" s="32"/>
      <c r="H686" s="32"/>
      <c r="I686" s="32"/>
      <c r="J686" s="32"/>
      <c r="K686" s="32"/>
      <c r="L686" s="32"/>
    </row>
    <row r="687" spans="2:12" x14ac:dyDescent="0.3">
      <c r="B687" s="5"/>
      <c r="C687" s="5"/>
      <c r="F687" s="32"/>
      <c r="G687" s="32"/>
      <c r="H687" s="32"/>
      <c r="I687" s="32"/>
      <c r="J687" s="32"/>
      <c r="K687" s="32"/>
      <c r="L687" s="32"/>
    </row>
    <row r="689" spans="2:12" x14ac:dyDescent="0.3">
      <c r="B689" s="5"/>
      <c r="C689" s="5"/>
    </row>
    <row r="691" spans="2:12" x14ac:dyDescent="0.3">
      <c r="F691" s="9"/>
      <c r="G691" s="9"/>
      <c r="H691" s="32"/>
      <c r="I691" s="32"/>
      <c r="J691" s="32"/>
      <c r="K691" s="32"/>
      <c r="L691" s="32"/>
    </row>
    <row r="692" spans="2:12" x14ac:dyDescent="0.3">
      <c r="F692" s="9"/>
      <c r="G692" s="9"/>
      <c r="H692" s="32"/>
      <c r="I692" s="32"/>
      <c r="J692" s="32"/>
      <c r="K692" s="32"/>
      <c r="L692" s="32"/>
    </row>
    <row r="693" spans="2:12" x14ac:dyDescent="0.3">
      <c r="F693" s="9"/>
      <c r="G693" s="9"/>
      <c r="H693" s="32"/>
      <c r="I693" s="32"/>
      <c r="J693" s="32"/>
      <c r="K693" s="32"/>
      <c r="L693" s="32"/>
    </row>
    <row r="694" spans="2:12" x14ac:dyDescent="0.3">
      <c r="F694" s="9"/>
      <c r="G694" s="9"/>
      <c r="H694" s="32"/>
      <c r="I694" s="32"/>
      <c r="J694" s="32"/>
      <c r="K694" s="32"/>
      <c r="L694" s="32"/>
    </row>
    <row r="695" spans="2:12" x14ac:dyDescent="0.3">
      <c r="F695" s="9"/>
      <c r="G695" s="9"/>
      <c r="H695" s="32"/>
      <c r="I695" s="32"/>
      <c r="J695" s="32"/>
      <c r="K695" s="32"/>
      <c r="L695" s="32"/>
    </row>
    <row r="696" spans="2:12" x14ac:dyDescent="0.3">
      <c r="F696" s="9"/>
      <c r="G696" s="9"/>
      <c r="H696" s="32"/>
      <c r="I696" s="32"/>
      <c r="J696" s="32"/>
      <c r="K696" s="32"/>
      <c r="L696" s="32"/>
    </row>
    <row r="697" spans="2:12" x14ac:dyDescent="0.3">
      <c r="F697" s="9"/>
      <c r="G697" s="9"/>
      <c r="H697" s="38"/>
      <c r="I697" s="38"/>
      <c r="J697" s="38"/>
      <c r="K697" s="38"/>
      <c r="L697" s="38"/>
    </row>
    <row r="698" spans="2:12" x14ac:dyDescent="0.3">
      <c r="F698" s="9"/>
      <c r="G698" s="9"/>
      <c r="H698" s="38"/>
      <c r="I698" s="38"/>
      <c r="J698" s="38"/>
      <c r="K698" s="38"/>
      <c r="L698" s="38"/>
    </row>
    <row r="699" spans="2:12" x14ac:dyDescent="0.3">
      <c r="B699" s="5"/>
      <c r="C699" s="5"/>
      <c r="F699" s="10"/>
      <c r="G699" s="10"/>
      <c r="H699" s="10"/>
      <c r="I699" s="10"/>
      <c r="J699" s="10"/>
      <c r="K699" s="10"/>
      <c r="L699" s="10"/>
    </row>
    <row r="702" spans="2:12" ht="25.8" x14ac:dyDescent="0.5">
      <c r="B702" s="3"/>
      <c r="C702" s="3"/>
      <c r="D702" s="3"/>
      <c r="E702" s="4"/>
      <c r="F702" s="4"/>
      <c r="G702" s="4"/>
      <c r="H702" s="4"/>
      <c r="I702" s="4"/>
      <c r="J702" s="4"/>
      <c r="K702" s="4"/>
      <c r="L702" s="4"/>
    </row>
    <row r="703" spans="2:12" x14ac:dyDescent="0.3"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spans="2:12" x14ac:dyDescent="0.3">
      <c r="B704" s="4"/>
      <c r="C704" s="4"/>
      <c r="D704" s="4"/>
      <c r="E704" s="4"/>
      <c r="F704" s="4"/>
      <c r="G704" s="4"/>
      <c r="H704" s="4"/>
      <c r="I704" s="4"/>
      <c r="J704" s="4"/>
    </row>
    <row r="705" spans="2:12" x14ac:dyDescent="0.3">
      <c r="B705" s="4"/>
      <c r="C705" s="4"/>
      <c r="D705" s="4"/>
      <c r="E705" s="4"/>
      <c r="F705" s="4"/>
      <c r="G705" s="4"/>
      <c r="H705" s="4"/>
      <c r="I705" s="4"/>
      <c r="J705" s="4"/>
    </row>
    <row r="707" spans="2:12" x14ac:dyDescent="0.3">
      <c r="F707" s="28"/>
      <c r="G707" s="28"/>
      <c r="H707" s="29"/>
      <c r="I707" s="29"/>
      <c r="J707" s="29"/>
      <c r="K707" s="29"/>
      <c r="L707" s="29"/>
    </row>
    <row r="709" spans="2:12" x14ac:dyDescent="0.3">
      <c r="B709" s="5"/>
      <c r="C709" s="5"/>
    </row>
    <row r="710" spans="2:12" x14ac:dyDescent="0.3">
      <c r="B710" s="5"/>
      <c r="C710" s="5"/>
    </row>
    <row r="711" spans="2:12" x14ac:dyDescent="0.3">
      <c r="H711" s="32"/>
      <c r="I711" s="32"/>
      <c r="J711" s="32"/>
      <c r="K711" s="32"/>
      <c r="L711" s="32"/>
    </row>
    <row r="712" spans="2:12" x14ac:dyDescent="0.3">
      <c r="H712" s="32"/>
      <c r="I712" s="32"/>
      <c r="J712" s="32"/>
      <c r="K712" s="32"/>
      <c r="L712" s="32"/>
    </row>
    <row r="713" spans="2:12" x14ac:dyDescent="0.3">
      <c r="H713" s="32"/>
      <c r="I713" s="32"/>
      <c r="J713" s="32"/>
      <c r="K713" s="32"/>
      <c r="L713" s="32"/>
    </row>
    <row r="714" spans="2:12" x14ac:dyDescent="0.3">
      <c r="H714" s="26"/>
      <c r="I714" s="26"/>
      <c r="J714" s="26"/>
    </row>
    <row r="715" spans="2:12" x14ac:dyDescent="0.3">
      <c r="B715" s="5"/>
      <c r="C715" s="5"/>
      <c r="D715" s="5"/>
      <c r="E715" s="5"/>
      <c r="F715" s="5"/>
      <c r="G715" s="5"/>
      <c r="H715" s="31"/>
      <c r="I715" s="31"/>
      <c r="J715" s="31"/>
      <c r="K715" s="31"/>
      <c r="L715" s="31"/>
    </row>
    <row r="717" spans="2:12" x14ac:dyDescent="0.3">
      <c r="H717" s="32"/>
      <c r="I717" s="32"/>
      <c r="J717" s="32"/>
      <c r="K717" s="32"/>
      <c r="L717" s="32"/>
    </row>
    <row r="718" spans="2:12" x14ac:dyDescent="0.3">
      <c r="H718" s="32"/>
      <c r="I718" s="32"/>
      <c r="J718" s="32"/>
      <c r="K718" s="32"/>
      <c r="L718" s="32"/>
    </row>
    <row r="719" spans="2:12" x14ac:dyDescent="0.3">
      <c r="H719" s="32"/>
      <c r="I719" s="32"/>
      <c r="J719" s="32"/>
      <c r="K719" s="32"/>
      <c r="L719" s="32"/>
    </row>
    <row r="720" spans="2:12" x14ac:dyDescent="0.3">
      <c r="H720" s="26"/>
      <c r="I720" s="26"/>
      <c r="J720" s="26"/>
      <c r="K720" s="26"/>
      <c r="L720" s="26"/>
    </row>
    <row r="721" spans="2:12" x14ac:dyDescent="0.3">
      <c r="B721" s="5"/>
      <c r="C721" s="5"/>
      <c r="D721" s="5"/>
      <c r="E721" s="5"/>
      <c r="F721" s="5"/>
      <c r="G721" s="5"/>
      <c r="H721" s="31"/>
      <c r="I721" s="31"/>
      <c r="J721" s="31"/>
      <c r="K721" s="31"/>
      <c r="L721" s="31"/>
    </row>
    <row r="722" spans="2:12" x14ac:dyDescent="0.3">
      <c r="B722" s="5"/>
      <c r="C722" s="5"/>
      <c r="H722" s="30"/>
      <c r="I722" s="30"/>
      <c r="J722" s="30"/>
      <c r="K722" s="30"/>
      <c r="L722" s="30"/>
    </row>
    <row r="723" spans="2:12" x14ac:dyDescent="0.3">
      <c r="H723" s="32"/>
      <c r="I723" s="32"/>
      <c r="J723" s="32"/>
      <c r="K723" s="32"/>
      <c r="L723" s="32"/>
    </row>
    <row r="724" spans="2:12" x14ac:dyDescent="0.3">
      <c r="H724" s="26"/>
      <c r="I724" s="26"/>
      <c r="J724" s="26"/>
      <c r="K724" s="26"/>
      <c r="L724" s="26"/>
    </row>
    <row r="725" spans="2:12" x14ac:dyDescent="0.3">
      <c r="B725" s="5"/>
      <c r="C725" s="5"/>
      <c r="D725" s="5"/>
      <c r="E725" s="5"/>
      <c r="F725" s="5"/>
      <c r="G725" s="5"/>
      <c r="H725" s="31"/>
      <c r="I725" s="31"/>
      <c r="J725" s="31"/>
      <c r="K725" s="31"/>
      <c r="L725" s="31"/>
    </row>
    <row r="727" spans="2:12" x14ac:dyDescent="0.3">
      <c r="H727" s="32"/>
      <c r="I727" s="32"/>
      <c r="J727" s="32"/>
      <c r="K727" s="32"/>
      <c r="L727" s="32"/>
    </row>
    <row r="728" spans="2:12" x14ac:dyDescent="0.3">
      <c r="H728" s="26"/>
      <c r="I728" s="26"/>
      <c r="J728" s="26"/>
      <c r="K728" s="26"/>
      <c r="L728" s="26"/>
    </row>
    <row r="729" spans="2:12" x14ac:dyDescent="0.3">
      <c r="B729" s="5"/>
      <c r="C729" s="5"/>
      <c r="D729" s="5"/>
      <c r="E729" s="5"/>
      <c r="F729" s="5"/>
      <c r="G729" s="5"/>
      <c r="H729" s="31"/>
      <c r="I729" s="31"/>
      <c r="J729" s="31"/>
      <c r="K729" s="31"/>
      <c r="L729" s="31"/>
    </row>
    <row r="731" spans="2:12" x14ac:dyDescent="0.3">
      <c r="H731" s="32"/>
      <c r="I731" s="32"/>
      <c r="J731" s="32"/>
      <c r="K731" s="32"/>
      <c r="L731" s="32"/>
    </row>
    <row r="732" spans="2:12" x14ac:dyDescent="0.3">
      <c r="H732" s="26"/>
      <c r="I732" s="26"/>
      <c r="J732" s="26"/>
      <c r="K732" s="26"/>
      <c r="L732" s="26"/>
    </row>
    <row r="733" spans="2:12" x14ac:dyDescent="0.3">
      <c r="B733" s="5"/>
      <c r="C733" s="5"/>
      <c r="D733" s="5"/>
      <c r="E733" s="5"/>
      <c r="F733" s="5"/>
      <c r="G733" s="5"/>
      <c r="H733" s="31"/>
      <c r="I733" s="31"/>
      <c r="J733" s="31"/>
      <c r="K733" s="31"/>
      <c r="L733" s="31"/>
    </row>
    <row r="734" spans="2:12" x14ac:dyDescent="0.3">
      <c r="B734" s="5"/>
      <c r="C734" s="5"/>
      <c r="H734" s="30"/>
      <c r="I734" s="30"/>
      <c r="J734" s="30"/>
      <c r="K734" s="30"/>
      <c r="L734" s="30"/>
    </row>
    <row r="735" spans="2:12" x14ac:dyDescent="0.3">
      <c r="B735" s="5"/>
      <c r="C735" s="5"/>
      <c r="D735" s="5"/>
      <c r="H735" s="31"/>
      <c r="I735" s="31"/>
      <c r="J735" s="31"/>
      <c r="K735" s="31"/>
      <c r="L735" s="31"/>
    </row>
    <row r="736" spans="2:12" x14ac:dyDescent="0.3">
      <c r="B736" s="5"/>
      <c r="C736" s="5"/>
      <c r="G736" s="12"/>
      <c r="H736" s="12"/>
      <c r="I736" s="12"/>
      <c r="J736" s="12"/>
      <c r="K736" s="12"/>
      <c r="L736" s="12"/>
    </row>
    <row r="737" spans="2:12" x14ac:dyDescent="0.3">
      <c r="B737" s="5"/>
      <c r="C737" s="5"/>
      <c r="D737" s="5"/>
      <c r="E737" s="5"/>
      <c r="F737" s="5"/>
      <c r="G737" s="5"/>
      <c r="H737" s="31"/>
      <c r="I737" s="31"/>
      <c r="J737" s="31"/>
      <c r="K737" s="31"/>
      <c r="L737" s="31"/>
    </row>
    <row r="738" spans="2:12" x14ac:dyDescent="0.3">
      <c r="B738" s="5"/>
      <c r="C738" s="5"/>
      <c r="H738" s="30"/>
      <c r="I738" s="30"/>
      <c r="J738" s="30"/>
    </row>
    <row r="739" spans="2:12" x14ac:dyDescent="0.3">
      <c r="B739" s="5"/>
      <c r="C739" s="5"/>
      <c r="H739" s="30"/>
      <c r="I739" s="30"/>
      <c r="J739" s="30"/>
    </row>
    <row r="740" spans="2:12" x14ac:dyDescent="0.3">
      <c r="B740" s="5"/>
      <c r="C740" s="5"/>
      <c r="H740" s="30"/>
      <c r="I740" s="30"/>
      <c r="J740" s="30"/>
      <c r="K740" s="30"/>
      <c r="L740" s="30"/>
    </row>
    <row r="741" spans="2:12" x14ac:dyDescent="0.3">
      <c r="B741" s="5"/>
      <c r="C741" s="5"/>
      <c r="H741" s="30"/>
      <c r="I741" s="30"/>
      <c r="J741" s="30"/>
      <c r="K741" s="30"/>
      <c r="L741" s="30"/>
    </row>
    <row r="742" spans="2:12" x14ac:dyDescent="0.3">
      <c r="B742" s="5"/>
      <c r="C742" s="5"/>
      <c r="H742" s="30"/>
      <c r="I742" s="30"/>
      <c r="J742" s="30"/>
      <c r="K742" s="30"/>
      <c r="L742" s="30"/>
    </row>
    <row r="743" spans="2:12" x14ac:dyDescent="0.3">
      <c r="H743" s="30"/>
      <c r="I743" s="30"/>
      <c r="J743" s="30"/>
      <c r="K743" s="30"/>
      <c r="L743" s="30"/>
    </row>
    <row r="744" spans="2:12" x14ac:dyDescent="0.3">
      <c r="H744" s="30"/>
      <c r="I744" s="30"/>
      <c r="J744" s="30"/>
      <c r="K744" s="30"/>
      <c r="L744" s="30"/>
    </row>
    <row r="745" spans="2:12" x14ac:dyDescent="0.3">
      <c r="H745" s="30"/>
      <c r="I745" s="30"/>
      <c r="J745" s="30"/>
      <c r="K745" s="30"/>
      <c r="L745" s="30"/>
    </row>
    <row r="746" spans="2:12" x14ac:dyDescent="0.3">
      <c r="H746" s="30"/>
      <c r="I746" s="30"/>
      <c r="J746" s="30"/>
      <c r="K746" s="30"/>
      <c r="L746" s="30"/>
    </row>
    <row r="747" spans="2:12" x14ac:dyDescent="0.3">
      <c r="B747" s="5"/>
      <c r="C747" s="5"/>
      <c r="G747" s="12"/>
      <c r="H747" s="30"/>
      <c r="I747" s="30"/>
      <c r="J747" s="30"/>
      <c r="K747" s="30"/>
      <c r="L747" s="30"/>
    </row>
    <row r="748" spans="2:12" x14ac:dyDescent="0.3">
      <c r="B748" s="5"/>
      <c r="C748" s="5"/>
      <c r="G748" s="30"/>
      <c r="H748" s="30"/>
      <c r="I748" s="30"/>
      <c r="J748" s="30"/>
      <c r="K748" s="30"/>
      <c r="L748" s="30"/>
    </row>
    <row r="749" spans="2:12" x14ac:dyDescent="0.3">
      <c r="B749" s="5"/>
      <c r="C749" s="5"/>
      <c r="G749" s="30"/>
      <c r="H749" s="30"/>
      <c r="I749" s="30"/>
      <c r="J749" s="30"/>
      <c r="K749" s="30"/>
      <c r="L749" s="30"/>
    </row>
    <row r="750" spans="2:12" x14ac:dyDescent="0.3">
      <c r="B750" s="5"/>
      <c r="C750" s="5"/>
      <c r="H750" s="30"/>
      <c r="I750" s="30"/>
      <c r="J750" s="30"/>
      <c r="K750" s="30"/>
      <c r="L750" s="30"/>
    </row>
    <row r="751" spans="2:12" x14ac:dyDescent="0.3">
      <c r="B751" s="5"/>
      <c r="C751" s="5"/>
      <c r="D751" s="5"/>
      <c r="E751" s="5"/>
      <c r="F751" s="5"/>
      <c r="G751" s="5"/>
      <c r="H751" s="33"/>
      <c r="I751" s="33"/>
      <c r="J751" s="33"/>
      <c r="K751" s="33"/>
      <c r="L751" s="33"/>
    </row>
    <row r="752" spans="2:12" x14ac:dyDescent="0.3">
      <c r="H752" s="27"/>
      <c r="I752" s="27"/>
      <c r="J752" s="27"/>
      <c r="K752" s="27"/>
      <c r="L752" s="27"/>
    </row>
    <row r="753" spans="2:12" x14ac:dyDescent="0.3">
      <c r="H753" s="27"/>
      <c r="I753" s="27"/>
      <c r="J753" s="27"/>
      <c r="K753" s="27"/>
      <c r="L753" s="27"/>
    </row>
    <row r="754" spans="2:12" x14ac:dyDescent="0.3">
      <c r="H754" s="12"/>
      <c r="I754" s="12"/>
      <c r="J754" s="12"/>
      <c r="K754" s="12"/>
      <c r="L754" s="12"/>
    </row>
    <row r="755" spans="2:12" x14ac:dyDescent="0.3">
      <c r="H755" s="7"/>
      <c r="I755" s="7"/>
      <c r="J755" s="7"/>
      <c r="K755" s="7"/>
      <c r="L755" s="7"/>
    </row>
    <row r="757" spans="2:12" x14ac:dyDescent="0.3">
      <c r="B757" s="5"/>
      <c r="C757" s="5"/>
      <c r="D757" s="5"/>
      <c r="E757" s="5"/>
      <c r="F757" s="5"/>
      <c r="G757" s="5"/>
      <c r="H757" s="33"/>
      <c r="I757" s="33"/>
      <c r="J757" s="33"/>
      <c r="K757" s="33"/>
      <c r="L757" s="33"/>
    </row>
    <row r="759" spans="2:12" x14ac:dyDescent="0.3">
      <c r="E759" s="11"/>
    </row>
    <row r="760" spans="2:12" ht="25.8" x14ac:dyDescent="0.5">
      <c r="B760" s="3"/>
      <c r="C760" s="3"/>
      <c r="D760" s="3"/>
      <c r="E760" s="4"/>
      <c r="F760" s="4"/>
      <c r="G760" s="4"/>
      <c r="H760" s="4"/>
      <c r="I760" s="4"/>
      <c r="J760" s="4"/>
      <c r="K760" s="4"/>
      <c r="L760" s="4"/>
    </row>
    <row r="761" spans="2:12" x14ac:dyDescent="0.3"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spans="2:12" x14ac:dyDescent="0.3">
      <c r="B762" s="4"/>
      <c r="C762" s="4"/>
      <c r="D762" s="4"/>
      <c r="E762" s="4"/>
      <c r="F762" s="4"/>
      <c r="G762" s="4"/>
      <c r="H762" s="4"/>
      <c r="I762" s="4"/>
      <c r="J762" s="4"/>
    </row>
    <row r="763" spans="2:12" x14ac:dyDescent="0.3">
      <c r="B763" s="4"/>
      <c r="C763" s="4"/>
      <c r="D763" s="4"/>
      <c r="E763" s="4"/>
      <c r="F763" s="4"/>
      <c r="G763" s="4"/>
      <c r="H763" s="4"/>
      <c r="I763" s="4"/>
      <c r="J763" s="4"/>
    </row>
    <row r="765" spans="2:12" x14ac:dyDescent="0.3">
      <c r="F765" s="28"/>
      <c r="G765" s="28"/>
      <c r="H765" s="29"/>
      <c r="I765" s="29"/>
      <c r="J765" s="29"/>
      <c r="K765" s="29"/>
      <c r="L765" s="29"/>
    </row>
    <row r="768" spans="2:12" x14ac:dyDescent="0.3">
      <c r="H768" s="32"/>
      <c r="I768" s="32"/>
      <c r="J768" s="32"/>
      <c r="K768" s="32"/>
      <c r="L768" s="32"/>
    </row>
    <row r="769" spans="2:12" x14ac:dyDescent="0.3">
      <c r="H769" s="32"/>
      <c r="I769" s="32"/>
      <c r="J769" s="32"/>
      <c r="K769" s="32"/>
      <c r="L769" s="32"/>
    </row>
    <row r="770" spans="2:12" x14ac:dyDescent="0.3">
      <c r="H770" s="32"/>
      <c r="I770" s="32"/>
      <c r="J770" s="32"/>
      <c r="K770" s="32"/>
      <c r="L770" s="32"/>
    </row>
    <row r="771" spans="2:12" x14ac:dyDescent="0.3">
      <c r="H771" s="30"/>
      <c r="I771" s="30"/>
      <c r="J771" s="30"/>
      <c r="K771" s="30"/>
      <c r="L771" s="30"/>
    </row>
    <row r="772" spans="2:12" x14ac:dyDescent="0.3">
      <c r="B772" s="5"/>
      <c r="C772" s="5"/>
      <c r="D772" s="5"/>
      <c r="E772" s="5"/>
      <c r="F772" s="5"/>
      <c r="G772" s="10"/>
      <c r="H772" s="10"/>
      <c r="I772" s="10"/>
      <c r="J772" s="10"/>
      <c r="K772" s="10"/>
      <c r="L772" s="10"/>
    </row>
    <row r="773" spans="2:12" x14ac:dyDescent="0.3">
      <c r="B773" s="5"/>
      <c r="C773" s="5"/>
      <c r="D773" s="5"/>
      <c r="E773" s="5"/>
      <c r="F773" s="5"/>
      <c r="G773" s="10"/>
      <c r="H773" s="10"/>
      <c r="I773" s="10"/>
      <c r="J773" s="10"/>
      <c r="K773" s="10"/>
      <c r="L773" s="10"/>
    </row>
    <row r="774" spans="2:12" x14ac:dyDescent="0.3">
      <c r="B774" s="5"/>
      <c r="C774" s="5"/>
      <c r="D774" s="5"/>
      <c r="E774" s="5"/>
      <c r="F774" s="5"/>
      <c r="G774" s="10"/>
      <c r="H774" s="10"/>
      <c r="I774" s="10"/>
      <c r="J774" s="10"/>
      <c r="K774" s="10"/>
      <c r="L774" s="10"/>
    </row>
    <row r="775" spans="2:12" x14ac:dyDescent="0.3">
      <c r="G775" s="32"/>
      <c r="H775" s="32"/>
      <c r="I775" s="32"/>
      <c r="J775" s="32"/>
      <c r="K775" s="32"/>
      <c r="L775" s="32"/>
    </row>
    <row r="776" spans="2:12" x14ac:dyDescent="0.3">
      <c r="B776" s="5"/>
      <c r="C776" s="5"/>
      <c r="D776" s="5"/>
      <c r="E776" s="5"/>
      <c r="F776" s="5"/>
      <c r="G776" s="31"/>
      <c r="H776" s="31"/>
      <c r="I776" s="31"/>
      <c r="J776" s="31"/>
      <c r="K776" s="31"/>
      <c r="L776" s="31"/>
    </row>
    <row r="777" spans="2:12" x14ac:dyDescent="0.3">
      <c r="B777" s="5"/>
      <c r="C777" s="5"/>
      <c r="D777" s="5"/>
      <c r="E777" s="5"/>
      <c r="F777" s="5"/>
      <c r="G777" s="31"/>
      <c r="H777" s="31"/>
      <c r="I777" s="31"/>
      <c r="J777" s="31"/>
      <c r="K777" s="31"/>
      <c r="L777" s="31"/>
    </row>
    <row r="779" spans="2:12" x14ac:dyDescent="0.3">
      <c r="G779" s="32"/>
      <c r="H779" s="32"/>
      <c r="I779" s="32"/>
      <c r="J779" s="32"/>
      <c r="K779" s="32"/>
      <c r="L779" s="32"/>
    </row>
    <row r="780" spans="2:12" x14ac:dyDescent="0.3">
      <c r="B780" s="5"/>
      <c r="C780" s="5"/>
      <c r="G780" s="32"/>
      <c r="H780" s="32"/>
      <c r="I780" s="32"/>
      <c r="J780" s="32"/>
      <c r="K780" s="32"/>
      <c r="L780" s="32"/>
    </row>
    <row r="781" spans="2:12" x14ac:dyDescent="0.3">
      <c r="G781" s="7"/>
      <c r="H781" s="7"/>
      <c r="I781" s="7"/>
      <c r="J781" s="7"/>
      <c r="K781" s="7"/>
      <c r="L781" s="7"/>
    </row>
    <row r="782" spans="2:12" x14ac:dyDescent="0.3">
      <c r="G782" s="7"/>
      <c r="H782" s="7"/>
      <c r="I782" s="7"/>
      <c r="J782" s="7"/>
      <c r="K782" s="7"/>
      <c r="L782" s="7"/>
    </row>
  </sheetData>
  <pageMargins left="0.25" right="0.25" top="0.75" bottom="0.75" header="0.3" footer="0.3"/>
  <pageSetup scale="32" fitToWidth="0" fitToHeight="0" orientation="portrait" r:id="rId1"/>
  <rowBreaks count="3" manualBreakCount="3">
    <brk id="40" max="16383" man="1"/>
    <brk id="93" max="16383" man="1"/>
    <brk id="134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Cover</vt:lpstr>
      <vt:lpstr>Assumptions</vt:lpstr>
      <vt:lpstr>Model</vt:lpstr>
      <vt:lpstr>Model!Print_Area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Hopkinson</dc:creator>
  <cp:lastModifiedBy>Peter Hopkinson</cp:lastModifiedBy>
  <cp:lastPrinted>2026-10-10T01:21:40Z</cp:lastPrinted>
  <dcterms:created xsi:type="dcterms:W3CDTF">2026-09-25T20:35:53Z</dcterms:created>
  <dcterms:modified xsi:type="dcterms:W3CDTF">2026-10-18T18:54:24Z</dcterms:modified>
</cp:coreProperties>
</file>