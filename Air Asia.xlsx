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a63f789af4ef06/Documents/Career/Career Development/Financial Statements/3 Statement Model/"/>
    </mc:Choice>
  </mc:AlternateContent>
  <xr:revisionPtr revIDLastSave="5233" documentId="8_{531A1137-A99C-41C6-9189-77A29BD1E4AA}" xr6:coauthVersionLast="47" xr6:coauthVersionMax="47" xr10:uidLastSave="{DB80DC32-1F92-423C-9A9C-416EFD77727F}"/>
  <bookViews>
    <workbookView xWindow="28680" yWindow="-120" windowWidth="51840" windowHeight="21120" activeTab="2" xr2:uid="{C4FDF26E-8D02-42E6-9BA6-E8E4AB263931}"/>
  </bookViews>
  <sheets>
    <sheet name="Cover" sheetId="1" r:id="rId1"/>
    <sheet name="Assumptions" sheetId="3" r:id="rId2"/>
    <sheet name="Model" sheetId="2" r:id="rId3"/>
    <sheet name="Sheet1" sheetId="4" r:id="rId4"/>
  </sheets>
  <definedNames>
    <definedName name="_xlnm.Print_Area" localSheetId="2">Model!$A$1:$L$774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86" i="2" l="1"/>
  <c r="K584" i="2"/>
  <c r="J584" i="2"/>
  <c r="I584" i="2"/>
  <c r="H584" i="2"/>
  <c r="G584" i="2"/>
  <c r="K159" i="2"/>
  <c r="J159" i="2"/>
  <c r="I159" i="2"/>
  <c r="H159" i="2"/>
  <c r="G159" i="2"/>
  <c r="K601" i="2"/>
  <c r="J601" i="2"/>
  <c r="I601" i="2"/>
  <c r="H601" i="2"/>
  <c r="G601" i="2"/>
  <c r="K597" i="2"/>
  <c r="J597" i="2"/>
  <c r="I597" i="2"/>
  <c r="H597" i="2"/>
  <c r="G597" i="2"/>
  <c r="G596" i="2"/>
  <c r="K585" i="2"/>
  <c r="J585" i="2"/>
  <c r="I585" i="2"/>
  <c r="H585" i="2"/>
  <c r="G585" i="2"/>
  <c r="K551" i="2"/>
  <c r="J551" i="2"/>
  <c r="I551" i="2"/>
  <c r="H551" i="2"/>
  <c r="G551" i="2"/>
  <c r="K548" i="2"/>
  <c r="J548" i="2"/>
  <c r="I548" i="2"/>
  <c r="H548" i="2"/>
  <c r="G548" i="2"/>
  <c r="K404" i="2"/>
  <c r="J404" i="2"/>
  <c r="I404" i="2"/>
  <c r="H404" i="2"/>
  <c r="G404" i="2"/>
  <c r="K316" i="2"/>
  <c r="J316" i="2"/>
  <c r="I316" i="2"/>
  <c r="H316" i="2"/>
  <c r="G316" i="2"/>
  <c r="F52" i="3"/>
  <c r="G276" i="2" s="1"/>
  <c r="G260" i="2"/>
  <c r="G258" i="2"/>
  <c r="G256" i="2"/>
  <c r="K257" i="2"/>
  <c r="J257" i="2"/>
  <c r="I257" i="2"/>
  <c r="H257" i="2"/>
  <c r="G257" i="2"/>
  <c r="K250" i="2"/>
  <c r="J250" i="2"/>
  <c r="I250" i="2"/>
  <c r="H250" i="2"/>
  <c r="G250" i="2"/>
  <c r="F247" i="2"/>
  <c r="E210" i="2"/>
  <c r="K210" i="2"/>
  <c r="J210" i="2"/>
  <c r="I210" i="2"/>
  <c r="H210" i="2"/>
  <c r="G210" i="2"/>
  <c r="F210" i="2"/>
  <c r="F43" i="3"/>
  <c r="G43" i="3" s="1"/>
  <c r="H43" i="3" s="1"/>
  <c r="I43" i="3" s="1"/>
  <c r="J43" i="3" s="1"/>
  <c r="G577" i="2"/>
  <c r="H577" i="2" s="1"/>
  <c r="I577" i="2" s="1"/>
  <c r="J577" i="2" s="1"/>
  <c r="K577" i="2" s="1"/>
  <c r="G544" i="2"/>
  <c r="H544" i="2" s="1"/>
  <c r="I544" i="2" s="1"/>
  <c r="J544" i="2" s="1"/>
  <c r="K544" i="2" s="1"/>
  <c r="G488" i="2"/>
  <c r="H488" i="2" s="1"/>
  <c r="I488" i="2" s="1"/>
  <c r="J488" i="2" s="1"/>
  <c r="K488" i="2" s="1"/>
  <c r="G7" i="2"/>
  <c r="H7" i="2" s="1"/>
  <c r="I7" i="2" s="1"/>
  <c r="J7" i="2" s="1"/>
  <c r="K7" i="2" s="1"/>
  <c r="G54" i="2"/>
  <c r="H54" i="2" s="1"/>
  <c r="I54" i="2" s="1"/>
  <c r="J54" i="2" s="1"/>
  <c r="K54" i="2" s="1"/>
  <c r="G125" i="2"/>
  <c r="H125" i="2" s="1"/>
  <c r="I125" i="2" s="1"/>
  <c r="J125" i="2" s="1"/>
  <c r="K125" i="2" s="1"/>
  <c r="G174" i="2"/>
  <c r="H174" i="2" s="1"/>
  <c r="I174" i="2" s="1"/>
  <c r="J174" i="2" s="1"/>
  <c r="K174" i="2" s="1"/>
  <c r="G206" i="2"/>
  <c r="H206" i="2" s="1"/>
  <c r="I206" i="2" s="1"/>
  <c r="J206" i="2" s="1"/>
  <c r="K206" i="2" s="1"/>
  <c r="G241" i="2"/>
  <c r="H241" i="2" s="1"/>
  <c r="I241" i="2" s="1"/>
  <c r="J241" i="2" s="1"/>
  <c r="K241" i="2" s="1"/>
  <c r="G272" i="2"/>
  <c r="H272" i="2" s="1"/>
  <c r="I272" i="2" s="1"/>
  <c r="J272" i="2" s="1"/>
  <c r="K272" i="2" s="1"/>
  <c r="G312" i="2"/>
  <c r="H312" i="2" s="1"/>
  <c r="I312" i="2" s="1"/>
  <c r="J312" i="2" s="1"/>
  <c r="K312" i="2" s="1"/>
  <c r="G362" i="2"/>
  <c r="H362" i="2" s="1"/>
  <c r="I362" i="2" s="1"/>
  <c r="J362" i="2" s="1"/>
  <c r="K362" i="2" s="1"/>
  <c r="G393" i="2"/>
  <c r="H393" i="2" s="1"/>
  <c r="I393" i="2" s="1"/>
  <c r="J393" i="2" s="1"/>
  <c r="K393" i="2" s="1"/>
  <c r="G430" i="2"/>
  <c r="H430" i="2" s="1"/>
  <c r="I430" i="2" s="1"/>
  <c r="J430" i="2" s="1"/>
  <c r="K430" i="2" s="1"/>
  <c r="F31" i="2"/>
  <c r="E31" i="2"/>
  <c r="G450" i="2"/>
  <c r="H450" i="2" s="1"/>
  <c r="I450" i="2" s="1"/>
  <c r="J450" i="2" s="1"/>
  <c r="K450" i="2" s="1"/>
  <c r="K501" i="2"/>
  <c r="K155" i="2" s="1"/>
  <c r="J501" i="2"/>
  <c r="J155" i="2" s="1"/>
  <c r="I501" i="2"/>
  <c r="I155" i="2" s="1"/>
  <c r="H501" i="2"/>
  <c r="H155" i="2" s="1"/>
  <c r="G501" i="2"/>
  <c r="G155" i="2" s="1"/>
  <c r="K500" i="2"/>
  <c r="K154" i="2" s="1"/>
  <c r="J500" i="2"/>
  <c r="J154" i="2" s="1"/>
  <c r="I500" i="2"/>
  <c r="I154" i="2" s="1"/>
  <c r="H500" i="2"/>
  <c r="H154" i="2" s="1"/>
  <c r="G500" i="2"/>
  <c r="G154" i="2" s="1"/>
  <c r="G493" i="2"/>
  <c r="G152" i="2" s="1"/>
  <c r="K494" i="2"/>
  <c r="K153" i="2" s="1"/>
  <c r="J494" i="2"/>
  <c r="J153" i="2" s="1"/>
  <c r="I494" i="2"/>
  <c r="I153" i="2" s="1"/>
  <c r="H494" i="2"/>
  <c r="H153" i="2" s="1"/>
  <c r="G494" i="2"/>
  <c r="G153" i="2" s="1"/>
  <c r="K493" i="2"/>
  <c r="K152" i="2" s="1"/>
  <c r="J493" i="2"/>
  <c r="J152" i="2" s="1"/>
  <c r="I493" i="2"/>
  <c r="I152" i="2" s="1"/>
  <c r="H493" i="2"/>
  <c r="H152" i="2" s="1"/>
  <c r="K519" i="2"/>
  <c r="J519" i="2"/>
  <c r="I519" i="2"/>
  <c r="H519" i="2"/>
  <c r="G519" i="2"/>
  <c r="G338" i="2"/>
  <c r="F214" i="2"/>
  <c r="F186" i="2"/>
  <c r="E186" i="2"/>
  <c r="F182" i="2"/>
  <c r="E182" i="2"/>
  <c r="F181" i="2"/>
  <c r="E181" i="2"/>
  <c r="K277" i="2"/>
  <c r="J277" i="2"/>
  <c r="I277" i="2"/>
  <c r="H277" i="2"/>
  <c r="G277" i="2"/>
  <c r="J52" i="3"/>
  <c r="K276" i="2" s="1"/>
  <c r="I52" i="3"/>
  <c r="J276" i="2" s="1"/>
  <c r="H52" i="3"/>
  <c r="I276" i="2" s="1"/>
  <c r="G52" i="3"/>
  <c r="H276" i="2" s="1"/>
  <c r="H289" i="2"/>
  <c r="I289" i="2" s="1"/>
  <c r="J289" i="2" s="1"/>
  <c r="K289" i="2" s="1"/>
  <c r="E225" i="2"/>
  <c r="F225" i="2"/>
  <c r="K221" i="2"/>
  <c r="K223" i="2" s="1"/>
  <c r="J221" i="2"/>
  <c r="J223" i="2" s="1"/>
  <c r="I221" i="2"/>
  <c r="I223" i="2" s="1"/>
  <c r="H221" i="2"/>
  <c r="H223" i="2" s="1"/>
  <c r="G221" i="2"/>
  <c r="G223" i="2" s="1"/>
  <c r="F111" i="2"/>
  <c r="F110" i="2"/>
  <c r="G110" i="2" s="1"/>
  <c r="H110" i="2" s="1"/>
  <c r="I110" i="2" s="1"/>
  <c r="J110" i="2" s="1"/>
  <c r="K110" i="2" s="1"/>
  <c r="F109" i="2"/>
  <c r="G109" i="2" s="1"/>
  <c r="H109" i="2" s="1"/>
  <c r="I109" i="2" s="1"/>
  <c r="J109" i="2" s="1"/>
  <c r="K109" i="2" s="1"/>
  <c r="F108" i="2"/>
  <c r="G108" i="2" s="1"/>
  <c r="H108" i="2" s="1"/>
  <c r="I108" i="2" s="1"/>
  <c r="J108" i="2" s="1"/>
  <c r="K108" i="2" s="1"/>
  <c r="F107" i="2"/>
  <c r="G107" i="2" s="1"/>
  <c r="H107" i="2" s="1"/>
  <c r="F100" i="2"/>
  <c r="F562" i="2" s="1"/>
  <c r="G558" i="2" s="1"/>
  <c r="F99" i="2"/>
  <c r="F98" i="2"/>
  <c r="F97" i="2"/>
  <c r="F96" i="2"/>
  <c r="G96" i="2" s="1"/>
  <c r="H96" i="2" s="1"/>
  <c r="I96" i="2" s="1"/>
  <c r="J96" i="2" s="1"/>
  <c r="K96" i="2" s="1"/>
  <c r="F95" i="2"/>
  <c r="G95" i="2" s="1"/>
  <c r="H95" i="2" s="1"/>
  <c r="I95" i="2" s="1"/>
  <c r="J95" i="2" s="1"/>
  <c r="K95" i="2" s="1"/>
  <c r="F94" i="2"/>
  <c r="F475" i="2" s="1"/>
  <c r="F93" i="2"/>
  <c r="F92" i="2"/>
  <c r="F470" i="2" s="1"/>
  <c r="E24" i="4"/>
  <c r="E35" i="4"/>
  <c r="E48" i="4"/>
  <c r="E60" i="4"/>
  <c r="F85" i="2"/>
  <c r="F74" i="4"/>
  <c r="F113" i="2"/>
  <c r="G113" i="2" s="1"/>
  <c r="H113" i="2" s="1"/>
  <c r="I113" i="2" s="1"/>
  <c r="F89" i="2"/>
  <c r="G89" i="2" s="1"/>
  <c r="H89" i="2" s="1"/>
  <c r="I89" i="2" s="1"/>
  <c r="J89" i="2" s="1"/>
  <c r="K89" i="2" s="1"/>
  <c r="F88" i="2"/>
  <c r="F87" i="2"/>
  <c r="F86" i="2"/>
  <c r="F77" i="2"/>
  <c r="G77" i="2" s="1"/>
  <c r="H77" i="2" s="1"/>
  <c r="I77" i="2" s="1"/>
  <c r="J77" i="2" s="1"/>
  <c r="K77" i="2" s="1"/>
  <c r="F76" i="2"/>
  <c r="G76" i="2" s="1"/>
  <c r="H76" i="2" s="1"/>
  <c r="I76" i="2" s="1"/>
  <c r="J76" i="2" s="1"/>
  <c r="K76" i="2" s="1"/>
  <c r="F75" i="2"/>
  <c r="G75" i="2" s="1"/>
  <c r="H75" i="2" s="1"/>
  <c r="I75" i="2" s="1"/>
  <c r="J75" i="2" s="1"/>
  <c r="K75" i="2" s="1"/>
  <c r="F74" i="2"/>
  <c r="G74" i="2" s="1"/>
  <c r="H74" i="2" s="1"/>
  <c r="I74" i="2" s="1"/>
  <c r="J74" i="2" s="1"/>
  <c r="K74" i="2" s="1"/>
  <c r="F72" i="2"/>
  <c r="F460" i="2" s="1"/>
  <c r="F71" i="2"/>
  <c r="F465" i="2" s="1"/>
  <c r="F68" i="2"/>
  <c r="G68" i="2" s="1"/>
  <c r="H68" i="2" s="1"/>
  <c r="F67" i="2"/>
  <c r="G67" i="2" s="1"/>
  <c r="H67" i="2" s="1"/>
  <c r="I67" i="2" s="1"/>
  <c r="J67" i="2" s="1"/>
  <c r="K67" i="2" s="1"/>
  <c r="F66" i="2"/>
  <c r="G66" i="2" s="1"/>
  <c r="F65" i="2"/>
  <c r="G65" i="2" s="1"/>
  <c r="H65" i="2" s="1"/>
  <c r="I65" i="2" s="1"/>
  <c r="J65" i="2" s="1"/>
  <c r="K65" i="2" s="1"/>
  <c r="F64" i="2"/>
  <c r="G566" i="2" s="1"/>
  <c r="F63" i="2"/>
  <c r="F62" i="2"/>
  <c r="G62" i="2" s="1"/>
  <c r="H62" i="2" s="1"/>
  <c r="I62" i="2" s="1"/>
  <c r="F61" i="2"/>
  <c r="G61" i="2" s="1"/>
  <c r="H61" i="2" s="1"/>
  <c r="I61" i="2" s="1"/>
  <c r="J61" i="2" s="1"/>
  <c r="K61" i="2" s="1"/>
  <c r="F60" i="2"/>
  <c r="G60" i="2" s="1"/>
  <c r="H60" i="2" s="1"/>
  <c r="I60" i="2" s="1"/>
  <c r="J60" i="2" s="1"/>
  <c r="K60" i="2" s="1"/>
  <c r="F59" i="2"/>
  <c r="G331" i="2" s="1"/>
  <c r="G321" i="2" s="1"/>
  <c r="H321" i="2" s="1"/>
  <c r="F58" i="2"/>
  <c r="F34" i="4"/>
  <c r="F78" i="2" s="1"/>
  <c r="G580" i="2" s="1"/>
  <c r="F64" i="4"/>
  <c r="F39" i="4"/>
  <c r="E73" i="4"/>
  <c r="E75" i="4" s="1"/>
  <c r="F47" i="4"/>
  <c r="F54" i="4"/>
  <c r="F55" i="4"/>
  <c r="F56" i="4"/>
  <c r="F57" i="4"/>
  <c r="F59" i="4"/>
  <c r="F45" i="4"/>
  <c r="F44" i="4"/>
  <c r="F71" i="4"/>
  <c r="F70" i="4"/>
  <c r="F69" i="4"/>
  <c r="F68" i="4"/>
  <c r="F15" i="4"/>
  <c r="F16" i="4"/>
  <c r="F23" i="4"/>
  <c r="F29" i="4"/>
  <c r="F73" i="2" s="1"/>
  <c r="F33" i="4"/>
  <c r="F32" i="4"/>
  <c r="E9" i="4"/>
  <c r="F9" i="4"/>
  <c r="F31" i="4"/>
  <c r="F30" i="4"/>
  <c r="F22" i="4"/>
  <c r="F21" i="4"/>
  <c r="F19" i="4"/>
  <c r="F17" i="4"/>
  <c r="F18" i="4"/>
  <c r="B1" i="4"/>
  <c r="G62" i="3"/>
  <c r="H62" i="3" s="1"/>
  <c r="I62" i="3" s="1"/>
  <c r="J62" i="3" s="1"/>
  <c r="G37" i="2"/>
  <c r="H37" i="2" s="1"/>
  <c r="I37" i="2" s="1"/>
  <c r="J37" i="2" s="1"/>
  <c r="K37" i="2" s="1"/>
  <c r="G36" i="2"/>
  <c r="H36" i="2" s="1"/>
  <c r="I36" i="2" s="1"/>
  <c r="J36" i="2" s="1"/>
  <c r="K36" i="2" s="1"/>
  <c r="G398" i="2"/>
  <c r="H398" i="2" s="1"/>
  <c r="G17" i="2"/>
  <c r="H17" i="2" s="1"/>
  <c r="I17" i="2" s="1"/>
  <c r="J17" i="2" s="1"/>
  <c r="K17" i="2" s="1"/>
  <c r="F300" i="2"/>
  <c r="K511" i="2"/>
  <c r="J511" i="2"/>
  <c r="I511" i="2"/>
  <c r="H511" i="2"/>
  <c r="G511" i="2"/>
  <c r="K507" i="2"/>
  <c r="J507" i="2"/>
  <c r="I507" i="2"/>
  <c r="H507" i="2"/>
  <c r="G507" i="2"/>
  <c r="F455" i="2"/>
  <c r="F454" i="2"/>
  <c r="G368" i="2"/>
  <c r="K244" i="2"/>
  <c r="K315" i="2" s="1"/>
  <c r="J244" i="2"/>
  <c r="J315" i="2" s="1"/>
  <c r="I244" i="2"/>
  <c r="I315" i="2" s="1"/>
  <c r="H244" i="2"/>
  <c r="H315" i="2" s="1"/>
  <c r="G244" i="2"/>
  <c r="G315" i="2" s="1"/>
  <c r="K245" i="2"/>
  <c r="J245" i="2"/>
  <c r="I245" i="2"/>
  <c r="H245" i="2"/>
  <c r="G245" i="2"/>
  <c r="F290" i="2"/>
  <c r="G286" i="2" s="1"/>
  <c r="K288" i="2"/>
  <c r="J288" i="2"/>
  <c r="I288" i="2"/>
  <c r="H288" i="2"/>
  <c r="G288" i="2"/>
  <c r="K297" i="2"/>
  <c r="J297" i="2"/>
  <c r="I297" i="2"/>
  <c r="H297" i="2"/>
  <c r="G297" i="2"/>
  <c r="F296" i="2"/>
  <c r="E296" i="2"/>
  <c r="K293" i="2"/>
  <c r="J293" i="2"/>
  <c r="I293" i="2"/>
  <c r="H293" i="2"/>
  <c r="G293" i="2"/>
  <c r="F292" i="2"/>
  <c r="E292" i="2"/>
  <c r="K280" i="2"/>
  <c r="J280" i="2"/>
  <c r="I280" i="2"/>
  <c r="H280" i="2"/>
  <c r="G280" i="2"/>
  <c r="F281" i="2"/>
  <c r="E281" i="2"/>
  <c r="K275" i="2"/>
  <c r="J275" i="2"/>
  <c r="I275" i="2"/>
  <c r="H275" i="2"/>
  <c r="G275" i="2"/>
  <c r="F275" i="2"/>
  <c r="E262" i="2"/>
  <c r="F262" i="2"/>
  <c r="G213" i="2"/>
  <c r="G214" i="2" s="1"/>
  <c r="G230" i="2" s="1"/>
  <c r="F178" i="2"/>
  <c r="E178" i="2"/>
  <c r="F219" i="2"/>
  <c r="F180" i="2" s="1"/>
  <c r="E219" i="2"/>
  <c r="E180" i="2" s="1"/>
  <c r="E215" i="2"/>
  <c r="F209" i="2"/>
  <c r="E16" i="2"/>
  <c r="F228" i="2"/>
  <c r="E228" i="2"/>
  <c r="F16" i="2"/>
  <c r="F18" i="2" s="1"/>
  <c r="B5" i="1"/>
  <c r="K582" i="2" l="1"/>
  <c r="J582" i="2"/>
  <c r="I582" i="2"/>
  <c r="H582" i="2"/>
  <c r="G582" i="2"/>
  <c r="F474" i="2"/>
  <c r="G474" i="2" s="1"/>
  <c r="F469" i="2"/>
  <c r="G469" i="2" s="1"/>
  <c r="F459" i="2"/>
  <c r="G459" i="2" s="1"/>
  <c r="F464" i="2"/>
  <c r="G464" i="2" s="1"/>
  <c r="G142" i="2"/>
  <c r="G373" i="2"/>
  <c r="I321" i="2"/>
  <c r="F19" i="2"/>
  <c r="F25" i="2"/>
  <c r="F38" i="2" s="1"/>
  <c r="G162" i="2"/>
  <c r="G518" i="2"/>
  <c r="G520" i="2" s="1"/>
  <c r="G28" i="2" s="1"/>
  <c r="F192" i="2"/>
  <c r="F385" i="2"/>
  <c r="F69" i="2"/>
  <c r="K278" i="2"/>
  <c r="J278" i="2"/>
  <c r="I278" i="2"/>
  <c r="H278" i="2"/>
  <c r="G278" i="2"/>
  <c r="G178" i="2"/>
  <c r="G224" i="2"/>
  <c r="G181" i="2" s="1"/>
  <c r="G227" i="2"/>
  <c r="G182" i="2" s="1"/>
  <c r="F397" i="2"/>
  <c r="F399" i="2" s="1"/>
  <c r="F421" i="2" s="1"/>
  <c r="G418" i="2" s="1"/>
  <c r="G397" i="2"/>
  <c r="G399" i="2" s="1"/>
  <c r="F436" i="2"/>
  <c r="F593" i="2"/>
  <c r="G589" i="2" s="1"/>
  <c r="F112" i="2"/>
  <c r="F114" i="2" s="1"/>
  <c r="F101" i="2"/>
  <c r="I107" i="2"/>
  <c r="J113" i="2"/>
  <c r="G348" i="2"/>
  <c r="G343" i="2" s="1"/>
  <c r="F90" i="2"/>
  <c r="F79" i="2"/>
  <c r="G73" i="2"/>
  <c r="H73" i="2" s="1"/>
  <c r="I73" i="2" s="1"/>
  <c r="J73" i="2" s="1"/>
  <c r="K73" i="2" s="1"/>
  <c r="F502" i="2"/>
  <c r="F495" i="2"/>
  <c r="F73" i="4"/>
  <c r="F75" i="4" s="1"/>
  <c r="F14" i="4"/>
  <c r="F13" i="4"/>
  <c r="F52" i="4"/>
  <c r="F51" i="4"/>
  <c r="F27" i="4"/>
  <c r="F28" i="4"/>
  <c r="F35" i="4" s="1"/>
  <c r="E38" i="4"/>
  <c r="E63" i="4"/>
  <c r="H66" i="2"/>
  <c r="H144" i="2" s="1"/>
  <c r="G144" i="2"/>
  <c r="I398" i="2"/>
  <c r="I68" i="2"/>
  <c r="J62" i="2"/>
  <c r="F231" i="2"/>
  <c r="G300" i="2"/>
  <c r="F301" i="2"/>
  <c r="F479" i="2"/>
  <c r="G383" i="2"/>
  <c r="H368" i="2"/>
  <c r="G317" i="2"/>
  <c r="K317" i="2"/>
  <c r="K326" i="2" s="1"/>
  <c r="J317" i="2"/>
  <c r="I317" i="2"/>
  <c r="H317" i="2"/>
  <c r="K246" i="2"/>
  <c r="J246" i="2"/>
  <c r="I246" i="2"/>
  <c r="H246" i="2"/>
  <c r="G246" i="2"/>
  <c r="G247" i="2" s="1"/>
  <c r="G248" i="2" s="1"/>
  <c r="G339" i="2" s="1"/>
  <c r="G340" i="2" s="1"/>
  <c r="F298" i="2"/>
  <c r="G298" i="2" s="1"/>
  <c r="H298" i="2" s="1"/>
  <c r="E298" i="2"/>
  <c r="E282" i="2"/>
  <c r="F282" i="2"/>
  <c r="F264" i="2"/>
  <c r="F218" i="2" s="1"/>
  <c r="H213" i="2"/>
  <c r="H214" i="2" s="1"/>
  <c r="H230" i="2" s="1"/>
  <c r="F211" i="2"/>
  <c r="F215" i="2" s="1"/>
  <c r="G209" i="2"/>
  <c r="G211" i="2" s="1"/>
  <c r="G215" i="2" s="1"/>
  <c r="E231" i="2"/>
  <c r="E18" i="2"/>
  <c r="H373" i="2" l="1"/>
  <c r="I373" i="2" s="1"/>
  <c r="J373" i="2" s="1"/>
  <c r="K373" i="2" s="1"/>
  <c r="H459" i="2"/>
  <c r="I459" i="2" s="1"/>
  <c r="G372" i="2"/>
  <c r="G409" i="2"/>
  <c r="H469" i="2"/>
  <c r="I469" i="2" s="1"/>
  <c r="H464" i="2"/>
  <c r="I464" i="2" s="1"/>
  <c r="H474" i="2"/>
  <c r="I474" i="2" s="1"/>
  <c r="H142" i="2"/>
  <c r="H374" i="2"/>
  <c r="G349" i="2"/>
  <c r="G322" i="2"/>
  <c r="H322" i="2" s="1"/>
  <c r="J349" i="2"/>
  <c r="J325" i="2"/>
  <c r="K325" i="2" s="1"/>
  <c r="I349" i="2"/>
  <c r="I324" i="2"/>
  <c r="J324" i="2" s="1"/>
  <c r="K324" i="2" s="1"/>
  <c r="H349" i="2"/>
  <c r="H323" i="2"/>
  <c r="I323" i="2" s="1"/>
  <c r="J323" i="2" s="1"/>
  <c r="K323" i="2" s="1"/>
  <c r="J321" i="2"/>
  <c r="K321" i="2" s="1"/>
  <c r="F26" i="2"/>
  <c r="E19" i="2"/>
  <c r="E25" i="2"/>
  <c r="E38" i="2" s="1"/>
  <c r="H338" i="2"/>
  <c r="G342" i="2"/>
  <c r="G344" i="2" s="1"/>
  <c r="F81" i="2"/>
  <c r="G382" i="2"/>
  <c r="E192" i="2"/>
  <c r="K282" i="2"/>
  <c r="K186" i="2"/>
  <c r="J282" i="2"/>
  <c r="J186" i="2"/>
  <c r="I282" i="2"/>
  <c r="I186" i="2"/>
  <c r="H282" i="2"/>
  <c r="H186" i="2"/>
  <c r="G282" i="2"/>
  <c r="G186" i="2"/>
  <c r="G251" i="2"/>
  <c r="G187" i="2"/>
  <c r="H224" i="2"/>
  <c r="H181" i="2" s="1"/>
  <c r="G225" i="2"/>
  <c r="H227" i="2"/>
  <c r="H182" i="2" s="1"/>
  <c r="G228" i="2"/>
  <c r="F438" i="2"/>
  <c r="F439" i="2" s="1"/>
  <c r="G433" i="2"/>
  <c r="G435" i="2" s="1"/>
  <c r="G136" i="2" s="1"/>
  <c r="I213" i="2"/>
  <c r="I214" i="2" s="1"/>
  <c r="I230" i="2" s="1"/>
  <c r="F103" i="2"/>
  <c r="F116" i="2" s="1"/>
  <c r="J107" i="2"/>
  <c r="K113" i="2"/>
  <c r="E79" i="4"/>
  <c r="G29" i="2"/>
  <c r="G499" i="2"/>
  <c r="F532" i="2"/>
  <c r="F524" i="2"/>
  <c r="G492" i="2"/>
  <c r="F24" i="4"/>
  <c r="F48" i="4"/>
  <c r="F60" i="4"/>
  <c r="F38" i="4"/>
  <c r="K349" i="2"/>
  <c r="I66" i="2"/>
  <c r="I144" i="2" s="1"/>
  <c r="J398" i="2"/>
  <c r="J68" i="2"/>
  <c r="K68" i="2" s="1"/>
  <c r="K62" i="2"/>
  <c r="H300" i="2"/>
  <c r="H383" i="2"/>
  <c r="I368" i="2"/>
  <c r="G332" i="2"/>
  <c r="K332" i="2"/>
  <c r="J332" i="2"/>
  <c r="I332" i="2"/>
  <c r="H332" i="2"/>
  <c r="H247" i="2"/>
  <c r="H248" i="2" s="1"/>
  <c r="H339" i="2" s="1"/>
  <c r="I298" i="2"/>
  <c r="H178" i="2"/>
  <c r="H209" i="2"/>
  <c r="H211" i="2" s="1"/>
  <c r="H215" i="2" s="1"/>
  <c r="H372" i="2" l="1"/>
  <c r="I372" i="2" s="1"/>
  <c r="J372" i="2" s="1"/>
  <c r="K372" i="2" s="1"/>
  <c r="H409" i="2"/>
  <c r="I409" i="2" s="1"/>
  <c r="I374" i="2"/>
  <c r="J374" i="2" s="1"/>
  <c r="K374" i="2" s="1"/>
  <c r="I322" i="2"/>
  <c r="J322" i="2" s="1"/>
  <c r="K322" i="2" s="1"/>
  <c r="I142" i="2"/>
  <c r="I375" i="2"/>
  <c r="E26" i="2"/>
  <c r="H340" i="2"/>
  <c r="F117" i="2"/>
  <c r="G254" i="2"/>
  <c r="F294" i="2"/>
  <c r="G294" i="2" s="1"/>
  <c r="G252" i="2"/>
  <c r="G287" i="2" s="1"/>
  <c r="G290" i="2" s="1"/>
  <c r="H251" i="2"/>
  <c r="H187" i="2"/>
  <c r="I224" i="2"/>
  <c r="H225" i="2"/>
  <c r="G231" i="2"/>
  <c r="G10" i="2" s="1"/>
  <c r="I227" i="2"/>
  <c r="I182" i="2" s="1"/>
  <c r="H228" i="2"/>
  <c r="J213" i="2"/>
  <c r="J214" i="2" s="1"/>
  <c r="J230" i="2" s="1"/>
  <c r="I178" i="2"/>
  <c r="G350" i="2"/>
  <c r="G351" i="2" s="1"/>
  <c r="H348" i="2" s="1"/>
  <c r="H343" i="2" s="1"/>
  <c r="G156" i="2"/>
  <c r="K107" i="2"/>
  <c r="G502" i="2"/>
  <c r="G532" i="2"/>
  <c r="F533" i="2"/>
  <c r="G533" i="2" s="1"/>
  <c r="G524" i="2"/>
  <c r="F525" i="2"/>
  <c r="G495" i="2"/>
  <c r="F63" i="4"/>
  <c r="F79" i="4" s="1"/>
  <c r="J66" i="2"/>
  <c r="J144" i="2" s="1"/>
  <c r="K398" i="2"/>
  <c r="I300" i="2"/>
  <c r="J464" i="2"/>
  <c r="J459" i="2"/>
  <c r="J474" i="2"/>
  <c r="J469" i="2"/>
  <c r="I383" i="2"/>
  <c r="J368" i="2"/>
  <c r="H327" i="2"/>
  <c r="G327" i="2"/>
  <c r="I247" i="2"/>
  <c r="I248" i="2" s="1"/>
  <c r="I339" i="2" s="1"/>
  <c r="J298" i="2"/>
  <c r="I209" i="2"/>
  <c r="I211" i="2" s="1"/>
  <c r="I215" i="2" s="1"/>
  <c r="J409" i="2" l="1"/>
  <c r="K409" i="2" s="1"/>
  <c r="J375" i="2"/>
  <c r="K375" i="2" s="1"/>
  <c r="G259" i="2"/>
  <c r="G434" i="2"/>
  <c r="J142" i="2"/>
  <c r="J376" i="2"/>
  <c r="K376" i="2" s="1"/>
  <c r="F41" i="2"/>
  <c r="E41" i="2"/>
  <c r="I338" i="2"/>
  <c r="I340" i="2" s="1"/>
  <c r="H342" i="2"/>
  <c r="H344" i="2" s="1"/>
  <c r="G454" i="2"/>
  <c r="H294" i="2"/>
  <c r="I294" i="2" s="1"/>
  <c r="J294" i="2" s="1"/>
  <c r="G292" i="2"/>
  <c r="G13" i="2" s="1"/>
  <c r="H286" i="2"/>
  <c r="G11" i="2"/>
  <c r="H254" i="2"/>
  <c r="H434" i="2" s="1"/>
  <c r="H252" i="2"/>
  <c r="H287" i="2" s="1"/>
  <c r="H231" i="2"/>
  <c r="H10" i="2" s="1"/>
  <c r="J224" i="2"/>
  <c r="J225" i="2" s="1"/>
  <c r="I225" i="2"/>
  <c r="I181" i="2"/>
  <c r="I251" i="2"/>
  <c r="I187" i="2"/>
  <c r="G403" i="2"/>
  <c r="G405" i="2" s="1"/>
  <c r="G410" i="2" s="1"/>
  <c r="H410" i="2" s="1"/>
  <c r="I410" i="2" s="1"/>
  <c r="J410" i="2" s="1"/>
  <c r="K410" i="2" s="1"/>
  <c r="G301" i="2"/>
  <c r="G15" i="2" s="1"/>
  <c r="J227" i="2"/>
  <c r="J182" i="2" s="1"/>
  <c r="I228" i="2"/>
  <c r="K213" i="2"/>
  <c r="K214" i="2" s="1"/>
  <c r="K230" i="2" s="1"/>
  <c r="J178" i="2"/>
  <c r="H499" i="2"/>
  <c r="G510" i="2"/>
  <c r="G512" i="2" s="1"/>
  <c r="H532" i="2"/>
  <c r="G535" i="2"/>
  <c r="G98" i="2" s="1"/>
  <c r="H533" i="2"/>
  <c r="G536" i="2"/>
  <c r="G87" i="2" s="1"/>
  <c r="H524" i="2"/>
  <c r="G525" i="2"/>
  <c r="G528" i="2" s="1"/>
  <c r="G86" i="2" s="1"/>
  <c r="G527" i="2"/>
  <c r="G97" i="2" s="1"/>
  <c r="H492" i="2"/>
  <c r="G506" i="2"/>
  <c r="G508" i="2" s="1"/>
  <c r="H29" i="2"/>
  <c r="K66" i="2"/>
  <c r="K144" i="2" s="1"/>
  <c r="H333" i="2"/>
  <c r="H132" i="2"/>
  <c r="G333" i="2"/>
  <c r="G334" i="2" s="1"/>
  <c r="G132" i="2"/>
  <c r="J300" i="2"/>
  <c r="K464" i="2"/>
  <c r="K459" i="2"/>
  <c r="K474" i="2"/>
  <c r="K469" i="2"/>
  <c r="J383" i="2"/>
  <c r="K368" i="2"/>
  <c r="I327" i="2"/>
  <c r="J247" i="2"/>
  <c r="J248" i="2" s="1"/>
  <c r="J339" i="2" s="1"/>
  <c r="K298" i="2"/>
  <c r="J209" i="2"/>
  <c r="J211" i="2" s="1"/>
  <c r="J215" i="2" s="1"/>
  <c r="G261" i="2" l="1"/>
  <c r="G262" i="2"/>
  <c r="G460" i="2"/>
  <c r="G72" i="2" s="1"/>
  <c r="G475" i="2"/>
  <c r="G94" i="2" s="1"/>
  <c r="K142" i="2"/>
  <c r="K377" i="2"/>
  <c r="F193" i="2"/>
  <c r="F42" i="2"/>
  <c r="E193" i="2"/>
  <c r="E42" i="2"/>
  <c r="J338" i="2"/>
  <c r="J340" i="2" s="1"/>
  <c r="I342" i="2"/>
  <c r="G135" i="2"/>
  <c r="G436" i="2"/>
  <c r="H403" i="2"/>
  <c r="H405" i="2" s="1"/>
  <c r="H411" i="2" s="1"/>
  <c r="I411" i="2" s="1"/>
  <c r="J411" i="2" s="1"/>
  <c r="K411" i="2" s="1"/>
  <c r="H290" i="2"/>
  <c r="I231" i="2"/>
  <c r="I10" i="2" s="1"/>
  <c r="H259" i="2"/>
  <c r="H292" i="2"/>
  <c r="H13" i="2" s="1"/>
  <c r="H135" i="2"/>
  <c r="H454" i="2"/>
  <c r="H301" i="2"/>
  <c r="H15" i="2" s="1"/>
  <c r="J181" i="2"/>
  <c r="K224" i="2"/>
  <c r="J251" i="2"/>
  <c r="J252" i="2" s="1"/>
  <c r="J287" i="2" s="1"/>
  <c r="J187" i="2"/>
  <c r="G143" i="2"/>
  <c r="G145" i="2" s="1"/>
  <c r="G419" i="2"/>
  <c r="K227" i="2"/>
  <c r="J228" i="2"/>
  <c r="J231" i="2" s="1"/>
  <c r="J10" i="2" s="1"/>
  <c r="K178" i="2"/>
  <c r="H502" i="2"/>
  <c r="I532" i="2"/>
  <c r="I533" i="2"/>
  <c r="H525" i="2"/>
  <c r="I524" i="2"/>
  <c r="H495" i="2"/>
  <c r="H506" i="2" s="1"/>
  <c r="H508" i="2" s="1"/>
  <c r="G514" i="2"/>
  <c r="G30" i="2" s="1"/>
  <c r="G31" i="2" s="1"/>
  <c r="H156" i="2"/>
  <c r="H350" i="2"/>
  <c r="H331" i="2"/>
  <c r="H334" i="2" s="1"/>
  <c r="G59" i="2"/>
  <c r="I333" i="2"/>
  <c r="I132" i="2"/>
  <c r="K300" i="2"/>
  <c r="K383" i="2"/>
  <c r="J327" i="2"/>
  <c r="K327" i="2"/>
  <c r="I254" i="2"/>
  <c r="I434" i="2" s="1"/>
  <c r="I252" i="2"/>
  <c r="I287" i="2" s="1"/>
  <c r="K247" i="2"/>
  <c r="K248" i="2" s="1"/>
  <c r="K339" i="2" s="1"/>
  <c r="K294" i="2"/>
  <c r="K209" i="2"/>
  <c r="K211" i="2" s="1"/>
  <c r="K215" i="2" s="1"/>
  <c r="G179" i="2" l="1"/>
  <c r="G183" i="2"/>
  <c r="G296" i="2"/>
  <c r="G14" i="2" s="1"/>
  <c r="G281" i="2"/>
  <c r="G12" i="2" s="1"/>
  <c r="G217" i="2"/>
  <c r="G219" i="2" s="1"/>
  <c r="G180" i="2" s="1"/>
  <c r="G264" i="2"/>
  <c r="G218" i="2" s="1"/>
  <c r="H475" i="2"/>
  <c r="H94" i="2" s="1"/>
  <c r="H460" i="2"/>
  <c r="H72" i="2" s="1"/>
  <c r="K338" i="2"/>
  <c r="J342" i="2"/>
  <c r="K340" i="2"/>
  <c r="K342" i="2" s="1"/>
  <c r="K181" i="2"/>
  <c r="K225" i="2"/>
  <c r="H143" i="2"/>
  <c r="H145" i="2" s="1"/>
  <c r="H419" i="2"/>
  <c r="H433" i="2"/>
  <c r="H435" i="2" s="1"/>
  <c r="G441" i="2"/>
  <c r="I286" i="2"/>
  <c r="I290" i="2" s="1"/>
  <c r="H11" i="2"/>
  <c r="H262" i="2"/>
  <c r="H261" i="2"/>
  <c r="I454" i="2"/>
  <c r="I403" i="2"/>
  <c r="I405" i="2" s="1"/>
  <c r="I412" i="2" s="1"/>
  <c r="J412" i="2" s="1"/>
  <c r="K412" i="2" s="1"/>
  <c r="I301" i="2"/>
  <c r="I15" i="2" s="1"/>
  <c r="I135" i="2"/>
  <c r="I259" i="2"/>
  <c r="K228" i="2"/>
  <c r="K182" i="2"/>
  <c r="K251" i="2"/>
  <c r="K187" i="2"/>
  <c r="G415" i="2"/>
  <c r="J403" i="2"/>
  <c r="J405" i="2" s="1"/>
  <c r="J413" i="2" s="1"/>
  <c r="K413" i="2" s="1"/>
  <c r="J301" i="2"/>
  <c r="J15" i="2" s="1"/>
  <c r="J454" i="2"/>
  <c r="H535" i="2"/>
  <c r="H98" i="2" s="1"/>
  <c r="H510" i="2"/>
  <c r="H512" i="2" s="1"/>
  <c r="H514" i="2" s="1"/>
  <c r="H30" i="2" s="1"/>
  <c r="H528" i="2"/>
  <c r="H86" i="2" s="1"/>
  <c r="I492" i="2"/>
  <c r="I495" i="2" s="1"/>
  <c r="I506" i="2" s="1"/>
  <c r="I508" i="2" s="1"/>
  <c r="H527" i="2"/>
  <c r="H97" i="2" s="1"/>
  <c r="I499" i="2"/>
  <c r="I502" i="2" s="1"/>
  <c r="I536" i="2" s="1"/>
  <c r="I87" i="2" s="1"/>
  <c r="H536" i="2"/>
  <c r="H87" i="2" s="1"/>
  <c r="J532" i="2"/>
  <c r="K532" i="2" s="1"/>
  <c r="J533" i="2"/>
  <c r="K533" i="2" s="1"/>
  <c r="J524" i="2"/>
  <c r="I525" i="2"/>
  <c r="G353" i="2"/>
  <c r="H351" i="2"/>
  <c r="I331" i="2"/>
  <c r="I334" i="2" s="1"/>
  <c r="H59" i="2"/>
  <c r="J333" i="2"/>
  <c r="J132" i="2"/>
  <c r="K333" i="2"/>
  <c r="K132" i="2"/>
  <c r="I292" i="2"/>
  <c r="I13" i="2" s="1"/>
  <c r="J254" i="2"/>
  <c r="J434" i="2" s="1"/>
  <c r="G455" i="2" l="1"/>
  <c r="G16" i="2"/>
  <c r="I475" i="2"/>
  <c r="I94" i="2" s="1"/>
  <c r="I460" i="2"/>
  <c r="I72" i="2" s="1"/>
  <c r="J460" i="2"/>
  <c r="J72" i="2" s="1"/>
  <c r="J475" i="2"/>
  <c r="J94" i="2" s="1"/>
  <c r="K231" i="2"/>
  <c r="K10" i="2" s="1"/>
  <c r="H183" i="2"/>
  <c r="H179" i="2"/>
  <c r="G442" i="2"/>
  <c r="G85" i="2" s="1"/>
  <c r="G93" i="2"/>
  <c r="H217" i="2"/>
  <c r="H219" i="2" s="1"/>
  <c r="H180" i="2" s="1"/>
  <c r="H264" i="2"/>
  <c r="H218" i="2" s="1"/>
  <c r="H296" i="2"/>
  <c r="H14" i="2" s="1"/>
  <c r="H281" i="2"/>
  <c r="H12" i="2" s="1"/>
  <c r="I262" i="2"/>
  <c r="I261" i="2"/>
  <c r="I143" i="2"/>
  <c r="I145" i="2" s="1"/>
  <c r="I419" i="2"/>
  <c r="J135" i="2"/>
  <c r="J259" i="2"/>
  <c r="K252" i="2"/>
  <c r="K287" i="2" s="1"/>
  <c r="K254" i="2"/>
  <c r="G133" i="2"/>
  <c r="G22" i="2"/>
  <c r="G420" i="2"/>
  <c r="G421" i="2" s="1"/>
  <c r="H415" i="2"/>
  <c r="J143" i="2"/>
  <c r="J145" i="2" s="1"/>
  <c r="J419" i="2"/>
  <c r="K524" i="2"/>
  <c r="K525" i="2" s="1"/>
  <c r="J525" i="2"/>
  <c r="J499" i="2"/>
  <c r="I510" i="2"/>
  <c r="I512" i="2" s="1"/>
  <c r="I514" i="2" s="1"/>
  <c r="I30" i="2" s="1"/>
  <c r="I535" i="2"/>
  <c r="I98" i="2" s="1"/>
  <c r="I527" i="2"/>
  <c r="I97" i="2" s="1"/>
  <c r="I528" i="2"/>
  <c r="I86" i="2" s="1"/>
  <c r="J492" i="2"/>
  <c r="G99" i="2"/>
  <c r="G354" i="2"/>
  <c r="G88" i="2" s="1"/>
  <c r="I348" i="2"/>
  <c r="I343" i="2" s="1"/>
  <c r="I344" i="2" s="1"/>
  <c r="J331" i="2"/>
  <c r="J334" i="2" s="1"/>
  <c r="I59" i="2"/>
  <c r="I11" i="2"/>
  <c r="J286" i="2"/>
  <c r="J290" i="2" s="1"/>
  <c r="J292" i="2"/>
  <c r="J13" i="2" s="1"/>
  <c r="G470" i="2" l="1"/>
  <c r="G465" i="2"/>
  <c r="G71" i="2" s="1"/>
  <c r="G18" i="2"/>
  <c r="G184" i="2"/>
  <c r="K259" i="2"/>
  <c r="K434" i="2"/>
  <c r="K135" i="2" s="1"/>
  <c r="K403" i="2"/>
  <c r="K405" i="2" s="1"/>
  <c r="K414" i="2" s="1"/>
  <c r="K301" i="2"/>
  <c r="K15" i="2" s="1"/>
  <c r="K454" i="2"/>
  <c r="H136" i="2"/>
  <c r="H436" i="2"/>
  <c r="I183" i="2"/>
  <c r="I179" i="2"/>
  <c r="G90" i="2"/>
  <c r="I217" i="2"/>
  <c r="I219" i="2" s="1"/>
  <c r="I180" i="2" s="1"/>
  <c r="I264" i="2"/>
  <c r="I218" i="2" s="1"/>
  <c r="I296" i="2"/>
  <c r="I14" i="2" s="1"/>
  <c r="I281" i="2"/>
  <c r="I12" i="2" s="1"/>
  <c r="H16" i="2"/>
  <c r="H455" i="2"/>
  <c r="J262" i="2"/>
  <c r="J261" i="2"/>
  <c r="K292" i="2"/>
  <c r="K13" i="2" s="1"/>
  <c r="I415" i="2"/>
  <c r="G422" i="2"/>
  <c r="H418" i="2"/>
  <c r="H133" i="2"/>
  <c r="H420" i="2"/>
  <c r="H22" i="2"/>
  <c r="J502" i="2"/>
  <c r="J510" i="2" s="1"/>
  <c r="J512" i="2" s="1"/>
  <c r="J495" i="2"/>
  <c r="J506" i="2" s="1"/>
  <c r="J508" i="2" s="1"/>
  <c r="I29" i="2"/>
  <c r="K331" i="2"/>
  <c r="K334" i="2" s="1"/>
  <c r="K59" i="2" s="1"/>
  <c r="J59" i="2"/>
  <c r="K286" i="2"/>
  <c r="K290" i="2" s="1"/>
  <c r="K11" i="2" s="1"/>
  <c r="J11" i="2"/>
  <c r="G479" i="2" l="1"/>
  <c r="G480" i="2" s="1"/>
  <c r="G137" i="2" s="1"/>
  <c r="G92" i="2"/>
  <c r="G192" i="2"/>
  <c r="G19" i="2"/>
  <c r="K261" i="2"/>
  <c r="K262" i="2"/>
  <c r="K460" i="2"/>
  <c r="K72" i="2" s="1"/>
  <c r="K475" i="2"/>
  <c r="K94" i="2" s="1"/>
  <c r="H470" i="2"/>
  <c r="H465" i="2"/>
  <c r="H71" i="2" s="1"/>
  <c r="K419" i="2"/>
  <c r="K143" i="2"/>
  <c r="K145" i="2" s="1"/>
  <c r="H441" i="2"/>
  <c r="I433" i="2"/>
  <c r="I435" i="2" s="1"/>
  <c r="J183" i="2"/>
  <c r="J179" i="2"/>
  <c r="H18" i="2"/>
  <c r="H184" i="2"/>
  <c r="I16" i="2"/>
  <c r="I455" i="2"/>
  <c r="J296" i="2"/>
  <c r="J14" i="2" s="1"/>
  <c r="J217" i="2"/>
  <c r="J219" i="2" s="1"/>
  <c r="J180" i="2" s="1"/>
  <c r="J281" i="2"/>
  <c r="J12" i="2" s="1"/>
  <c r="J264" i="2"/>
  <c r="J218" i="2" s="1"/>
  <c r="H421" i="2"/>
  <c r="J415" i="2"/>
  <c r="I22" i="2"/>
  <c r="I420" i="2"/>
  <c r="I133" i="2"/>
  <c r="G63" i="2"/>
  <c r="H397" i="2"/>
  <c r="H399" i="2" s="1"/>
  <c r="J514" i="2"/>
  <c r="J30" i="2" s="1"/>
  <c r="J535" i="2"/>
  <c r="J98" i="2" s="1"/>
  <c r="J536" i="2"/>
  <c r="J87" i="2" s="1"/>
  <c r="K499" i="2"/>
  <c r="K502" i="2" s="1"/>
  <c r="J528" i="2"/>
  <c r="J86" i="2" s="1"/>
  <c r="J527" i="2"/>
  <c r="J97" i="2" s="1"/>
  <c r="K492" i="2"/>
  <c r="I350" i="2"/>
  <c r="I156" i="2"/>
  <c r="K183" i="2" l="1"/>
  <c r="K179" i="2"/>
  <c r="K296" i="2"/>
  <c r="K14" i="2" s="1"/>
  <c r="K281" i="2"/>
  <c r="K12" i="2" s="1"/>
  <c r="K217" i="2"/>
  <c r="K219" i="2" s="1"/>
  <c r="K180" i="2" s="1"/>
  <c r="K264" i="2"/>
  <c r="K218" i="2" s="1"/>
  <c r="I470" i="2"/>
  <c r="I465" i="2"/>
  <c r="I71" i="2" s="1"/>
  <c r="H192" i="2"/>
  <c r="H19" i="2"/>
  <c r="K415" i="2"/>
  <c r="H93" i="2"/>
  <c r="H442" i="2"/>
  <c r="H85" i="2" s="1"/>
  <c r="I136" i="2"/>
  <c r="I436" i="2"/>
  <c r="I18" i="2"/>
  <c r="I184" i="2"/>
  <c r="J455" i="2"/>
  <c r="J16" i="2"/>
  <c r="H479" i="2"/>
  <c r="H480" i="2" s="1"/>
  <c r="H137" i="2" s="1"/>
  <c r="H92" i="2"/>
  <c r="J133" i="2"/>
  <c r="J420" i="2"/>
  <c r="J22" i="2"/>
  <c r="I418" i="2"/>
  <c r="I421" i="2" s="1"/>
  <c r="H422" i="2"/>
  <c r="K536" i="2"/>
  <c r="K87" i="2" s="1"/>
  <c r="K535" i="2"/>
  <c r="K98" i="2" s="1"/>
  <c r="K510" i="2"/>
  <c r="K512" i="2" s="1"/>
  <c r="K495" i="2"/>
  <c r="K506" i="2" s="1"/>
  <c r="K508" i="2" s="1"/>
  <c r="I351" i="2"/>
  <c r="H353" i="2"/>
  <c r="K455" i="2" l="1"/>
  <c r="K16" i="2"/>
  <c r="J465" i="2"/>
  <c r="J71" i="2" s="1"/>
  <c r="J470" i="2"/>
  <c r="I192" i="2"/>
  <c r="I19" i="2"/>
  <c r="J433" i="2"/>
  <c r="J435" i="2" s="1"/>
  <c r="I441" i="2"/>
  <c r="K420" i="2"/>
  <c r="K133" i="2"/>
  <c r="K22" i="2"/>
  <c r="J18" i="2"/>
  <c r="J184" i="2"/>
  <c r="I92" i="2"/>
  <c r="I479" i="2"/>
  <c r="I480" i="2" s="1"/>
  <c r="I137" i="2" s="1"/>
  <c r="I422" i="2"/>
  <c r="J418" i="2"/>
  <c r="J421" i="2" s="1"/>
  <c r="I397" i="2"/>
  <c r="I399" i="2" s="1"/>
  <c r="H63" i="2"/>
  <c r="K514" i="2"/>
  <c r="K30" i="2" s="1"/>
  <c r="K527" i="2"/>
  <c r="K97" i="2" s="1"/>
  <c r="K528" i="2"/>
  <c r="K86" i="2" s="1"/>
  <c r="J348" i="2"/>
  <c r="J343" i="2" s="1"/>
  <c r="H354" i="2"/>
  <c r="H88" i="2" s="1"/>
  <c r="H90" i="2" s="1"/>
  <c r="H99" i="2"/>
  <c r="K465" i="2" l="1"/>
  <c r="K71" i="2" s="1"/>
  <c r="K470" i="2"/>
  <c r="K18" i="2"/>
  <c r="K184" i="2"/>
  <c r="J192" i="2"/>
  <c r="J19" i="2"/>
  <c r="I93" i="2"/>
  <c r="I442" i="2"/>
  <c r="I85" i="2" s="1"/>
  <c r="J92" i="2"/>
  <c r="J479" i="2"/>
  <c r="J480" i="2" s="1"/>
  <c r="J137" i="2" s="1"/>
  <c r="K418" i="2"/>
  <c r="K421" i="2" s="1"/>
  <c r="K422" i="2" s="1"/>
  <c r="K63" i="2" s="1"/>
  <c r="J422" i="2"/>
  <c r="J397" i="2"/>
  <c r="J399" i="2" s="1"/>
  <c r="I63" i="2"/>
  <c r="J344" i="2"/>
  <c r="K479" i="2" l="1"/>
  <c r="K480" i="2" s="1"/>
  <c r="K137" i="2" s="1"/>
  <c r="K92" i="2"/>
  <c r="K192" i="2"/>
  <c r="K19" i="2"/>
  <c r="J136" i="2"/>
  <c r="J436" i="2"/>
  <c r="K397" i="2"/>
  <c r="K399" i="2" s="1"/>
  <c r="J63" i="2"/>
  <c r="J29" i="2"/>
  <c r="K433" i="2" l="1"/>
  <c r="K435" i="2" s="1"/>
  <c r="J441" i="2"/>
  <c r="J350" i="2"/>
  <c r="J156" i="2"/>
  <c r="J442" i="2" l="1"/>
  <c r="J85" i="2" s="1"/>
  <c r="J93" i="2"/>
  <c r="K136" i="2"/>
  <c r="K436" i="2"/>
  <c r="J351" i="2"/>
  <c r="I353" i="2"/>
  <c r="K441" i="2" l="1"/>
  <c r="K348" i="2"/>
  <c r="K343" i="2" s="1"/>
  <c r="I354" i="2"/>
  <c r="I88" i="2" s="1"/>
  <c r="I90" i="2" s="1"/>
  <c r="I99" i="2"/>
  <c r="G378" i="2"/>
  <c r="G131" i="2" s="1"/>
  <c r="K93" i="2" l="1"/>
  <c r="K442" i="2"/>
  <c r="K85" i="2" s="1"/>
  <c r="K344" i="2"/>
  <c r="G384" i="2"/>
  <c r="G385" i="2" s="1"/>
  <c r="G21" i="2"/>
  <c r="I378" i="2"/>
  <c r="I131" i="2" s="1"/>
  <c r="G23" i="2" l="1"/>
  <c r="G25" i="2" s="1"/>
  <c r="G38" i="2" s="1"/>
  <c r="G185" i="2"/>
  <c r="K29" i="2"/>
  <c r="G58" i="2"/>
  <c r="H382" i="2"/>
  <c r="I384" i="2"/>
  <c r="I21" i="2"/>
  <c r="H378" i="2"/>
  <c r="H131" i="2" s="1"/>
  <c r="I23" i="2" l="1"/>
  <c r="I185" i="2"/>
  <c r="K350" i="2"/>
  <c r="J353" i="2" s="1"/>
  <c r="K156" i="2"/>
  <c r="H384" i="2"/>
  <c r="H385" i="2" s="1"/>
  <c r="H21" i="2"/>
  <c r="K378" i="2"/>
  <c r="J378" i="2"/>
  <c r="J131" i="2" s="1"/>
  <c r="G26" i="2" l="1"/>
  <c r="G547" i="2"/>
  <c r="I25" i="2"/>
  <c r="K131" i="2"/>
  <c r="K21" i="2"/>
  <c r="H23" i="2"/>
  <c r="H185" i="2"/>
  <c r="K351" i="2"/>
  <c r="I382" i="2"/>
  <c r="I385" i="2" s="1"/>
  <c r="H58" i="2"/>
  <c r="K384" i="2"/>
  <c r="J384" i="2"/>
  <c r="J21" i="2"/>
  <c r="I26" i="2" l="1"/>
  <c r="G552" i="2"/>
  <c r="G549" i="2"/>
  <c r="H25" i="2"/>
  <c r="K23" i="2"/>
  <c r="K185" i="2"/>
  <c r="J23" i="2"/>
  <c r="J185" i="2"/>
  <c r="J354" i="2"/>
  <c r="J88" i="2" s="1"/>
  <c r="J90" i="2" s="1"/>
  <c r="K353" i="2"/>
  <c r="J99" i="2"/>
  <c r="I58" i="2"/>
  <c r="J382" i="2"/>
  <c r="J385" i="2" s="1"/>
  <c r="H26" i="2" l="1"/>
  <c r="G561" i="2"/>
  <c r="G567" i="2"/>
  <c r="G568" i="2"/>
  <c r="G559" i="2"/>
  <c r="G40" i="2"/>
  <c r="G41" i="2" s="1"/>
  <c r="G554" i="2"/>
  <c r="K25" i="2"/>
  <c r="J25" i="2"/>
  <c r="K354" i="2"/>
  <c r="K88" i="2" s="1"/>
  <c r="K90" i="2" s="1"/>
  <c r="K99" i="2"/>
  <c r="J58" i="2"/>
  <c r="K382" i="2"/>
  <c r="K385" i="2" s="1"/>
  <c r="K58" i="2" s="1"/>
  <c r="G590" i="2" l="1"/>
  <c r="G42" i="2"/>
  <c r="G560" i="2"/>
  <c r="G569" i="2"/>
  <c r="K26" i="2"/>
  <c r="J26" i="2"/>
  <c r="G193" i="2"/>
  <c r="G130" i="2"/>
  <c r="G134" i="2" l="1"/>
  <c r="G138" i="2" s="1"/>
  <c r="G147" i="2" s="1"/>
  <c r="G148" i="2" s="1"/>
  <c r="G581" i="2" s="1"/>
  <c r="G583" i="2" s="1"/>
  <c r="G591" i="2" s="1"/>
  <c r="G562" i="2"/>
  <c r="H566" i="2"/>
  <c r="G64" i="2"/>
  <c r="G69" i="2" s="1"/>
  <c r="H558" i="2" l="1"/>
  <c r="G100" i="2"/>
  <c r="G101" i="2" s="1"/>
  <c r="G103" i="2" s="1"/>
  <c r="G592" i="2" l="1"/>
  <c r="G158" i="2" l="1"/>
  <c r="G598" i="2"/>
  <c r="G599" i="2" s="1"/>
  <c r="G600" i="2" l="1"/>
  <c r="G45" i="2" s="1"/>
  <c r="H596" i="2"/>
  <c r="G602" i="2" l="1"/>
  <c r="G46" i="2" s="1"/>
  <c r="G157" i="2" l="1"/>
  <c r="G160" i="2" s="1"/>
  <c r="G163" i="2" s="1"/>
  <c r="G164" i="2" s="1"/>
  <c r="G78" i="2" s="1"/>
  <c r="H580" i="2" s="1"/>
  <c r="G593" i="2"/>
  <c r="H589" i="2" l="1"/>
  <c r="G111" i="2"/>
  <c r="G112" i="2" s="1"/>
  <c r="G114" i="2" s="1"/>
  <c r="G116" i="2" s="1"/>
  <c r="G79" i="2"/>
  <c r="G81" i="2" s="1"/>
  <c r="H162" i="2"/>
  <c r="H518" i="2"/>
  <c r="H520" i="2" s="1"/>
  <c r="H28" i="2" s="1"/>
  <c r="H31" i="2" s="1"/>
  <c r="H38" i="2" s="1"/>
  <c r="G117" i="2" l="1"/>
  <c r="G191" i="2"/>
  <c r="H547" i="2"/>
  <c r="H552" i="2" l="1"/>
  <c r="H549" i="2"/>
  <c r="H561" i="2" l="1"/>
  <c r="H568" i="2"/>
  <c r="H567" i="2"/>
  <c r="H554" i="2"/>
  <c r="H40" i="2"/>
  <c r="H41" i="2" s="1"/>
  <c r="H559" i="2"/>
  <c r="H590" i="2" l="1"/>
  <c r="H586" i="2" s="1"/>
  <c r="H569" i="2"/>
  <c r="H560" i="2"/>
  <c r="H42" i="2"/>
  <c r="H130" i="2"/>
  <c r="H193" i="2"/>
  <c r="I566" i="2" l="1"/>
  <c r="H64" i="2"/>
  <c r="H69" i="2" s="1"/>
  <c r="H562" i="2"/>
  <c r="H134" i="2"/>
  <c r="H138" i="2" s="1"/>
  <c r="H147" i="2" s="1"/>
  <c r="H148" i="2" s="1"/>
  <c r="H581" i="2" s="1"/>
  <c r="H583" i="2" l="1"/>
  <c r="H591" i="2" s="1"/>
  <c r="H592" i="2"/>
  <c r="H100" i="2"/>
  <c r="H101" i="2" s="1"/>
  <c r="H103" i="2" s="1"/>
  <c r="I558" i="2"/>
  <c r="H158" i="2" l="1"/>
  <c r="H598" i="2"/>
  <c r="H593" i="2"/>
  <c r="H157" i="2"/>
  <c r="H160" i="2" l="1"/>
  <c r="H163" i="2" s="1"/>
  <c r="H164" i="2" s="1"/>
  <c r="H78" i="2" s="1"/>
  <c r="H599" i="2"/>
  <c r="H600" i="2"/>
  <c r="H45" i="2" s="1"/>
  <c r="I589" i="2"/>
  <c r="H111" i="2"/>
  <c r="H112" i="2" s="1"/>
  <c r="H114" i="2" s="1"/>
  <c r="H116" i="2" s="1"/>
  <c r="I580" i="2" l="1"/>
  <c r="I518" i="2"/>
  <c r="I520" i="2" s="1"/>
  <c r="I28" i="2" s="1"/>
  <c r="I31" i="2" s="1"/>
  <c r="I38" i="2" s="1"/>
  <c r="I547" i="2" s="1"/>
  <c r="H79" i="2"/>
  <c r="H81" i="2" s="1"/>
  <c r="I162" i="2"/>
  <c r="I596" i="2"/>
  <c r="H602" i="2"/>
  <c r="H46" i="2" s="1"/>
  <c r="H117" i="2"/>
  <c r="H191" i="2"/>
  <c r="I549" i="2" l="1"/>
  <c r="I40" i="2" s="1"/>
  <c r="I41" i="2" s="1"/>
  <c r="I552" i="2"/>
  <c r="I559" i="2" l="1"/>
  <c r="I554" i="2"/>
  <c r="I568" i="2"/>
  <c r="I567" i="2"/>
  <c r="I561" i="2"/>
  <c r="I590" i="2"/>
  <c r="I42" i="2"/>
  <c r="I130" i="2"/>
  <c r="I193" i="2"/>
  <c r="I569" i="2" l="1"/>
  <c r="I560" i="2"/>
  <c r="I134" i="2" l="1"/>
  <c r="I138" i="2" s="1"/>
  <c r="I562" i="2"/>
  <c r="I64" i="2"/>
  <c r="I69" i="2" s="1"/>
  <c r="J566" i="2"/>
  <c r="I147" i="2"/>
  <c r="I148" i="2" s="1"/>
  <c r="I581" i="2" s="1"/>
  <c r="J558" i="2" l="1"/>
  <c r="I100" i="2"/>
  <c r="I101" i="2" s="1"/>
  <c r="I103" i="2" s="1"/>
  <c r="I583" i="2"/>
  <c r="I586" i="2" s="1"/>
  <c r="I591" i="2" s="1"/>
  <c r="I592" i="2"/>
  <c r="I158" i="2" l="1"/>
  <c r="I598" i="2"/>
  <c r="I157" i="2"/>
  <c r="I593" i="2"/>
  <c r="I160" i="2" l="1"/>
  <c r="I163" i="2" s="1"/>
  <c r="I164" i="2" s="1"/>
  <c r="I78" i="2" s="1"/>
  <c r="I599" i="2"/>
  <c r="I600" i="2"/>
  <c r="I45" i="2" s="1"/>
  <c r="I111" i="2"/>
  <c r="I112" i="2" s="1"/>
  <c r="I114" i="2" s="1"/>
  <c r="I116" i="2" s="1"/>
  <c r="J589" i="2"/>
  <c r="J580" i="2" l="1"/>
  <c r="J518" i="2"/>
  <c r="J520" i="2" s="1"/>
  <c r="J28" i="2" s="1"/>
  <c r="J31" i="2" s="1"/>
  <c r="J38" i="2" s="1"/>
  <c r="J547" i="2" s="1"/>
  <c r="I79" i="2"/>
  <c r="I81" i="2" s="1"/>
  <c r="J162" i="2"/>
  <c r="J596" i="2"/>
  <c r="I602" i="2"/>
  <c r="I46" i="2" s="1"/>
  <c r="J549" i="2" l="1"/>
  <c r="J552" i="2"/>
  <c r="I191" i="2"/>
  <c r="I117" i="2"/>
  <c r="J554" i="2" l="1"/>
  <c r="J559" i="2"/>
  <c r="J40" i="2"/>
  <c r="J41" i="2" s="1"/>
  <c r="J568" i="2"/>
  <c r="J561" i="2"/>
  <c r="J567" i="2"/>
  <c r="J560" i="2" s="1"/>
  <c r="J569" i="2" l="1"/>
  <c r="J130" i="2"/>
  <c r="J42" i="2"/>
  <c r="J590" i="2"/>
  <c r="J193" i="2"/>
  <c r="J134" i="2"/>
  <c r="J562" i="2"/>
  <c r="J64" i="2" l="1"/>
  <c r="J69" i="2" s="1"/>
  <c r="K566" i="2"/>
  <c r="J138" i="2"/>
  <c r="J147" i="2" s="1"/>
  <c r="J148" i="2" s="1"/>
  <c r="J581" i="2" s="1"/>
  <c r="J583" i="2" s="1"/>
  <c r="J586" i="2" s="1"/>
  <c r="J591" i="2" s="1"/>
  <c r="K558" i="2"/>
  <c r="J100" i="2"/>
  <c r="J101" i="2" s="1"/>
  <c r="J103" i="2" s="1"/>
  <c r="J592" i="2"/>
  <c r="J158" i="2" l="1"/>
  <c r="J598" i="2"/>
  <c r="J157" i="2"/>
  <c r="J593" i="2"/>
  <c r="J160" i="2" l="1"/>
  <c r="J163" i="2" s="1"/>
  <c r="J164" i="2" s="1"/>
  <c r="J78" i="2" s="1"/>
  <c r="J599" i="2"/>
  <c r="J600" i="2"/>
  <c r="J45" i="2" s="1"/>
  <c r="K589" i="2"/>
  <c r="J111" i="2"/>
  <c r="J112" i="2" s="1"/>
  <c r="J114" i="2" s="1"/>
  <c r="J116" i="2" s="1"/>
  <c r="K580" i="2" l="1"/>
  <c r="K518" i="2"/>
  <c r="K520" i="2" s="1"/>
  <c r="K28" i="2" s="1"/>
  <c r="K31" i="2" s="1"/>
  <c r="K38" i="2" s="1"/>
  <c r="K547" i="2" s="1"/>
  <c r="K162" i="2"/>
  <c r="J79" i="2"/>
  <c r="J81" i="2" s="1"/>
  <c r="K596" i="2"/>
  <c r="J602" i="2"/>
  <c r="J46" i="2" s="1"/>
  <c r="K552" i="2" l="1"/>
  <c r="K549" i="2"/>
  <c r="K40" i="2" s="1"/>
  <c r="K41" i="2" s="1"/>
  <c r="J191" i="2"/>
  <c r="J117" i="2"/>
  <c r="K561" i="2" l="1"/>
  <c r="K568" i="2"/>
  <c r="K559" i="2"/>
  <c r="K567" i="2"/>
  <c r="K554" i="2"/>
  <c r="K590" i="2"/>
  <c r="K586" i="2" s="1"/>
  <c r="K193" i="2"/>
  <c r="K42" i="2"/>
  <c r="K130" i="2"/>
  <c r="K569" i="2" l="1"/>
  <c r="K64" i="2" s="1"/>
  <c r="K69" i="2" s="1"/>
  <c r="K560" i="2"/>
  <c r="K134" i="2" l="1"/>
  <c r="K138" i="2" s="1"/>
  <c r="K147" i="2" s="1"/>
  <c r="K148" i="2" s="1"/>
  <c r="K581" i="2" s="1"/>
  <c r="K583" i="2" s="1"/>
  <c r="K591" i="2" s="1"/>
  <c r="K562" i="2"/>
  <c r="K100" i="2" s="1"/>
  <c r="K101" i="2" s="1"/>
  <c r="K103" i="2" s="1"/>
  <c r="K592" i="2"/>
  <c r="K158" i="2" l="1"/>
  <c r="K598" i="2"/>
  <c r="K157" i="2"/>
  <c r="K593" i="2"/>
  <c r="K111" i="2" s="1"/>
  <c r="K112" i="2" s="1"/>
  <c r="K114" i="2" s="1"/>
  <c r="K116" i="2" s="1"/>
  <c r="K160" i="2" l="1"/>
  <c r="K163" i="2" s="1"/>
  <c r="K164" i="2" s="1"/>
  <c r="K78" i="2" s="1"/>
  <c r="K79" i="2" s="1"/>
  <c r="K81" i="2" s="1"/>
  <c r="K599" i="2"/>
  <c r="K600" i="2"/>
  <c r="K45" i="2" s="1"/>
  <c r="K191" i="2" l="1"/>
  <c r="K117" i="2"/>
  <c r="K602" i="2"/>
  <c r="K46" i="2" s="1"/>
</calcChain>
</file>

<file path=xl/sharedStrings.xml><?xml version="1.0" encoding="utf-8"?>
<sst xmlns="http://schemas.openxmlformats.org/spreadsheetml/2006/main" count="671" uniqueCount="405">
  <si>
    <t>Modelled by Peter Hopkinson</t>
  </si>
  <si>
    <t>Financial Statements - Income Statement</t>
  </si>
  <si>
    <t>Other income</t>
  </si>
  <si>
    <t>Operating expenses</t>
  </si>
  <si>
    <t>Earning per share</t>
  </si>
  <si>
    <t xml:space="preserve"> - Basic</t>
  </si>
  <si>
    <t xml:space="preserve"> - Diluted</t>
  </si>
  <si>
    <t>Financial Statements - Balance Sheet</t>
  </si>
  <si>
    <t>Assets</t>
  </si>
  <si>
    <t>Liabilities</t>
  </si>
  <si>
    <t>Total assets</t>
  </si>
  <si>
    <t>Total Liabilities</t>
  </si>
  <si>
    <t>Equity</t>
  </si>
  <si>
    <t>%</t>
  </si>
  <si>
    <t>Other operating expenses</t>
  </si>
  <si>
    <t>PP&amp;E</t>
  </si>
  <si>
    <t>Inflation</t>
  </si>
  <si>
    <t>Profit before taxation</t>
  </si>
  <si>
    <t>Taxation</t>
  </si>
  <si>
    <t>Lease liabilities</t>
  </si>
  <si>
    <t>Share capital</t>
  </si>
  <si>
    <t>Executive Summary / Key Metrics</t>
  </si>
  <si>
    <t>Key Metrics</t>
  </si>
  <si>
    <t>Air Asia</t>
  </si>
  <si>
    <t xml:space="preserve">Inflation </t>
  </si>
  <si>
    <t>Fuel Prices</t>
  </si>
  <si>
    <t>Revenue</t>
  </si>
  <si>
    <t>Aircraft fuel expenses</t>
  </si>
  <si>
    <t>Maintenance and overhaul</t>
  </si>
  <si>
    <t>User charges</t>
  </si>
  <si>
    <t>Staff cost</t>
  </si>
  <si>
    <t>EBITDA</t>
  </si>
  <si>
    <t>Finance income</t>
  </si>
  <si>
    <t xml:space="preserve">Finance costs </t>
  </si>
  <si>
    <t>Depreciation on ROU asset - non operating aircraft</t>
  </si>
  <si>
    <t>Finance costs - lease liabilities</t>
  </si>
  <si>
    <t>Finance costs - lease liabilities - non operating aircraft</t>
  </si>
  <si>
    <t>Net foreign exchange gain/(loss)</t>
  </si>
  <si>
    <t>Units / RM'000</t>
  </si>
  <si>
    <t>Revenue Schedule</t>
  </si>
  <si>
    <t>ROU assets</t>
  </si>
  <si>
    <t>Deferred tax assets</t>
  </si>
  <si>
    <t>Inventories</t>
  </si>
  <si>
    <t>Amounts due from related parties</t>
  </si>
  <si>
    <t>Tax recoverable</t>
  </si>
  <si>
    <t>Non-current assets</t>
  </si>
  <si>
    <t>Sales in advance</t>
  </si>
  <si>
    <t>Trade and other payables</t>
  </si>
  <si>
    <t>Current liabilities</t>
  </si>
  <si>
    <t>Non-current liabilities</t>
  </si>
  <si>
    <t>Currency translation reserve</t>
  </si>
  <si>
    <t>Shareholders equity</t>
  </si>
  <si>
    <t>Total liabilities and equity</t>
  </si>
  <si>
    <t>Passengers carried</t>
  </si>
  <si>
    <t>Available Seat Kilometres (ASK)</t>
  </si>
  <si>
    <t>Load factor</t>
  </si>
  <si>
    <t>Average fare</t>
  </si>
  <si>
    <t>Ancillary revenue</t>
  </si>
  <si>
    <t>RASK</t>
  </si>
  <si>
    <t>CASK</t>
  </si>
  <si>
    <t>CASK (excluding fiel)</t>
  </si>
  <si>
    <t>Fleet size</t>
  </si>
  <si>
    <t>RM</t>
  </si>
  <si>
    <t>Passenger growth</t>
  </si>
  <si>
    <t>$</t>
  </si>
  <si>
    <t>Passenger revenue</t>
  </si>
  <si>
    <t>RMm</t>
  </si>
  <si>
    <t>Capacity</t>
  </si>
  <si>
    <t>Ancillary revenue / per passenger</t>
  </si>
  <si>
    <t>Other revenue</t>
  </si>
  <si>
    <t>Total Revenue</t>
  </si>
  <si>
    <t>Share of results of associates</t>
  </si>
  <si>
    <t>Derivatives</t>
  </si>
  <si>
    <t>Total Addressable Market</t>
  </si>
  <si>
    <t>million</t>
  </si>
  <si>
    <t>Southeast Asia GDP growth</t>
  </si>
  <si>
    <t>Southeast Asia real GDP growth</t>
  </si>
  <si>
    <t>Total Addressable Market - end of period</t>
  </si>
  <si>
    <t>Capacity Growth Rate</t>
  </si>
  <si>
    <t>Implied share of ASEAN passenger traffic</t>
  </si>
  <si>
    <t>Operating aircraft growth</t>
  </si>
  <si>
    <t>Available capacity</t>
  </si>
  <si>
    <t>Capacity growth</t>
  </si>
  <si>
    <t>Capacity per aircraft</t>
  </si>
  <si>
    <t>Operating Cost Schedule</t>
  </si>
  <si>
    <t>Staff costs - end of period</t>
  </si>
  <si>
    <t>Staff costs - beginning of period</t>
  </si>
  <si>
    <t>User charge - per available seat</t>
  </si>
  <si>
    <t>Fuel efficiency improvements</t>
  </si>
  <si>
    <t>Staff cost sensitivity to fleet growth</t>
  </si>
  <si>
    <t>User charge = (per seat cost * capacity)</t>
  </si>
  <si>
    <t>Net aircraft additions</t>
  </si>
  <si>
    <t>Aircraft returned / retired</t>
  </si>
  <si>
    <t>Aircraft returned/retired</t>
  </si>
  <si>
    <t>Aircraft delivered</t>
  </si>
  <si>
    <t>Aircraft additions</t>
  </si>
  <si>
    <t>Total Aircraft</t>
  </si>
  <si>
    <t>Operating aircraft utilization</t>
  </si>
  <si>
    <t>Operating aircraft - average total</t>
  </si>
  <si>
    <t>New leased aircraft</t>
  </si>
  <si>
    <t>#</t>
  </si>
  <si>
    <t>ROU asset / new aircraft</t>
  </si>
  <si>
    <t>New ROU asset additions</t>
  </si>
  <si>
    <t>Finance lease receivables</t>
  </si>
  <si>
    <t>Investment in associates</t>
  </si>
  <si>
    <t>Investment securities</t>
  </si>
  <si>
    <t>Receivables and prepayments</t>
  </si>
  <si>
    <t>Deposits on aircraft purchases</t>
  </si>
  <si>
    <t>Amount due from associates</t>
  </si>
  <si>
    <t>Intangible assets</t>
  </si>
  <si>
    <t>Cash</t>
  </si>
  <si>
    <t>Total current assets</t>
  </si>
  <si>
    <t>Aircraft maintenance provision</t>
  </si>
  <si>
    <t>Borrowings</t>
  </si>
  <si>
    <t>Long-term debentures</t>
  </si>
  <si>
    <t>Amounts due to related parties</t>
  </si>
  <si>
    <t>Amounts due to associates</t>
  </si>
  <si>
    <t>Current debentures</t>
  </si>
  <si>
    <t>Tax provision</t>
  </si>
  <si>
    <t>Deferred tax liabilities</t>
  </si>
  <si>
    <t>Initial New Aircraft Cost</t>
  </si>
  <si>
    <t>Term</t>
  </si>
  <si>
    <t>Initial ROU Assets</t>
  </si>
  <si>
    <t>ROU depreciation</t>
  </si>
  <si>
    <t>Closing ROU Assets</t>
  </si>
  <si>
    <t>ROU additions</t>
  </si>
  <si>
    <t>Depreciation</t>
  </si>
  <si>
    <t>Initial ROU asset</t>
  </si>
  <si>
    <t>New additions - 2026</t>
  </si>
  <si>
    <t>New additions - 2030</t>
  </si>
  <si>
    <t>New additions - 2029</t>
  </si>
  <si>
    <t>New additions - 2028</t>
  </si>
  <si>
    <t>New additions - 2027</t>
  </si>
  <si>
    <t>Lease liability schedule</t>
  </si>
  <si>
    <t>New lease liabiltiies</t>
  </si>
  <si>
    <t>ROU asset schedule</t>
  </si>
  <si>
    <t>Opening lease liabilities</t>
  </si>
  <si>
    <t>Closing lease liabilities</t>
  </si>
  <si>
    <t>Capex</t>
  </si>
  <si>
    <t>Maintenance/aircraft equipment capex</t>
  </si>
  <si>
    <t>Other capex</t>
  </si>
  <si>
    <t>Total capex</t>
  </si>
  <si>
    <t>Existing depreciation</t>
  </si>
  <si>
    <t>Capital Expenditure - 2026</t>
  </si>
  <si>
    <t>Capital Expenditure - 2027</t>
  </si>
  <si>
    <t>Capital Expenditure - 2028</t>
  </si>
  <si>
    <t>Capital Expenditure - 2029</t>
  </si>
  <si>
    <t>Capital Expenditure - 2030</t>
  </si>
  <si>
    <t>Total Depreciation</t>
  </si>
  <si>
    <t>PP&amp;E roll forward</t>
  </si>
  <si>
    <t>Opening PP&amp;E</t>
  </si>
  <si>
    <t>Capital Expenditure</t>
  </si>
  <si>
    <t>Closing PP&amp;E</t>
  </si>
  <si>
    <t>Capital expenditure growth rate</t>
  </si>
  <si>
    <t>PP&amp;E useful life</t>
  </si>
  <si>
    <t>Opening maintenance provision</t>
  </si>
  <si>
    <t>Maintenance provision expense</t>
  </si>
  <si>
    <t>Utilisation / cash maintenance</t>
  </si>
  <si>
    <t xml:space="preserve">Closing maintenance provision </t>
  </si>
  <si>
    <t>Maintenance provision expense =(operating aircraft * provision expense)</t>
  </si>
  <si>
    <t>Working Capital Schedule</t>
  </si>
  <si>
    <t>Operating drivers</t>
  </si>
  <si>
    <t>Receivables</t>
  </si>
  <si>
    <t>Receivable days</t>
  </si>
  <si>
    <t>days</t>
  </si>
  <si>
    <t>Operating days</t>
  </si>
  <si>
    <t>Inventory</t>
  </si>
  <si>
    <t>Inventory days</t>
  </si>
  <si>
    <t>Trade Payables</t>
  </si>
  <si>
    <t>Payable days</t>
  </si>
  <si>
    <t>Sales-in-advance days</t>
  </si>
  <si>
    <t>Net working capital</t>
  </si>
  <si>
    <t>Change in NWC</t>
  </si>
  <si>
    <t>Debt Schedule</t>
  </si>
  <si>
    <t>Opening borrowings</t>
  </si>
  <si>
    <t>New borrowings</t>
  </si>
  <si>
    <t>Repayments</t>
  </si>
  <si>
    <t>Closing borrowings</t>
  </si>
  <si>
    <t>Debentures</t>
  </si>
  <si>
    <t>Opening debentures</t>
  </si>
  <si>
    <t>Closing debentures</t>
  </si>
  <si>
    <t>Issuances</t>
  </si>
  <si>
    <t>Interest expense</t>
  </si>
  <si>
    <t>Average borrowings</t>
  </si>
  <si>
    <t>Borrowings cost</t>
  </si>
  <si>
    <t>Interest on borrowings</t>
  </si>
  <si>
    <t>Borrowing cost</t>
  </si>
  <si>
    <t>Debentures cost</t>
  </si>
  <si>
    <t>Average debentures</t>
  </si>
  <si>
    <t>Debenture cost</t>
  </si>
  <si>
    <t>Interest on debenture</t>
  </si>
  <si>
    <t>Total finance costs</t>
  </si>
  <si>
    <t>Profit before tax</t>
  </si>
  <si>
    <t>Statuatory tax rate</t>
  </si>
  <si>
    <t>Tax Schedule</t>
  </si>
  <si>
    <t>Tax expense</t>
  </si>
  <si>
    <t>Cash tax rate</t>
  </si>
  <si>
    <t>Cash taxes paid</t>
  </si>
  <si>
    <t>Other operating expenses - % of Revenue</t>
  </si>
  <si>
    <t>Opening intangible assets</t>
  </si>
  <si>
    <t>New intangible additions</t>
  </si>
  <si>
    <t xml:space="preserve">Amortisation </t>
  </si>
  <si>
    <t>Amortization</t>
  </si>
  <si>
    <t>Existing intangible assets</t>
  </si>
  <si>
    <t>Additions</t>
  </si>
  <si>
    <t xml:space="preserve">Current lease liability </t>
  </si>
  <si>
    <t>Non-current lease liability</t>
  </si>
  <si>
    <t>Current maintenance provision</t>
  </si>
  <si>
    <t>Non-current maintenance provision</t>
  </si>
  <si>
    <t>Historical non-current percentage - 2025</t>
  </si>
  <si>
    <t>Historical current percentage - 2025</t>
  </si>
  <si>
    <t>Intangible Assets</t>
  </si>
  <si>
    <t>Goodwill</t>
  </si>
  <si>
    <t>Closing intangible assets (excl. goodwill)</t>
  </si>
  <si>
    <t>Closing  intangible assets (inc. goodwill)</t>
  </si>
  <si>
    <t>Intangible additions % of revenue</t>
  </si>
  <si>
    <t>Opening intangible assets excluding goodwill</t>
  </si>
  <si>
    <t>Amortisation</t>
  </si>
  <si>
    <t>Deferred tax assets - beginning of period</t>
  </si>
  <si>
    <t>Deferred tax assets - end of period</t>
  </si>
  <si>
    <t>Tax timing difference</t>
  </si>
  <si>
    <t>Deferred tax utilized</t>
  </si>
  <si>
    <t>Deferred tax generated</t>
  </si>
  <si>
    <t>Deferred tax assets/liabilities</t>
  </si>
  <si>
    <t>Tax Provision</t>
  </si>
  <si>
    <t>Opening tax provision</t>
  </si>
  <si>
    <t>Closing tax provision</t>
  </si>
  <si>
    <t>Cash tax paid</t>
  </si>
  <si>
    <t>Total tax expense</t>
  </si>
  <si>
    <t>Deferred tax expense</t>
  </si>
  <si>
    <t>Current %</t>
  </si>
  <si>
    <t>Non current %</t>
  </si>
  <si>
    <t>Forecast - borrowings</t>
  </si>
  <si>
    <t xml:space="preserve">Current </t>
  </si>
  <si>
    <t>Non current</t>
  </si>
  <si>
    <t>Forecast - debentures</t>
  </si>
  <si>
    <t>Cash Flow from Operations (CFO)</t>
  </si>
  <si>
    <t>Net income</t>
  </si>
  <si>
    <t>Cash flow from operations</t>
  </si>
  <si>
    <t>Capital expenditure on PP&amp;E</t>
  </si>
  <si>
    <t>Cash Flow from Investing (CFI)</t>
  </si>
  <si>
    <t>Additions to intangibles</t>
  </si>
  <si>
    <t>Aircraft purchase deposits movements</t>
  </si>
  <si>
    <t>Cash flow from investing</t>
  </si>
  <si>
    <t>Cash Flow from Financing (CFF)</t>
  </si>
  <si>
    <t>Debt repayments</t>
  </si>
  <si>
    <t>Debenture issuance</t>
  </si>
  <si>
    <t>Debenture repayments</t>
  </si>
  <si>
    <t>Lease principal payments</t>
  </si>
  <si>
    <t>Dividends</t>
  </si>
  <si>
    <t>Cash flow from financing</t>
  </si>
  <si>
    <t>Lease principal repayments</t>
  </si>
  <si>
    <t>Lease cash payment</t>
  </si>
  <si>
    <t>Lease principal repayment</t>
  </si>
  <si>
    <t>Less: interest expense</t>
  </si>
  <si>
    <t>Cash - Beginning of Period</t>
  </si>
  <si>
    <t>Cash Movement during the year</t>
  </si>
  <si>
    <t>Cash - End of Period</t>
  </si>
  <si>
    <t>Initial New Aircraft Deposit</t>
  </si>
  <si>
    <t>PP&amp;E depreciation</t>
  </si>
  <si>
    <t>Amortised of intangible assets</t>
  </si>
  <si>
    <t>Opening accumulated profit</t>
  </si>
  <si>
    <t>Share buybacks</t>
  </si>
  <si>
    <t>Closing accumulated profit</t>
  </si>
  <si>
    <t>Acquisition reserve</t>
  </si>
  <si>
    <t>Warrant reserve</t>
  </si>
  <si>
    <t>Non-controlling interests</t>
  </si>
  <si>
    <t>2026 Q1</t>
  </si>
  <si>
    <t>Notes</t>
  </si>
  <si>
    <t>Held flat - as goodwill tends to be impaired</t>
  </si>
  <si>
    <t>Held flat - as immaterial</t>
  </si>
  <si>
    <t>Held flat</t>
  </si>
  <si>
    <t>Have assumed no change</t>
  </si>
  <si>
    <t>Financial Statements - Balance Sheet Reconciliation</t>
  </si>
  <si>
    <t>Income Statement Anchors</t>
  </si>
  <si>
    <t>Annualized Revenue</t>
  </si>
  <si>
    <t>2025 PF</t>
  </si>
  <si>
    <t>Adjusted based on annualized revenue</t>
  </si>
  <si>
    <t>Hold flat</t>
  </si>
  <si>
    <t>Total equity</t>
  </si>
  <si>
    <t>Non current assets - actuals</t>
  </si>
  <si>
    <t>Current assets - actuals</t>
  </si>
  <si>
    <t>Total assets - actuals</t>
  </si>
  <si>
    <t>Non-current liabilities - actuals</t>
  </si>
  <si>
    <t>Total liabilties - actuals</t>
  </si>
  <si>
    <t>Current liabilities - actuals</t>
  </si>
  <si>
    <t>Total equity - actuals</t>
  </si>
  <si>
    <t>Balance?</t>
  </si>
  <si>
    <t>(Accumulated losses)/Retained earnings</t>
  </si>
  <si>
    <t>Manually adjusted for first pass</t>
  </si>
  <si>
    <t>Adjusted for the first pass to allow for reconciliation</t>
  </si>
  <si>
    <t>Balance check</t>
  </si>
  <si>
    <t>* Note that there are minor differences - suspected to be due to rounding in the final presentation -deemed immaterial</t>
  </si>
  <si>
    <t>Maintenance provision cash utilization</t>
  </si>
  <si>
    <t>Share buyback ratio</t>
  </si>
  <si>
    <t>Debt issuance</t>
  </si>
  <si>
    <t>*estimates range from 570-700 million passengers annually - estimated CAGR of 5.2% closely matches our number</t>
  </si>
  <si>
    <t>Inflation Rate</t>
  </si>
  <si>
    <t>Adjustment to reflect for competitive markets</t>
  </si>
  <si>
    <t>Fare growth rate</t>
  </si>
  <si>
    <t>Spot fuel cost per barrel</t>
  </si>
  <si>
    <t>Hedged ratio</t>
  </si>
  <si>
    <t>Hedged price</t>
  </si>
  <si>
    <t>Hedged Fuel Price</t>
  </si>
  <si>
    <t>Hedge Ratio</t>
  </si>
  <si>
    <t>Effective fuel price</t>
  </si>
  <si>
    <t>Financial Performance</t>
  </si>
  <si>
    <t>Return on total assets</t>
  </si>
  <si>
    <t>Net profit margin</t>
  </si>
  <si>
    <t>Operating profit margin</t>
  </si>
  <si>
    <t>* Return on balance sheet metrics not available - due to pro-forma FY25 balance sheet being estimated and limited historical availability</t>
  </si>
  <si>
    <t>Passenger growth rate</t>
  </si>
  <si>
    <t>EBITDA margin</t>
  </si>
  <si>
    <t>Flights per day</t>
  </si>
  <si>
    <t>Number of Days active</t>
  </si>
  <si>
    <t>Seats per aircraft</t>
  </si>
  <si>
    <t>Available Seats</t>
  </si>
  <si>
    <t>seats</t>
  </si>
  <si>
    <t>Average Flight Distance</t>
  </si>
  <si>
    <t>Available Seat Kilometres</t>
  </si>
  <si>
    <t>km</t>
  </si>
  <si>
    <t>millions</t>
  </si>
  <si>
    <t>km in millions</t>
  </si>
  <si>
    <t>km in billions</t>
  </si>
  <si>
    <t>sen</t>
  </si>
  <si>
    <t>Other cost factors</t>
  </si>
  <si>
    <t>Aircraft Growth</t>
  </si>
  <si>
    <t>Lease payments</t>
  </si>
  <si>
    <t>Lease cash payment - previous period</t>
  </si>
  <si>
    <t>Lease cash payment - current period</t>
  </si>
  <si>
    <t>Fleet growth rate</t>
  </si>
  <si>
    <t>Relevant operating costs (excl. staff costs)</t>
  </si>
  <si>
    <t>Borrowing issuance</t>
  </si>
  <si>
    <t xml:space="preserve">Debenture issuance </t>
  </si>
  <si>
    <t>Borrowing redemption</t>
  </si>
  <si>
    <t xml:space="preserve">Debenture redemtpion </t>
  </si>
  <si>
    <t>Interest earned on cash</t>
  </si>
  <si>
    <t>Interest Income</t>
  </si>
  <si>
    <t>Interest paid</t>
  </si>
  <si>
    <t>Air Asia Group</t>
  </si>
  <si>
    <t>RM millions, unless otherwise stated</t>
  </si>
  <si>
    <t>PF = Pro forma</t>
  </si>
  <si>
    <t>F = Forecast</t>
  </si>
  <si>
    <t>Financial Statements - Cash Flow Statement</t>
  </si>
  <si>
    <t>Fleet Capacity</t>
  </si>
  <si>
    <t>Fleet / Aircraft / Capacity Schedule</t>
  </si>
  <si>
    <t>Aircrat Lease / ROU asset schedule</t>
  </si>
  <si>
    <t>PP&amp;E and Capital Expenditure Schedule</t>
  </si>
  <si>
    <t>Intangible Asset, Goodwill &amp; Amortization Schedule</t>
  </si>
  <si>
    <t>Aircraft Maintenance Provision Schedule</t>
  </si>
  <si>
    <t>Depreciation and Amortisation</t>
  </si>
  <si>
    <t>EBIT</t>
  </si>
  <si>
    <t>Net finance costs</t>
  </si>
  <si>
    <t>Net Profit</t>
  </si>
  <si>
    <t>Net Profit Margin</t>
  </si>
  <si>
    <t xml:space="preserve">Free Cash Flow </t>
  </si>
  <si>
    <t>Free Cash Flow after lease payments</t>
  </si>
  <si>
    <t>Growth rate</t>
  </si>
  <si>
    <t>Operating aircraft - closing balance</t>
  </si>
  <si>
    <t>Aircraft fuel cost - total</t>
  </si>
  <si>
    <t>Aircraft fuel cost - per passenger</t>
  </si>
  <si>
    <t>Maintenance and overhaul - per aircraft</t>
  </si>
  <si>
    <t>Forecast Assumptions | 2026F-2030F</t>
  </si>
  <si>
    <t>A1. Fleet and Operating Parameters</t>
  </si>
  <si>
    <t>A2. Aircraft Leases &amp; ROU Assets</t>
  </si>
  <si>
    <t>Discount Rate</t>
  </si>
  <si>
    <t>Finite Intangible asset life</t>
  </si>
  <si>
    <t>Lease liabilities average contract life</t>
  </si>
  <si>
    <t>Intangible Additions - % of Revenue</t>
  </si>
  <si>
    <t>A4. Financial Policy &amp; Liquidity</t>
  </si>
  <si>
    <t>SECTION B - TEMPORAL / FORECAST ASSUMPTIONS</t>
  </si>
  <si>
    <t>SECTION A - STATIC ASSUMPTIONS</t>
  </si>
  <si>
    <t>Aircraft Capacity</t>
  </si>
  <si>
    <t>Target dividend payout ratio</t>
  </si>
  <si>
    <t>Maintenance provision per aircraft</t>
  </si>
  <si>
    <t>Maintenance provision utilization</t>
  </si>
  <si>
    <t>A3. PP&amp;E, Intangibles, Lease &amp; Maintenance</t>
  </si>
  <si>
    <t>B1. Macro Assumptions</t>
  </si>
  <si>
    <t>Average Aircraft Size</t>
  </si>
  <si>
    <t>Hedged Fuel Spread</t>
  </si>
  <si>
    <t>B2. Passenger demand and Capacity Constraints</t>
  </si>
  <si>
    <t>B3. Capital Management</t>
  </si>
  <si>
    <t>B4. Tax Rates</t>
  </si>
  <si>
    <t>Statuatory Tax Rate</t>
  </si>
  <si>
    <t>Cash Tax Paid</t>
  </si>
  <si>
    <t>Total Dividend Payout</t>
  </si>
  <si>
    <t>Dividend Payout Ratio</t>
  </si>
  <si>
    <t>Free Cash Flow After Lease Payments</t>
  </si>
  <si>
    <t>Equity and Dividend Schedules</t>
  </si>
  <si>
    <t>Opening ordinary shares</t>
  </si>
  <si>
    <t>Share issuance</t>
  </si>
  <si>
    <t>Shares repurchased</t>
  </si>
  <si>
    <t>Closing ordinary shares</t>
  </si>
  <si>
    <t>Weighted-average ordinary shares</t>
  </si>
  <si>
    <t>Dilutive share equivalents</t>
  </si>
  <si>
    <t>Diluted weighted-average shares</t>
  </si>
  <si>
    <t xml:space="preserve">Opening cash </t>
  </si>
  <si>
    <t>Debt issuance / (repayment)</t>
  </si>
  <si>
    <t>Cash available before dividends</t>
  </si>
  <si>
    <t>Opening share count</t>
  </si>
  <si>
    <t>Current share price</t>
  </si>
  <si>
    <t>sen per share</t>
  </si>
  <si>
    <t>Minimum Net Income Requirement</t>
  </si>
  <si>
    <t>Minimum net income requirememt</t>
  </si>
  <si>
    <t>Minimum cash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</si>
</sst>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164" formatCode="[$-F800]dddd\,\ mmmm\ dd\,\ yyyy"/>
    <numFmt numFmtId="165" formatCode="0.0"/>
    <numFmt numFmtId="166" formatCode="0.0&quot;p&quot;"/>
    <numFmt numFmtId="167" formatCode="0.0%"/>
    <numFmt numFmtId="168" formatCode="#,##0.0;\(#,##0.0\);\-"/>
    <numFmt numFmtId="169" formatCode="&quot;£&quot;#,##0.0;\(&quot;£&quot;#,##0.0\);\-"/>
    <numFmt numFmtId="170" formatCode="&quot;£&quot;#,##0.0"/>
    <numFmt numFmtId="171" formatCode="&quot;£&quot;#,##0.00"/>
    <numFmt numFmtId="172" formatCode="&quot;FY&quot;0"/>
    <numFmt numFmtId="173" formatCode="0&quot;bps&quot;"/>
    <numFmt numFmtId="174" formatCode="0&quot;A&quot;"/>
    <numFmt numFmtId="175" formatCode="0&quot;F&quot;"/>
    <numFmt numFmtId="176" formatCode="0.000%"/>
    <numFmt numFmtId="177" formatCode="0\ &quot;years&quot;"/>
    <numFmt numFmtId="178" formatCode="&quot;£&quot;#,##0;\(&quot;£&quot;#,##0\);\-"/>
    <numFmt numFmtId="179" formatCode="#,##0;\(#,##0\);\-"/>
    <numFmt numFmtId="180" formatCode="0&quot;RM&quot;"/>
    <numFmt numFmtId="181" formatCode="#,##0.0;\(&quot;£&quot;#,##0.0\);\-"/>
    <numFmt numFmtId="182" formatCode="0&quot;PF&quot;"/>
    <numFmt numFmtId="183" formatCode="0.0,,&quot;m&quot;"/>
    <numFmt numFmtId="184" formatCode="0.0,&quot;k&quot;"/>
    <numFmt numFmtId="185" formatCode="&quot;$&quot;0"/>
    <numFmt numFmtId="186" formatCode="0&quot; years&quot;"/>
    <numFmt numFmtId="187" formatCode="0.0&quot; years&quot;"/>
    <numFmt numFmtId="188" formatCode="0&quot; days&quot;"/>
    <numFmt numFmtId="189" formatCode="0.0%;\(0.0%\)"/>
    <numFmt numFmtId="190" formatCode="0.0%;\(0.0%\);\–"/>
    <numFmt numFmtId="191" formatCode="\$#,##0.0;\(\$#,##0.0\);\-"/>
    <numFmt numFmtId="192" formatCode="#,##0;\(&quot;£&quot;#,##0\);\-"/>
    <numFmt numFmtId="193" formatCode="0&quot; seats&quot;"/>
    <numFmt numFmtId="194" formatCode="0&quot;km&quot;"/>
    <numFmt numFmtId="195" formatCode="0.0,,,&quot;bn&quot;;\(0.0,,,&quot;bn&quot;\);\–"/>
    <numFmt numFmtId="196" formatCode="0.00&quot; sen&quot;"/>
    <numFmt numFmtId="197" formatCode="#,##0,,&quot;m&quot;"/>
    <numFmt numFmtId="198" formatCode="#,##0.00000000"/>
    <numFmt numFmtId="199" formatCode="0.00\ &quot;RMm&quot;"/>
    <numFmt numFmtId="200" formatCode="0&quot; flights&quot;"/>
    <numFmt numFmtId="201" formatCode="0&quot; km&quot;"/>
    <numFmt numFmtId="202" formatCode="#,##0.0,,&quot;m&quot;"/>
    <numFmt numFmtId="206" formatCode="0.000&quot;RM&quot;"/>
    <numFmt numFmtId="207" formatCode="0.00&quot; sen&quot;;\(0.00&quot; sen&quot;\);\-"/>
    <numFmt numFmtId="208" formatCode="#,##0,;\(#,##0,\);\-"/>
    <numFmt numFmtId="209" formatCode="#,##0&quot;RMm&quot;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b/>
      <sz val="20"/>
      <color theme="0"/>
      <name val="Arial"/>
      <family val="2"/>
    </font>
    <font>
      <sz val="14"/>
      <color theme="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20"/>
      <color theme="0"/>
      <name val="Arial"/>
      <family val="2"/>
    </font>
    <font>
      <sz val="11"/>
      <color theme="0"/>
      <name val="Arial"/>
      <family val="2"/>
    </font>
    <font>
      <b/>
      <sz val="11"/>
      <color theme="1" tint="0.34998626667073579"/>
      <name val="Arial"/>
      <family val="2"/>
    </font>
    <font>
      <b/>
      <sz val="11"/>
      <color theme="4"/>
      <name val="Arial"/>
      <family val="2"/>
    </font>
    <font>
      <sz val="11"/>
      <color theme="3" tint="0.499984740745262"/>
      <name val="Arial"/>
      <family val="2"/>
    </font>
    <font>
      <sz val="10"/>
      <color theme="1"/>
      <name val="Arial"/>
      <family val="2"/>
    </font>
    <font>
      <sz val="10"/>
      <color theme="3" tint="0.499984740745262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3" tint="0.499984740745262"/>
      <name val="Arial"/>
      <family val="2"/>
    </font>
    <font>
      <sz val="10"/>
      <color theme="4" tint="0.39997558519241921"/>
      <name val="Arial"/>
      <family val="2"/>
    </font>
    <font>
      <sz val="10"/>
      <color theme="1" tint="0.249977111117893"/>
      <name val="Arial"/>
      <family val="2"/>
    </font>
    <font>
      <b/>
      <sz val="10"/>
      <color theme="1" tint="0.249977111117893"/>
      <name val="Arial"/>
      <family val="2"/>
    </font>
    <font>
      <b/>
      <sz val="9"/>
      <color theme="1" tint="0.34998626667073579"/>
      <name val="Arial"/>
      <family val="2"/>
    </font>
    <font>
      <sz val="9"/>
      <color theme="1" tint="0.249977111117893"/>
      <name val="Arial"/>
      <family val="2"/>
    </font>
    <font>
      <sz val="10"/>
      <color theme="1"/>
      <name val="Aptos Narrow"/>
      <family val="2"/>
      <scheme val="minor"/>
    </font>
    <font>
      <sz val="10"/>
      <color theme="9"/>
      <name val="Arial"/>
      <family val="2"/>
    </font>
    <font>
      <b/>
      <sz val="10"/>
      <color theme="9"/>
      <name val="Arial"/>
      <family val="2"/>
    </font>
    <font>
      <b/>
      <sz val="10"/>
      <color theme="1" tint="0.3499862666707357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medium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 style="thin">
        <color indexed="64"/>
      </left>
      <right/>
      <top style="thin">
        <color theme="2" tint="-0.499984740745262"/>
      </top>
      <bottom/>
      <diagonal/>
    </border>
    <border>
      <left/>
      <right style="thin">
        <color indexed="64"/>
      </right>
      <top style="thin">
        <color theme="2" tint="-0.499984740745262"/>
      </top>
      <bottom/>
      <diagonal/>
    </border>
    <border>
      <left style="thin">
        <color indexed="64"/>
      </left>
      <right/>
      <top/>
      <bottom style="thin">
        <color theme="2" tint="-0.499984740745262"/>
      </bottom>
      <diagonal/>
    </border>
    <border>
      <left/>
      <right style="thin">
        <color indexed="64"/>
      </right>
      <top/>
      <bottom style="thin">
        <color theme="2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4">
    <xf numFmtId="0" fontId="0" fillId="0" borderId="0" xfId="0"/>
    <xf numFmtId="0" fontId="3" fillId="0" borderId="0" xfId="0" applyFont="1"/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/>
    <xf numFmtId="0" fontId="2" fillId="0" borderId="1" xfId="0" applyFont="1" applyBorder="1"/>
    <xf numFmtId="0" fontId="4" fillId="0" borderId="0" xfId="0" applyFont="1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167" fontId="0" fillId="0" borderId="0" xfId="1" applyNumberFormat="1" applyFont="1" applyBorder="1"/>
    <xf numFmtId="168" fontId="0" fillId="0" borderId="0" xfId="0" applyNumberFormat="1"/>
    <xf numFmtId="169" fontId="4" fillId="0" borderId="0" xfId="0" applyNumberFormat="1" applyFont="1"/>
    <xf numFmtId="169" fontId="2" fillId="0" borderId="0" xfId="0" applyNumberFormat="1" applyFont="1"/>
    <xf numFmtId="9" fontId="0" fillId="0" borderId="0" xfId="1" applyFont="1" applyFill="1" applyBorder="1"/>
    <xf numFmtId="170" fontId="4" fillId="0" borderId="0" xfId="0" applyNumberFormat="1" applyFont="1"/>
    <xf numFmtId="10" fontId="4" fillId="0" borderId="0" xfId="1" applyNumberFormat="1" applyFont="1"/>
    <xf numFmtId="9" fontId="4" fillId="0" borderId="0" xfId="1" applyFont="1"/>
    <xf numFmtId="167" fontId="4" fillId="0" borderId="0" xfId="1" applyNumberFormat="1" applyFont="1"/>
    <xf numFmtId="173" fontId="4" fillId="0" borderId="0" xfId="0" applyNumberFormat="1" applyFont="1"/>
    <xf numFmtId="9" fontId="4" fillId="0" borderId="0" xfId="1" applyFont="1" applyFill="1"/>
    <xf numFmtId="10" fontId="4" fillId="0" borderId="0" xfId="1" applyNumberFormat="1" applyFont="1" applyFill="1"/>
    <xf numFmtId="167" fontId="4" fillId="0" borderId="0" xfId="1" applyNumberFormat="1" applyFont="1" applyFill="1"/>
    <xf numFmtId="176" fontId="4" fillId="0" borderId="0" xfId="1" applyNumberFormat="1" applyFont="1" applyFill="1"/>
    <xf numFmtId="176" fontId="6" fillId="0" borderId="0" xfId="1" applyNumberFormat="1" applyFont="1" applyFill="1"/>
    <xf numFmtId="10" fontId="7" fillId="0" borderId="0" xfId="1" applyNumberFormat="1" applyFont="1" applyFill="1"/>
    <xf numFmtId="10" fontId="6" fillId="0" borderId="0" xfId="1" applyNumberFormat="1" applyFont="1" applyFill="1"/>
    <xf numFmtId="10" fontId="1" fillId="0" borderId="0" xfId="1" applyNumberFormat="1" applyFont="1" applyFill="1"/>
    <xf numFmtId="177" fontId="4" fillId="0" borderId="0" xfId="0" applyNumberFormat="1" applyFont="1"/>
    <xf numFmtId="179" fontId="4" fillId="0" borderId="0" xfId="0" applyNumberFormat="1" applyFont="1"/>
    <xf numFmtId="179" fontId="4" fillId="0" borderId="1" xfId="0" applyNumberFormat="1" applyFont="1" applyBorder="1"/>
    <xf numFmtId="179" fontId="2" fillId="0" borderId="0" xfId="0" applyNumberFormat="1" applyFont="1"/>
    <xf numFmtId="179" fontId="2" fillId="0" borderId="2" xfId="0" applyNumberFormat="1" applyFont="1" applyBorder="1"/>
    <xf numFmtId="9" fontId="0" fillId="0" borderId="0" xfId="1" applyFont="1" applyBorder="1"/>
    <xf numFmtId="3" fontId="0" fillId="0" borderId="0" xfId="0" applyNumberFormat="1"/>
    <xf numFmtId="167" fontId="4" fillId="0" borderId="0" xfId="1" applyNumberFormat="1" applyFont="1" applyBorder="1"/>
    <xf numFmtId="179" fontId="6" fillId="0" borderId="0" xfId="0" applyNumberFormat="1" applyFont="1"/>
    <xf numFmtId="179" fontId="0" fillId="0" borderId="0" xfId="0" applyNumberFormat="1"/>
    <xf numFmtId="174" fontId="2" fillId="0" borderId="0" xfId="0" applyNumberFormat="1" applyFont="1"/>
    <xf numFmtId="175" fontId="2" fillId="0" borderId="0" xfId="0" applyNumberFormat="1" applyFont="1"/>
    <xf numFmtId="170" fontId="0" fillId="0" borderId="0" xfId="0" applyNumberFormat="1"/>
    <xf numFmtId="170" fontId="2" fillId="0" borderId="0" xfId="0" applyNumberFormat="1" applyFont="1"/>
    <xf numFmtId="169" fontId="0" fillId="0" borderId="0" xfId="0" applyNumberFormat="1"/>
    <xf numFmtId="179" fontId="2" fillId="0" borderId="1" xfId="0" applyNumberFormat="1" applyFont="1" applyBorder="1"/>
    <xf numFmtId="0" fontId="2" fillId="0" borderId="4" xfId="0" applyFont="1" applyBorder="1"/>
    <xf numFmtId="179" fontId="5" fillId="0" borderId="0" xfId="0" applyNumberFormat="1" applyFont="1"/>
    <xf numFmtId="179" fontId="2" fillId="2" borderId="0" xfId="0" applyNumberFormat="1" applyFont="1" applyFill="1"/>
    <xf numFmtId="167" fontId="2" fillId="0" borderId="0" xfId="1" applyNumberFormat="1" applyFont="1" applyBorder="1"/>
    <xf numFmtId="173" fontId="0" fillId="0" borderId="0" xfId="0" applyNumberFormat="1"/>
    <xf numFmtId="171" fontId="0" fillId="0" borderId="0" xfId="0" applyNumberFormat="1"/>
    <xf numFmtId="182" fontId="2" fillId="0" borderId="1" xfId="0" applyNumberFormat="1" applyFont="1" applyBorder="1" applyAlignment="1">
      <alignment horizontal="right"/>
    </xf>
    <xf numFmtId="0" fontId="0" fillId="0" borderId="3" xfId="0" applyBorder="1"/>
    <xf numFmtId="179" fontId="2" fillId="0" borderId="5" xfId="0" applyNumberFormat="1" applyFont="1" applyBorder="1"/>
    <xf numFmtId="173" fontId="2" fillId="0" borderId="0" xfId="0" applyNumberFormat="1" applyFont="1"/>
    <xf numFmtId="168" fontId="2" fillId="0" borderId="0" xfId="0" applyNumberFormat="1" applyFont="1"/>
    <xf numFmtId="169" fontId="6" fillId="0" borderId="0" xfId="0" applyNumberFormat="1" applyFont="1"/>
    <xf numFmtId="165" fontId="4" fillId="0" borderId="0" xfId="0" applyNumberFormat="1" applyFont="1"/>
    <xf numFmtId="1" fontId="8" fillId="0" borderId="0" xfId="0" applyNumberFormat="1" applyFont="1"/>
    <xf numFmtId="0" fontId="9" fillId="5" borderId="0" xfId="0" applyFont="1" applyFill="1" applyAlignment="1">
      <alignment horizontal="left"/>
    </xf>
    <xf numFmtId="0" fontId="10" fillId="5" borderId="0" xfId="0" applyFont="1" applyFill="1" applyAlignment="1">
      <alignment horizontal="left"/>
    </xf>
    <xf numFmtId="0" fontId="11" fillId="0" borderId="0" xfId="0" applyFont="1" applyAlignment="1">
      <alignment horizontal="centerContinuous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4" fillId="0" borderId="0" xfId="0" applyFont="1"/>
    <xf numFmtId="0" fontId="9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/>
    </xf>
    <xf numFmtId="0" fontId="16" fillId="5" borderId="0" xfId="0" applyFont="1" applyFill="1" applyAlignment="1">
      <alignment horizontal="left"/>
    </xf>
    <xf numFmtId="182" fontId="17" fillId="4" borderId="6" xfId="0" applyNumberFormat="1" applyFont="1" applyFill="1" applyBorder="1" applyAlignment="1">
      <alignment horizontal="center"/>
    </xf>
    <xf numFmtId="175" fontId="18" fillId="6" borderId="6" xfId="0" applyNumberFormat="1" applyFont="1" applyFill="1" applyBorder="1" applyAlignment="1">
      <alignment horizontal="center"/>
    </xf>
    <xf numFmtId="182" fontId="13" fillId="0" borderId="0" xfId="0" applyNumberFormat="1" applyFont="1"/>
    <xf numFmtId="175" fontId="13" fillId="0" borderId="0" xfId="0" applyNumberFormat="1" applyFont="1"/>
    <xf numFmtId="179" fontId="12" fillId="0" borderId="0" xfId="0" applyNumberFormat="1" applyFont="1"/>
    <xf numFmtId="179" fontId="14" fillId="0" borderId="0" xfId="0" applyNumberFormat="1" applyFont="1"/>
    <xf numFmtId="169" fontId="19" fillId="0" borderId="0" xfId="0" applyNumberFormat="1" applyFont="1"/>
    <xf numFmtId="169" fontId="12" fillId="0" borderId="0" xfId="0" applyNumberFormat="1" applyFont="1"/>
    <xf numFmtId="1" fontId="12" fillId="0" borderId="0" xfId="0" applyNumberFormat="1" applyFont="1"/>
    <xf numFmtId="182" fontId="14" fillId="0" borderId="0" xfId="0" applyNumberFormat="1" applyFont="1"/>
    <xf numFmtId="175" fontId="14" fillId="0" borderId="0" xfId="0" applyNumberFormat="1" applyFont="1"/>
    <xf numFmtId="174" fontId="14" fillId="0" borderId="0" xfId="0" applyNumberFormat="1" applyFont="1"/>
    <xf numFmtId="167" fontId="12" fillId="0" borderId="0" xfId="1" applyNumberFormat="1" applyFont="1" applyBorder="1"/>
    <xf numFmtId="184" fontId="19" fillId="0" borderId="0" xfId="0" applyNumberFormat="1" applyFont="1"/>
    <xf numFmtId="170" fontId="14" fillId="0" borderId="0" xfId="0" applyNumberFormat="1" applyFont="1"/>
    <xf numFmtId="9" fontId="12" fillId="0" borderId="0" xfId="0" applyNumberFormat="1" applyFont="1"/>
    <xf numFmtId="170" fontId="12" fillId="0" borderId="0" xfId="0" applyNumberFormat="1" applyFont="1"/>
    <xf numFmtId="10" fontId="14" fillId="0" borderId="0" xfId="1" applyNumberFormat="1" applyFont="1"/>
    <xf numFmtId="9" fontId="20" fillId="0" borderId="0" xfId="1" applyFont="1"/>
    <xf numFmtId="0" fontId="20" fillId="0" borderId="0" xfId="0" applyFont="1"/>
    <xf numFmtId="179" fontId="21" fillId="0" borderId="0" xfId="0" applyNumberFormat="1" applyFont="1"/>
    <xf numFmtId="179" fontId="20" fillId="0" borderId="0" xfId="0" applyNumberFormat="1" applyFont="1"/>
    <xf numFmtId="0" fontId="22" fillId="0" borderId="0" xfId="0" applyFont="1"/>
    <xf numFmtId="179" fontId="23" fillId="0" borderId="0" xfId="0" applyNumberFormat="1" applyFont="1"/>
    <xf numFmtId="0" fontId="20" fillId="0" borderId="7" xfId="0" applyFont="1" applyBorder="1"/>
    <xf numFmtId="0" fontId="22" fillId="0" borderId="7" xfId="0" applyFont="1" applyBorder="1"/>
    <xf numFmtId="179" fontId="21" fillId="0" borderId="7" xfId="0" applyNumberFormat="1" applyFont="1" applyBorder="1"/>
    <xf numFmtId="179" fontId="23" fillId="0" borderId="7" xfId="0" applyNumberFormat="1" applyFont="1" applyBorder="1"/>
    <xf numFmtId="0" fontId="24" fillId="0" borderId="0" xfId="0" applyFont="1"/>
    <xf numFmtId="179" fontId="22" fillId="0" borderId="0" xfId="0" applyNumberFormat="1" applyFont="1"/>
    <xf numFmtId="0" fontId="20" fillId="0" borderId="8" xfId="0" applyFont="1" applyBorder="1"/>
    <xf numFmtId="179" fontId="21" fillId="0" borderId="8" xfId="0" applyNumberFormat="1" applyFont="1" applyBorder="1"/>
    <xf numFmtId="179" fontId="23" fillId="0" borderId="8" xfId="0" applyNumberFormat="1" applyFont="1" applyBorder="1"/>
    <xf numFmtId="190" fontId="20" fillId="0" borderId="0" xfId="1" applyNumberFormat="1" applyFont="1"/>
    <xf numFmtId="179" fontId="22" fillId="2" borderId="0" xfId="0" applyNumberFormat="1" applyFont="1" applyFill="1"/>
    <xf numFmtId="169" fontId="21" fillId="2" borderId="7" xfId="0" applyNumberFormat="1" applyFont="1" applyFill="1" applyBorder="1"/>
    <xf numFmtId="178" fontId="21" fillId="2" borderId="7" xfId="0" applyNumberFormat="1" applyFont="1" applyFill="1" applyBorder="1"/>
    <xf numFmtId="179" fontId="20" fillId="0" borderId="7" xfId="0" applyNumberFormat="1" applyFont="1" applyBorder="1"/>
    <xf numFmtId="179" fontId="25" fillId="0" borderId="0" xfId="0" applyNumberFormat="1" applyFont="1"/>
    <xf numFmtId="179" fontId="24" fillId="0" borderId="0" xfId="0" applyNumberFormat="1" applyFont="1"/>
    <xf numFmtId="0" fontId="22" fillId="0" borderId="8" xfId="0" applyFont="1" applyBorder="1"/>
    <xf numFmtId="179" fontId="25" fillId="0" borderId="8" xfId="0" applyNumberFormat="1" applyFont="1" applyBorder="1"/>
    <xf numFmtId="179" fontId="24" fillId="0" borderId="8" xfId="0" applyNumberFormat="1" applyFont="1" applyBorder="1"/>
    <xf numFmtId="0" fontId="22" fillId="0" borderId="11" xfId="0" applyFont="1" applyBorder="1"/>
    <xf numFmtId="179" fontId="23" fillId="0" borderId="11" xfId="0" applyNumberFormat="1" applyFont="1" applyBorder="1"/>
    <xf numFmtId="0" fontId="21" fillId="2" borderId="0" xfId="0" applyFont="1" applyFill="1"/>
    <xf numFmtId="0" fontId="23" fillId="0" borderId="0" xfId="0" applyFont="1"/>
    <xf numFmtId="169" fontId="22" fillId="0" borderId="0" xfId="0" applyNumberFormat="1" applyFont="1"/>
    <xf numFmtId="166" fontId="26" fillId="0" borderId="0" xfId="0" applyNumberFormat="1" applyFont="1"/>
    <xf numFmtId="0" fontId="23" fillId="0" borderId="0" xfId="0" applyFont="1" applyAlignment="1">
      <alignment horizontal="left"/>
    </xf>
    <xf numFmtId="169" fontId="21" fillId="0" borderId="0" xfId="0" applyNumberFormat="1" applyFont="1"/>
    <xf numFmtId="169" fontId="20" fillId="0" borderId="0" xfId="0" applyNumberFormat="1" applyFont="1"/>
    <xf numFmtId="179" fontId="22" fillId="0" borderId="7" xfId="0" applyNumberFormat="1" applyFont="1" applyBorder="1"/>
    <xf numFmtId="168" fontId="20" fillId="0" borderId="0" xfId="0" applyNumberFormat="1" applyFont="1"/>
    <xf numFmtId="0" fontId="20" fillId="0" borderId="11" xfId="0" applyFont="1" applyBorder="1"/>
    <xf numFmtId="182" fontId="22" fillId="0" borderId="0" xfId="0" applyNumberFormat="1" applyFont="1"/>
    <xf numFmtId="175" fontId="22" fillId="0" borderId="0" xfId="0" applyNumberFormat="1" applyFont="1"/>
    <xf numFmtId="182" fontId="22" fillId="0" borderId="8" xfId="0" applyNumberFormat="1" applyFont="1" applyBorder="1"/>
    <xf numFmtId="182" fontId="22" fillId="0" borderId="11" xfId="0" applyNumberFormat="1" applyFont="1" applyBorder="1"/>
    <xf numFmtId="179" fontId="24" fillId="0" borderId="11" xfId="0" applyNumberFormat="1" applyFont="1" applyBorder="1"/>
    <xf numFmtId="0" fontId="20" fillId="0" borderId="9" xfId="0" applyFont="1" applyBorder="1"/>
    <xf numFmtId="182" fontId="22" fillId="0" borderId="9" xfId="0" applyNumberFormat="1" applyFont="1" applyBorder="1"/>
    <xf numFmtId="179" fontId="23" fillId="0" borderId="9" xfId="0" applyNumberFormat="1" applyFont="1" applyBorder="1"/>
    <xf numFmtId="174" fontId="22" fillId="0" borderId="0" xfId="0" applyNumberFormat="1" applyFont="1"/>
    <xf numFmtId="183" fontId="23" fillId="0" borderId="0" xfId="0" applyNumberFormat="1" applyFont="1"/>
    <xf numFmtId="197" fontId="27" fillId="0" borderId="0" xfId="0" applyNumberFormat="1" applyFont="1"/>
    <xf numFmtId="9" fontId="20" fillId="0" borderId="0" xfId="1" applyFont="1" applyBorder="1"/>
    <xf numFmtId="180" fontId="20" fillId="0" borderId="0" xfId="0" applyNumberFormat="1" applyFont="1"/>
    <xf numFmtId="180" fontId="20" fillId="0" borderId="0" xfId="1" applyNumberFormat="1" applyFont="1" applyBorder="1"/>
    <xf numFmtId="196" fontId="21" fillId="0" borderId="0" xfId="0" applyNumberFormat="1" applyFont="1"/>
    <xf numFmtId="196" fontId="20" fillId="0" borderId="0" xfId="0" applyNumberFormat="1" applyFont="1"/>
    <xf numFmtId="191" fontId="22" fillId="0" borderId="0" xfId="0" applyNumberFormat="1" applyFont="1"/>
    <xf numFmtId="191" fontId="20" fillId="0" borderId="0" xfId="0" applyNumberFormat="1" applyFont="1"/>
    <xf numFmtId="1" fontId="20" fillId="0" borderId="0" xfId="0" applyNumberFormat="1" applyFont="1"/>
    <xf numFmtId="174" fontId="22" fillId="2" borderId="0" xfId="0" applyNumberFormat="1" applyFont="1" applyFill="1"/>
    <xf numFmtId="183" fontId="21" fillId="2" borderId="0" xfId="0" applyNumberFormat="1" applyFont="1" applyFill="1"/>
    <xf numFmtId="167" fontId="20" fillId="0" borderId="0" xfId="1" applyNumberFormat="1" applyFont="1" applyBorder="1"/>
    <xf numFmtId="183" fontId="25" fillId="0" borderId="11" xfId="0" applyNumberFormat="1" applyFont="1" applyBorder="1"/>
    <xf numFmtId="183" fontId="28" fillId="0" borderId="11" xfId="0" applyNumberFormat="1" applyFont="1" applyBorder="1"/>
    <xf numFmtId="183" fontId="21" fillId="0" borderId="0" xfId="0" applyNumberFormat="1" applyFont="1"/>
    <xf numFmtId="167" fontId="21" fillId="0" borderId="0" xfId="1" applyNumberFormat="1" applyFont="1" applyBorder="1"/>
    <xf numFmtId="167" fontId="23" fillId="0" borderId="0" xfId="1" applyNumberFormat="1" applyFont="1" applyBorder="1"/>
    <xf numFmtId="167" fontId="22" fillId="0" borderId="11" xfId="1" applyNumberFormat="1" applyFont="1" applyBorder="1"/>
    <xf numFmtId="3" fontId="21" fillId="0" borderId="0" xfId="0" applyNumberFormat="1" applyFont="1"/>
    <xf numFmtId="3" fontId="20" fillId="0" borderId="0" xfId="0" applyNumberFormat="1" applyFont="1"/>
    <xf numFmtId="9" fontId="23" fillId="0" borderId="0" xfId="1" applyFont="1" applyBorder="1"/>
    <xf numFmtId="9" fontId="22" fillId="0" borderId="11" xfId="1" applyFont="1" applyBorder="1"/>
    <xf numFmtId="9" fontId="21" fillId="0" borderId="0" xfId="1" applyFont="1" applyBorder="1"/>
    <xf numFmtId="180" fontId="21" fillId="2" borderId="0" xfId="0" applyNumberFormat="1" applyFont="1" applyFill="1"/>
    <xf numFmtId="167" fontId="20" fillId="0" borderId="0" xfId="1" applyNumberFormat="1" applyFont="1"/>
    <xf numFmtId="180" fontId="21" fillId="2" borderId="7" xfId="0" applyNumberFormat="1" applyFont="1" applyFill="1" applyBorder="1"/>
    <xf numFmtId="189" fontId="21" fillId="0" borderId="7" xfId="1" applyNumberFormat="1" applyFont="1" applyBorder="1"/>
    <xf numFmtId="180" fontId="25" fillId="2" borderId="0" xfId="0" applyNumberFormat="1" applyFont="1" applyFill="1"/>
    <xf numFmtId="167" fontId="22" fillId="0" borderId="0" xfId="1" applyNumberFormat="1" applyFont="1" applyBorder="1"/>
    <xf numFmtId="180" fontId="21" fillId="0" borderId="8" xfId="0" applyNumberFormat="1" applyFont="1" applyBorder="1"/>
    <xf numFmtId="180" fontId="20" fillId="0" borderId="8" xfId="1" applyNumberFormat="1" applyFont="1" applyBorder="1"/>
    <xf numFmtId="192" fontId="24" fillId="0" borderId="0" xfId="0" applyNumberFormat="1" applyFont="1"/>
    <xf numFmtId="181" fontId="24" fillId="0" borderId="0" xfId="0" applyNumberFormat="1" applyFont="1"/>
    <xf numFmtId="180" fontId="20" fillId="0" borderId="8" xfId="0" applyNumberFormat="1" applyFont="1" applyBorder="1"/>
    <xf numFmtId="181" fontId="24" fillId="0" borderId="8" xfId="0" applyNumberFormat="1" applyFont="1" applyBorder="1"/>
    <xf numFmtId="181" fontId="21" fillId="0" borderId="8" xfId="0" applyNumberFormat="1" applyFont="1" applyBorder="1"/>
    <xf numFmtId="181" fontId="23" fillId="0" borderId="8" xfId="0" applyNumberFormat="1" applyFont="1" applyBorder="1"/>
    <xf numFmtId="0" fontId="28" fillId="0" borderId="0" xfId="0" applyFont="1"/>
    <xf numFmtId="169" fontId="25" fillId="2" borderId="0" xfId="0" applyNumberFormat="1" applyFont="1" applyFill="1"/>
    <xf numFmtId="1" fontId="24" fillId="2" borderId="0" xfId="0" applyNumberFormat="1" applyFont="1" applyFill="1"/>
    <xf numFmtId="169" fontId="21" fillId="2" borderId="0" xfId="0" applyNumberFormat="1" applyFont="1" applyFill="1"/>
    <xf numFmtId="1" fontId="23" fillId="2" borderId="0" xfId="0" applyNumberFormat="1" applyFont="1" applyFill="1"/>
    <xf numFmtId="0" fontId="22" fillId="0" borderId="9" xfId="0" applyFont="1" applyBorder="1"/>
    <xf numFmtId="169" fontId="25" fillId="0" borderId="9" xfId="0" applyNumberFormat="1" applyFont="1" applyBorder="1"/>
    <xf numFmtId="1" fontId="24" fillId="0" borderId="9" xfId="0" applyNumberFormat="1" applyFont="1" applyBorder="1"/>
    <xf numFmtId="169" fontId="25" fillId="0" borderId="0" xfId="0" applyNumberFormat="1" applyFont="1"/>
    <xf numFmtId="1" fontId="24" fillId="0" borderId="0" xfId="0" applyNumberFormat="1" applyFont="1"/>
    <xf numFmtId="1" fontId="23" fillId="0" borderId="0" xfId="0" applyNumberFormat="1" applyFont="1"/>
    <xf numFmtId="1" fontId="25" fillId="0" borderId="9" xfId="0" applyNumberFormat="1" applyFont="1" applyBorder="1"/>
    <xf numFmtId="169" fontId="25" fillId="0" borderId="11" xfId="0" applyNumberFormat="1" applyFont="1" applyBorder="1"/>
    <xf numFmtId="1" fontId="24" fillId="0" borderId="11" xfId="0" applyNumberFormat="1" applyFont="1" applyBorder="1"/>
    <xf numFmtId="167" fontId="23" fillId="0" borderId="11" xfId="1" applyNumberFormat="1" applyFont="1" applyBorder="1"/>
    <xf numFmtId="165" fontId="22" fillId="0" borderId="0" xfId="1" applyNumberFormat="1" applyFont="1" applyBorder="1"/>
    <xf numFmtId="0" fontId="22" fillId="0" borderId="2" xfId="0" applyFont="1" applyBorder="1"/>
    <xf numFmtId="183" fontId="28" fillId="0" borderId="0" xfId="0" applyNumberFormat="1" applyFont="1"/>
    <xf numFmtId="0" fontId="20" fillId="0" borderId="1" xfId="0" applyFont="1" applyBorder="1"/>
    <xf numFmtId="169" fontId="27" fillId="0" borderId="0" xfId="0" applyNumberFormat="1" applyFont="1"/>
    <xf numFmtId="167" fontId="27" fillId="0" borderId="0" xfId="1" applyNumberFormat="1" applyFont="1" applyBorder="1"/>
    <xf numFmtId="169" fontId="25" fillId="2" borderId="11" xfId="0" applyNumberFormat="1" applyFont="1" applyFill="1" applyBorder="1"/>
    <xf numFmtId="185" fontId="22" fillId="2" borderId="11" xfId="0" applyNumberFormat="1" applyFont="1" applyFill="1" applyBorder="1"/>
    <xf numFmtId="185" fontId="22" fillId="0" borderId="11" xfId="0" applyNumberFormat="1" applyFont="1" applyBorder="1"/>
    <xf numFmtId="185" fontId="22" fillId="0" borderId="0" xfId="0" applyNumberFormat="1" applyFont="1"/>
    <xf numFmtId="9" fontId="20" fillId="2" borderId="0" xfId="1" applyFont="1" applyFill="1" applyBorder="1"/>
    <xf numFmtId="165" fontId="20" fillId="0" borderId="11" xfId="0" applyNumberFormat="1" applyFont="1" applyBorder="1"/>
    <xf numFmtId="165" fontId="22" fillId="0" borderId="0" xfId="0" applyNumberFormat="1" applyFont="1"/>
    <xf numFmtId="169" fontId="23" fillId="0" borderId="0" xfId="0" applyNumberFormat="1" applyFont="1"/>
    <xf numFmtId="179" fontId="20" fillId="0" borderId="1" xfId="0" applyNumberFormat="1" applyFont="1" applyBorder="1"/>
    <xf numFmtId="0" fontId="20" fillId="0" borderId="2" xfId="0" applyFont="1" applyBorder="1"/>
    <xf numFmtId="179" fontId="20" fillId="0" borderId="2" xfId="0" applyNumberFormat="1" applyFont="1" applyBorder="1"/>
    <xf numFmtId="179" fontId="22" fillId="0" borderId="2" xfId="0" applyNumberFormat="1" applyFont="1" applyBorder="1"/>
    <xf numFmtId="170" fontId="22" fillId="0" borderId="0" xfId="0" applyNumberFormat="1" applyFont="1"/>
    <xf numFmtId="168" fontId="24" fillId="0" borderId="0" xfId="0" applyNumberFormat="1" applyFont="1"/>
    <xf numFmtId="168" fontId="23" fillId="0" borderId="0" xfId="0" applyNumberFormat="1" applyFont="1"/>
    <xf numFmtId="169" fontId="22" fillId="3" borderId="0" xfId="0" applyNumberFormat="1" applyFont="1" applyFill="1"/>
    <xf numFmtId="1" fontId="20" fillId="0" borderId="2" xfId="0" applyNumberFormat="1" applyFont="1" applyBorder="1"/>
    <xf numFmtId="182" fontId="20" fillId="0" borderId="0" xfId="0" applyNumberFormat="1" applyFont="1"/>
    <xf numFmtId="188" fontId="20" fillId="0" borderId="0" xfId="0" applyNumberFormat="1" applyFont="1"/>
    <xf numFmtId="188" fontId="20" fillId="0" borderId="0" xfId="1" applyNumberFormat="1" applyFont="1" applyBorder="1"/>
    <xf numFmtId="182" fontId="29" fillId="0" borderId="0" xfId="0" applyNumberFormat="1" applyFont="1"/>
    <xf numFmtId="175" fontId="29" fillId="0" borderId="0" xfId="0" applyNumberFormat="1" applyFont="1"/>
    <xf numFmtId="0" fontId="30" fillId="0" borderId="0" xfId="0" applyFont="1" applyAlignment="1">
      <alignment horizontal="left"/>
    </xf>
    <xf numFmtId="170" fontId="20" fillId="0" borderId="0" xfId="0" applyNumberFormat="1" applyFont="1"/>
    <xf numFmtId="171" fontId="20" fillId="0" borderId="0" xfId="0" applyNumberFormat="1" applyFont="1"/>
    <xf numFmtId="167" fontId="20" fillId="0" borderId="0" xfId="0" applyNumberFormat="1" applyFont="1"/>
    <xf numFmtId="10" fontId="22" fillId="0" borderId="0" xfId="1" applyNumberFormat="1" applyFont="1"/>
    <xf numFmtId="9" fontId="21" fillId="0" borderId="0" xfId="1" applyFont="1"/>
    <xf numFmtId="170" fontId="22" fillId="0" borderId="2" xfId="0" applyNumberFormat="1" applyFont="1" applyBorder="1"/>
    <xf numFmtId="170" fontId="20" fillId="0" borderId="2" xfId="0" applyNumberFormat="1" applyFont="1" applyBorder="1"/>
    <xf numFmtId="0" fontId="31" fillId="0" borderId="0" xfId="0" applyFont="1"/>
    <xf numFmtId="169" fontId="31" fillId="0" borderId="0" xfId="0" applyNumberFormat="1" applyFont="1"/>
    <xf numFmtId="198" fontId="0" fillId="0" borderId="0" xfId="0" applyNumberFormat="1"/>
    <xf numFmtId="188" fontId="32" fillId="0" borderId="0" xfId="0" applyNumberFormat="1" applyFont="1"/>
    <xf numFmtId="179" fontId="32" fillId="0" borderId="2" xfId="0" applyNumberFormat="1" applyFont="1" applyBorder="1"/>
    <xf numFmtId="179" fontId="32" fillId="0" borderId="1" xfId="0" applyNumberFormat="1" applyFont="1" applyBorder="1"/>
    <xf numFmtId="169" fontId="32" fillId="0" borderId="0" xfId="0" applyNumberFormat="1" applyFont="1"/>
    <xf numFmtId="9" fontId="32" fillId="0" borderId="0" xfId="1" applyFont="1"/>
    <xf numFmtId="9" fontId="32" fillId="0" borderId="1" xfId="1" applyFont="1" applyBorder="1"/>
    <xf numFmtId="179" fontId="32" fillId="0" borderId="0" xfId="0" applyNumberFormat="1" applyFont="1"/>
    <xf numFmtId="175" fontId="33" fillId="0" borderId="0" xfId="0" applyNumberFormat="1" applyFont="1"/>
    <xf numFmtId="179" fontId="22" fillId="0" borderId="9" xfId="0" applyNumberFormat="1" applyFont="1" applyBorder="1"/>
    <xf numFmtId="182" fontId="22" fillId="0" borderId="7" xfId="0" applyNumberFormat="1" applyFont="1" applyBorder="1"/>
    <xf numFmtId="167" fontId="20" fillId="0" borderId="7" xfId="1" applyNumberFormat="1" applyFont="1" applyBorder="1"/>
    <xf numFmtId="179" fontId="32" fillId="0" borderId="7" xfId="0" applyNumberFormat="1" applyFont="1" applyBorder="1"/>
    <xf numFmtId="169" fontId="21" fillId="0" borderId="7" xfId="0" applyNumberFormat="1" applyFont="1" applyBorder="1"/>
    <xf numFmtId="169" fontId="20" fillId="0" borderId="7" xfId="0" applyNumberFormat="1" applyFont="1" applyBorder="1"/>
    <xf numFmtId="167" fontId="21" fillId="0" borderId="7" xfId="1" applyNumberFormat="1" applyFont="1" applyBorder="1"/>
    <xf numFmtId="167" fontId="23" fillId="0" borderId="7" xfId="1" applyNumberFormat="1" applyFont="1" applyBorder="1"/>
    <xf numFmtId="169" fontId="23" fillId="0" borderId="7" xfId="0" applyNumberFormat="1" applyFont="1" applyBorder="1"/>
    <xf numFmtId="167" fontId="32" fillId="0" borderId="0" xfId="1" applyNumberFormat="1" applyFont="1" applyBorder="1"/>
    <xf numFmtId="183" fontId="32" fillId="0" borderId="0" xfId="0" applyNumberFormat="1" applyFont="1"/>
    <xf numFmtId="167" fontId="32" fillId="0" borderId="0" xfId="1" applyNumberFormat="1" applyFont="1"/>
    <xf numFmtId="1" fontId="32" fillId="0" borderId="0" xfId="0" applyNumberFormat="1" applyFont="1"/>
    <xf numFmtId="185" fontId="32" fillId="0" borderId="0" xfId="0" applyNumberFormat="1" applyFont="1"/>
    <xf numFmtId="185" fontId="32" fillId="2" borderId="0" xfId="0" applyNumberFormat="1" applyFont="1" applyFill="1"/>
    <xf numFmtId="185" fontId="32" fillId="2" borderId="7" xfId="0" applyNumberFormat="1" applyFont="1" applyFill="1" applyBorder="1"/>
    <xf numFmtId="9" fontId="32" fillId="0" borderId="7" xfId="1" applyFont="1" applyBorder="1"/>
    <xf numFmtId="9" fontId="32" fillId="0" borderId="0" xfId="1" applyFont="1" applyBorder="1"/>
    <xf numFmtId="167" fontId="32" fillId="0" borderId="7" xfId="1" applyNumberFormat="1" applyFont="1" applyBorder="1"/>
    <xf numFmtId="179" fontId="33" fillId="0" borderId="0" xfId="0" applyNumberFormat="1" applyFont="1"/>
    <xf numFmtId="0" fontId="20" fillId="2" borderId="11" xfId="0" applyFont="1" applyFill="1" applyBorder="1"/>
    <xf numFmtId="179" fontId="32" fillId="0" borderId="11" xfId="0" applyNumberFormat="1" applyFont="1" applyBorder="1"/>
    <xf numFmtId="0" fontId="20" fillId="0" borderId="12" xfId="0" applyFont="1" applyBorder="1"/>
    <xf numFmtId="9" fontId="20" fillId="0" borderId="13" xfId="1" applyFont="1" applyBorder="1"/>
    <xf numFmtId="0" fontId="20" fillId="0" borderId="14" xfId="0" applyFont="1" applyBorder="1"/>
    <xf numFmtId="9" fontId="20" fillId="0" borderId="15" xfId="0" applyNumberFormat="1" applyFont="1" applyBorder="1"/>
    <xf numFmtId="9" fontId="20" fillId="0" borderId="0" xfId="0" applyNumberFormat="1" applyFont="1"/>
    <xf numFmtId="9" fontId="20" fillId="0" borderId="8" xfId="0" applyNumberFormat="1" applyFont="1" applyBorder="1"/>
    <xf numFmtId="170" fontId="22" fillId="0" borderId="8" xfId="0" applyNumberFormat="1" applyFont="1" applyBorder="1"/>
    <xf numFmtId="175" fontId="33" fillId="0" borderId="8" xfId="0" applyNumberFormat="1" applyFont="1" applyBorder="1"/>
    <xf numFmtId="179" fontId="32" fillId="0" borderId="8" xfId="0" applyNumberFormat="1" applyFont="1" applyBorder="1"/>
    <xf numFmtId="179" fontId="22" fillId="0" borderId="8" xfId="0" applyNumberFormat="1" applyFont="1" applyBorder="1"/>
    <xf numFmtId="0" fontId="20" fillId="0" borderId="10" xfId="0" applyFont="1" applyBorder="1"/>
    <xf numFmtId="182" fontId="20" fillId="0" borderId="10" xfId="0" applyNumberFormat="1" applyFont="1" applyBorder="1"/>
    <xf numFmtId="179" fontId="20" fillId="0" borderId="10" xfId="0" applyNumberFormat="1" applyFont="1" applyBorder="1"/>
    <xf numFmtId="182" fontId="20" fillId="0" borderId="8" xfId="0" applyNumberFormat="1" applyFont="1" applyBorder="1"/>
    <xf numFmtId="10" fontId="20" fillId="0" borderId="8" xfId="1" applyNumberFormat="1" applyFont="1" applyBorder="1"/>
    <xf numFmtId="10" fontId="32" fillId="0" borderId="8" xfId="1" applyNumberFormat="1" applyFont="1" applyBorder="1"/>
    <xf numFmtId="0" fontId="20" fillId="2" borderId="8" xfId="0" applyFont="1" applyFill="1" applyBorder="1"/>
    <xf numFmtId="179" fontId="20" fillId="0" borderId="8" xfId="0" applyNumberFormat="1" applyFont="1" applyBorder="1"/>
    <xf numFmtId="169" fontId="21" fillId="0" borderId="8" xfId="0" applyNumberFormat="1" applyFont="1" applyBorder="1"/>
    <xf numFmtId="169" fontId="23" fillId="0" borderId="8" xfId="0" applyNumberFormat="1" applyFont="1" applyBorder="1"/>
    <xf numFmtId="169" fontId="20" fillId="3" borderId="8" xfId="0" applyNumberFormat="1" applyFont="1" applyFill="1" applyBorder="1"/>
    <xf numFmtId="169" fontId="20" fillId="0" borderId="8" xfId="0" applyNumberFormat="1" applyFont="1" applyBorder="1"/>
    <xf numFmtId="169" fontId="22" fillId="0" borderId="8" xfId="0" applyNumberFormat="1" applyFont="1" applyBorder="1"/>
    <xf numFmtId="167" fontId="20" fillId="0" borderId="8" xfId="1" applyNumberFormat="1" applyFont="1" applyBorder="1"/>
    <xf numFmtId="179" fontId="33" fillId="0" borderId="8" xfId="0" applyNumberFormat="1" applyFont="1" applyBorder="1"/>
    <xf numFmtId="170" fontId="21" fillId="0" borderId="8" xfId="0" applyNumberFormat="1" applyFont="1" applyBorder="1"/>
    <xf numFmtId="170" fontId="20" fillId="0" borderId="8" xfId="0" applyNumberFormat="1" applyFont="1" applyBorder="1"/>
    <xf numFmtId="195" fontId="28" fillId="0" borderId="0" xfId="0" applyNumberFormat="1" applyFont="1"/>
    <xf numFmtId="167" fontId="22" fillId="0" borderId="8" xfId="1" applyNumberFormat="1" applyFont="1" applyBorder="1"/>
    <xf numFmtId="169" fontId="20" fillId="0" borderId="11" xfId="0" applyNumberFormat="1" applyFont="1" applyBorder="1"/>
    <xf numFmtId="167" fontId="20" fillId="0" borderId="11" xfId="1" applyNumberFormat="1" applyFont="1" applyBorder="1"/>
    <xf numFmtId="183" fontId="27" fillId="0" borderId="11" xfId="0" applyNumberFormat="1" applyFont="1" applyBorder="1"/>
    <xf numFmtId="168" fontId="20" fillId="0" borderId="8" xfId="0" applyNumberFormat="1" applyFont="1" applyBorder="1"/>
    <xf numFmtId="0" fontId="16" fillId="0" borderId="0" xfId="0" applyFont="1" applyAlignment="1">
      <alignment horizontal="left"/>
    </xf>
    <xf numFmtId="175" fontId="18" fillId="0" borderId="6" xfId="0" applyNumberFormat="1" applyFont="1" applyBorder="1" applyAlignment="1">
      <alignment horizontal="center"/>
    </xf>
    <xf numFmtId="0" fontId="34" fillId="0" borderId="0" xfId="0" applyFont="1" applyAlignment="1">
      <alignment horizontal="left"/>
    </xf>
    <xf numFmtId="0" fontId="23" fillId="0" borderId="0" xfId="0" applyFont="1" applyAlignment="1">
      <alignment horizontal="centerContinuous"/>
    </xf>
    <xf numFmtId="0" fontId="21" fillId="0" borderId="0" xfId="0" applyFont="1" applyAlignment="1">
      <alignment horizontal="right"/>
    </xf>
    <xf numFmtId="186" fontId="21" fillId="0" borderId="0" xfId="0" applyNumberFormat="1" applyFont="1" applyAlignment="1">
      <alignment horizontal="right"/>
    </xf>
    <xf numFmtId="9" fontId="21" fillId="0" borderId="0" xfId="1" applyFont="1" applyFill="1" applyAlignment="1">
      <alignment horizontal="right"/>
    </xf>
    <xf numFmtId="186" fontId="21" fillId="0" borderId="0" xfId="1" applyNumberFormat="1" applyFont="1" applyBorder="1" applyAlignment="1">
      <alignment horizontal="right"/>
    </xf>
    <xf numFmtId="187" fontId="21" fillId="0" borderId="0" xfId="1" applyNumberFormat="1" applyFont="1" applyBorder="1" applyAlignment="1">
      <alignment horizontal="right"/>
    </xf>
    <xf numFmtId="10" fontId="21" fillId="0" borderId="0" xfId="1" applyNumberFormat="1" applyFont="1" applyFill="1" applyAlignment="1">
      <alignment horizontal="right"/>
    </xf>
    <xf numFmtId="188" fontId="21" fillId="0" borderId="0" xfId="0" applyNumberFormat="1" applyFont="1" applyAlignment="1">
      <alignment horizontal="right"/>
    </xf>
    <xf numFmtId="167" fontId="21" fillId="0" borderId="0" xfId="1" applyNumberFormat="1" applyFont="1" applyFill="1" applyAlignment="1">
      <alignment horizontal="right"/>
    </xf>
    <xf numFmtId="199" fontId="21" fillId="0" borderId="0" xfId="1" applyNumberFormat="1" applyFont="1" applyFill="1" applyAlignment="1">
      <alignment horizontal="right"/>
    </xf>
    <xf numFmtId="172" fontId="22" fillId="0" borderId="0" xfId="1" applyNumberFormat="1" applyFont="1" applyBorder="1"/>
    <xf numFmtId="172" fontId="22" fillId="0" borderId="0" xfId="1" applyNumberFormat="1" applyFont="1"/>
    <xf numFmtId="167" fontId="21" fillId="0" borderId="0" xfId="1" applyNumberFormat="1" applyFont="1"/>
    <xf numFmtId="185" fontId="21" fillId="0" borderId="0" xfId="1" applyNumberFormat="1" applyFont="1" applyBorder="1"/>
    <xf numFmtId="185" fontId="21" fillId="0" borderId="0" xfId="1" applyNumberFormat="1" applyFont="1"/>
    <xf numFmtId="172" fontId="25" fillId="0" borderId="0" xfId="1" applyNumberFormat="1" applyFont="1" applyBorder="1"/>
    <xf numFmtId="172" fontId="25" fillId="0" borderId="0" xfId="1" applyNumberFormat="1" applyFont="1"/>
    <xf numFmtId="0" fontId="21" fillId="0" borderId="0" xfId="0" applyFont="1"/>
    <xf numFmtId="1" fontId="21" fillId="0" borderId="0" xfId="1" applyNumberFormat="1" applyFont="1" applyBorder="1"/>
    <xf numFmtId="1" fontId="21" fillId="0" borderId="0" xfId="1" applyNumberFormat="1" applyFont="1"/>
    <xf numFmtId="184" fontId="21" fillId="0" borderId="0" xfId="0" applyNumberFormat="1" applyFont="1"/>
    <xf numFmtId="165" fontId="23" fillId="0" borderId="0" xfId="1" applyNumberFormat="1" applyFont="1" applyBorder="1"/>
    <xf numFmtId="165" fontId="21" fillId="0" borderId="0" xfId="1" applyNumberFormat="1" applyFont="1" applyBorder="1"/>
    <xf numFmtId="9" fontId="21" fillId="0" borderId="0" xfId="1" applyFont="1" applyFill="1" applyBorder="1"/>
    <xf numFmtId="9" fontId="21" fillId="0" borderId="0" xfId="1" applyFont="1" applyFill="1"/>
    <xf numFmtId="167" fontId="21" fillId="0" borderId="0" xfId="1" applyNumberFormat="1" applyFont="1" applyFill="1" applyBorder="1"/>
    <xf numFmtId="167" fontId="21" fillId="0" borderId="0" xfId="1" applyNumberFormat="1" applyFont="1" applyFill="1"/>
    <xf numFmtId="10" fontId="21" fillId="0" borderId="0" xfId="1" applyNumberFormat="1" applyFont="1" applyFill="1" applyBorder="1"/>
    <xf numFmtId="10" fontId="21" fillId="0" borderId="0" xfId="1" applyNumberFormat="1" applyFont="1" applyFill="1"/>
    <xf numFmtId="1" fontId="33" fillId="0" borderId="0" xfId="0" applyNumberFormat="1" applyFont="1"/>
    <xf numFmtId="200" fontId="21" fillId="0" borderId="0" xfId="0" applyNumberFormat="1" applyFont="1" applyAlignment="1">
      <alignment horizontal="right"/>
    </xf>
    <xf numFmtId="193" fontId="21" fillId="0" borderId="0" xfId="0" applyNumberFormat="1" applyFont="1" applyAlignment="1">
      <alignment horizontal="right"/>
    </xf>
    <xf numFmtId="201" fontId="21" fillId="0" borderId="0" xfId="0" applyNumberFormat="1" applyFont="1" applyAlignment="1">
      <alignment horizontal="right"/>
    </xf>
    <xf numFmtId="194" fontId="32" fillId="0" borderId="8" xfId="1" applyNumberFormat="1" applyFont="1" applyBorder="1"/>
    <xf numFmtId="2" fontId="32" fillId="0" borderId="0" xfId="1" applyNumberFormat="1" applyFont="1" applyBorder="1"/>
    <xf numFmtId="188" fontId="32" fillId="0" borderId="0" xfId="1" applyNumberFormat="1" applyFont="1" applyBorder="1"/>
    <xf numFmtId="193" fontId="32" fillId="0" borderId="0" xfId="1" applyNumberFormat="1" applyFont="1" applyBorder="1"/>
    <xf numFmtId="185" fontId="20" fillId="0" borderId="0" xfId="1" applyNumberFormat="1" applyFont="1" applyBorder="1"/>
    <xf numFmtId="9" fontId="34" fillId="0" borderId="0" xfId="1" applyFont="1" applyFill="1" applyAlignment="1">
      <alignment horizontal="left"/>
    </xf>
    <xf numFmtId="182" fontId="34" fillId="0" borderId="0" xfId="0" applyNumberFormat="1" applyFont="1"/>
    <xf numFmtId="0" fontId="23" fillId="0" borderId="7" xfId="0" applyFont="1" applyBorder="1"/>
    <xf numFmtId="182" fontId="34" fillId="0" borderId="7" xfId="0" applyNumberFormat="1" applyFont="1" applyBorder="1"/>
    <xf numFmtId="175" fontId="34" fillId="0" borderId="0" xfId="0" applyNumberFormat="1" applyFont="1"/>
    <xf numFmtId="0" fontId="0" fillId="0" borderId="0" xfId="0" applyFont="1"/>
    <xf numFmtId="179" fontId="20" fillId="0" borderId="11" xfId="0" applyNumberFormat="1" applyFont="1" applyBorder="1"/>
    <xf numFmtId="0" fontId="20" fillId="0" borderId="0" xfId="0" applyFont="1" applyBorder="1"/>
    <xf numFmtId="0" fontId="20" fillId="2" borderId="0" xfId="0" applyFont="1" applyFill="1" applyBorder="1"/>
    <xf numFmtId="179" fontId="23" fillId="0" borderId="0" xfId="0" applyNumberFormat="1" applyFont="1" applyBorder="1"/>
    <xf numFmtId="0" fontId="20" fillId="2" borderId="7" xfId="0" applyFont="1" applyFill="1" applyBorder="1"/>
    <xf numFmtId="0" fontId="23" fillId="0" borderId="0" xfId="0" applyFont="1" applyBorder="1"/>
    <xf numFmtId="202" fontId="21" fillId="0" borderId="0" xfId="0" applyNumberFormat="1" applyFont="1" applyAlignment="1">
      <alignment horizontal="right"/>
    </xf>
    <xf numFmtId="206" fontId="21" fillId="0" borderId="0" xfId="0" applyNumberFormat="1" applyFont="1" applyAlignment="1">
      <alignment horizontal="right"/>
    </xf>
    <xf numFmtId="202" fontId="0" fillId="0" borderId="0" xfId="0" applyNumberFormat="1" applyFont="1"/>
    <xf numFmtId="202" fontId="0" fillId="0" borderId="0" xfId="0" applyNumberFormat="1" applyFont="1" applyBorder="1"/>
    <xf numFmtId="202" fontId="0" fillId="0" borderId="0" xfId="0" applyNumberFormat="1"/>
    <xf numFmtId="207" fontId="20" fillId="0" borderId="0" xfId="0" applyNumberFormat="1" applyFont="1"/>
    <xf numFmtId="0" fontId="0" fillId="0" borderId="8" xfId="0" applyFont="1" applyBorder="1"/>
    <xf numFmtId="0" fontId="0" fillId="0" borderId="8" xfId="0" applyBorder="1"/>
    <xf numFmtId="202" fontId="0" fillId="0" borderId="8" xfId="0" applyNumberFormat="1" applyFont="1" applyBorder="1"/>
    <xf numFmtId="1" fontId="0" fillId="0" borderId="8" xfId="0" applyNumberFormat="1" applyBorder="1"/>
    <xf numFmtId="182" fontId="22" fillId="0" borderId="0" xfId="0" applyNumberFormat="1" applyFont="1" applyBorder="1"/>
    <xf numFmtId="208" fontId="23" fillId="0" borderId="0" xfId="0" applyNumberFormat="1" applyFont="1"/>
    <xf numFmtId="208" fontId="23" fillId="0" borderId="8" xfId="0" applyNumberFormat="1" applyFont="1" applyBorder="1"/>
    <xf numFmtId="208" fontId="32" fillId="0" borderId="0" xfId="0" applyNumberFormat="1" applyFont="1"/>
    <xf numFmtId="208" fontId="32" fillId="0" borderId="8" xfId="0" applyNumberFormat="1" applyFont="1" applyBorder="1"/>
    <xf numFmtId="208" fontId="22" fillId="0" borderId="0" xfId="0" applyNumberFormat="1" applyFont="1"/>
    <xf numFmtId="208" fontId="20" fillId="0" borderId="0" xfId="0" applyNumberFormat="1" applyFont="1"/>
    <xf numFmtId="208" fontId="20" fillId="0" borderId="8" xfId="0" applyNumberFormat="1" applyFont="1" applyBorder="1"/>
    <xf numFmtId="208" fontId="32" fillId="0" borderId="7" xfId="0" applyNumberFormat="1" applyFont="1" applyBorder="1"/>
    <xf numFmtId="208" fontId="23" fillId="0" borderId="7" xfId="0" applyNumberFormat="1" applyFont="1" applyBorder="1"/>
    <xf numFmtId="208" fontId="22" fillId="0" borderId="8" xfId="0" applyNumberFormat="1" applyFont="1" applyBorder="1"/>
    <xf numFmtId="209" fontId="21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8FFD-10C2-4AE9-904F-88D2A28BAA10}">
  <dimension ref="B2:B5"/>
  <sheetViews>
    <sheetView showGridLines="0" workbookViewId="0">
      <selection activeCell="B6" sqref="B6"/>
    </sheetView>
  </sheetViews>
  <sheetFormatPr defaultRowHeight="14.4" x14ac:dyDescent="0.3"/>
  <cols>
    <col min="2" max="2" width="50.77734375" customWidth="1"/>
  </cols>
  <sheetData>
    <row r="2" spans="2:2" ht="25.8" x14ac:dyDescent="0.5">
      <c r="B2" s="1" t="s">
        <v>23</v>
      </c>
    </row>
    <row r="4" spans="2:2" x14ac:dyDescent="0.3">
      <c r="B4" t="s">
        <v>0</v>
      </c>
    </row>
    <row r="5" spans="2:2" x14ac:dyDescent="0.3">
      <c r="B5" s="2">
        <f>DATE(2026, 10, 3)</f>
        <v>46298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BE84-BC98-4EF8-8B10-DF23F73FD3D0}">
  <dimension ref="B2:L156"/>
  <sheetViews>
    <sheetView showGridLines="0" topLeftCell="A27" workbookViewId="0">
      <selection activeCell="D36" sqref="D36"/>
    </sheetView>
  </sheetViews>
  <sheetFormatPr defaultRowHeight="14.4" x14ac:dyDescent="0.3"/>
  <cols>
    <col min="1" max="1" width="4.77734375" customWidth="1"/>
    <col min="2" max="2" width="44.6640625" bestFit="1" customWidth="1"/>
    <col min="3" max="5" width="10.77734375" customWidth="1"/>
    <col min="6" max="10" width="10.5546875" bestFit="1" customWidth="1"/>
  </cols>
  <sheetData>
    <row r="2" spans="2:12" ht="24.6" x14ac:dyDescent="0.4">
      <c r="B2" s="66" t="s">
        <v>339</v>
      </c>
      <c r="C2" s="68"/>
      <c r="D2" s="69"/>
      <c r="E2" s="69"/>
      <c r="F2" s="69"/>
      <c r="G2" s="69"/>
      <c r="H2" s="69"/>
      <c r="I2" s="69"/>
      <c r="J2" s="69"/>
      <c r="K2" s="289"/>
    </row>
    <row r="3" spans="2:12" ht="17.399999999999999" x14ac:dyDescent="0.3">
      <c r="B3" s="67" t="s">
        <v>362</v>
      </c>
      <c r="C3" s="69"/>
      <c r="D3" s="69"/>
      <c r="E3" s="69"/>
      <c r="F3" s="69"/>
      <c r="G3" s="69"/>
      <c r="H3" s="69"/>
      <c r="I3" s="69"/>
      <c r="J3" s="69"/>
      <c r="K3" s="289"/>
      <c r="L3" s="4"/>
    </row>
    <row r="4" spans="2:12" x14ac:dyDescent="0.3">
      <c r="B4" s="61"/>
      <c r="C4" s="61"/>
      <c r="D4" s="61"/>
      <c r="E4" s="61"/>
      <c r="F4" s="61"/>
      <c r="G4" s="61"/>
      <c r="H4" s="61"/>
      <c r="I4" s="61"/>
      <c r="J4" s="63"/>
      <c r="K4" s="63"/>
      <c r="L4" s="4"/>
    </row>
    <row r="5" spans="2:12" x14ac:dyDescent="0.3">
      <c r="B5" s="291" t="s">
        <v>371</v>
      </c>
      <c r="C5" s="61"/>
      <c r="D5" s="61"/>
      <c r="E5" s="61"/>
      <c r="F5" s="61"/>
      <c r="G5" s="61"/>
      <c r="H5" s="61"/>
      <c r="I5" s="61"/>
      <c r="J5" s="63"/>
      <c r="K5" s="63"/>
    </row>
    <row r="6" spans="2:12" x14ac:dyDescent="0.3">
      <c r="B6" s="291"/>
      <c r="C6" s="61"/>
      <c r="D6" s="61"/>
      <c r="E6" s="61"/>
      <c r="F6" s="61"/>
      <c r="G6" s="61"/>
      <c r="H6" s="61"/>
      <c r="I6" s="61"/>
      <c r="J6" s="63"/>
      <c r="K6" s="63"/>
    </row>
    <row r="7" spans="2:12" x14ac:dyDescent="0.3">
      <c r="B7" s="291" t="s">
        <v>363</v>
      </c>
      <c r="C7" s="292"/>
      <c r="D7" s="292"/>
      <c r="E7" s="61"/>
      <c r="F7" s="61"/>
      <c r="G7" s="61"/>
      <c r="H7" s="61"/>
      <c r="I7" s="61"/>
      <c r="J7" s="63"/>
      <c r="K7" s="63"/>
    </row>
    <row r="8" spans="2:12" x14ac:dyDescent="0.3">
      <c r="B8" s="291"/>
      <c r="C8" s="292"/>
      <c r="D8" s="292"/>
      <c r="E8" s="61"/>
      <c r="F8" s="61"/>
      <c r="G8" s="61"/>
      <c r="H8" s="61"/>
      <c r="I8" s="61"/>
      <c r="J8" s="63"/>
      <c r="K8" s="63"/>
    </row>
    <row r="9" spans="2:12" x14ac:dyDescent="0.3">
      <c r="B9" s="119" t="s">
        <v>344</v>
      </c>
      <c r="C9" s="119"/>
      <c r="D9" s="293">
        <v>247</v>
      </c>
      <c r="E9" s="61"/>
      <c r="F9" s="61"/>
      <c r="G9" s="61"/>
      <c r="H9" s="61"/>
      <c r="I9" s="61"/>
      <c r="J9" s="63"/>
      <c r="K9" s="63"/>
    </row>
    <row r="10" spans="2:12" x14ac:dyDescent="0.3">
      <c r="B10" s="119" t="s">
        <v>165</v>
      </c>
      <c r="C10" s="119"/>
      <c r="D10" s="299">
        <v>365</v>
      </c>
      <c r="E10" s="61"/>
      <c r="F10" s="61"/>
      <c r="G10" s="61"/>
      <c r="H10" s="61"/>
      <c r="I10" s="61"/>
      <c r="J10" s="63"/>
      <c r="K10" s="63"/>
    </row>
    <row r="11" spans="2:12" x14ac:dyDescent="0.3">
      <c r="B11" s="119" t="s">
        <v>313</v>
      </c>
      <c r="C11" s="119"/>
      <c r="D11" s="322">
        <v>3</v>
      </c>
      <c r="E11" s="61"/>
      <c r="F11" s="61"/>
      <c r="G11" s="61"/>
      <c r="H11" s="61"/>
      <c r="I11" s="61"/>
      <c r="J11" s="63"/>
      <c r="K11" s="63"/>
    </row>
    <row r="12" spans="2:12" x14ac:dyDescent="0.3">
      <c r="B12" s="119" t="s">
        <v>378</v>
      </c>
      <c r="C12" s="119"/>
      <c r="D12" s="323">
        <v>320</v>
      </c>
      <c r="E12" s="61"/>
      <c r="F12" s="61"/>
      <c r="G12" s="61"/>
      <c r="H12" s="61"/>
      <c r="I12" s="61"/>
      <c r="J12" s="63"/>
      <c r="K12" s="63"/>
    </row>
    <row r="13" spans="2:12" x14ac:dyDescent="0.3">
      <c r="B13" s="119" t="s">
        <v>318</v>
      </c>
      <c r="C13" s="119"/>
      <c r="D13" s="324">
        <v>1200</v>
      </c>
      <c r="E13" s="61"/>
      <c r="F13" s="61"/>
      <c r="G13" s="61"/>
      <c r="H13" s="61"/>
      <c r="I13" s="61"/>
      <c r="J13" s="63"/>
      <c r="K13" s="63"/>
    </row>
    <row r="14" spans="2:12" x14ac:dyDescent="0.3">
      <c r="B14" s="119" t="s">
        <v>372</v>
      </c>
      <c r="C14" s="119"/>
      <c r="D14" s="300">
        <v>0.97499999999999998</v>
      </c>
      <c r="E14" s="61"/>
      <c r="F14" s="61"/>
      <c r="G14" s="61"/>
      <c r="H14" s="61"/>
      <c r="I14" s="61"/>
      <c r="J14" s="63"/>
      <c r="K14" s="63"/>
    </row>
    <row r="15" spans="2:12" x14ac:dyDescent="0.3">
      <c r="B15" s="291"/>
      <c r="C15" s="292"/>
      <c r="D15" s="293"/>
      <c r="E15" s="61"/>
      <c r="F15" s="61"/>
      <c r="G15" s="61"/>
      <c r="H15" s="61"/>
      <c r="I15" s="61"/>
      <c r="J15" s="63"/>
      <c r="K15" s="63"/>
    </row>
    <row r="16" spans="2:12" x14ac:dyDescent="0.3">
      <c r="B16" s="291" t="s">
        <v>364</v>
      </c>
      <c r="C16" s="292"/>
      <c r="D16" s="293"/>
      <c r="E16" s="61"/>
      <c r="F16" s="61"/>
      <c r="G16" s="61"/>
      <c r="H16" s="61"/>
      <c r="I16" s="61"/>
      <c r="J16" s="63"/>
      <c r="K16" s="63"/>
    </row>
    <row r="17" spans="2:11" x14ac:dyDescent="0.3">
      <c r="B17" s="291"/>
      <c r="C17" s="292"/>
      <c r="D17" s="293"/>
      <c r="E17" s="61"/>
      <c r="F17" s="61"/>
      <c r="G17" s="61"/>
      <c r="H17" s="61"/>
      <c r="I17" s="61"/>
      <c r="J17" s="63"/>
      <c r="K17" s="63"/>
    </row>
    <row r="18" spans="2:11" x14ac:dyDescent="0.3">
      <c r="B18" s="119" t="s">
        <v>120</v>
      </c>
      <c r="C18" s="292"/>
      <c r="D18" s="293">
        <v>20</v>
      </c>
      <c r="E18" s="61"/>
      <c r="F18" s="61"/>
      <c r="G18" s="61"/>
      <c r="H18" s="61"/>
      <c r="I18" s="61"/>
      <c r="J18" s="63"/>
      <c r="K18" s="63"/>
    </row>
    <row r="19" spans="2:11" x14ac:dyDescent="0.3">
      <c r="B19" s="119" t="s">
        <v>121</v>
      </c>
      <c r="C19" s="292"/>
      <c r="D19" s="294">
        <v>10</v>
      </c>
      <c r="E19" s="61"/>
      <c r="F19" s="61"/>
      <c r="G19" s="61"/>
      <c r="H19" s="61"/>
      <c r="I19" s="61"/>
      <c r="J19" s="63"/>
      <c r="K19" s="63"/>
    </row>
    <row r="20" spans="2:11" x14ac:dyDescent="0.3">
      <c r="B20" s="119" t="s">
        <v>365</v>
      </c>
      <c r="C20" s="292"/>
      <c r="D20" s="295">
        <v>0.06</v>
      </c>
      <c r="E20" s="61"/>
      <c r="F20" s="61"/>
      <c r="G20" s="61"/>
      <c r="H20" s="61"/>
      <c r="I20" s="61"/>
      <c r="J20" s="63"/>
      <c r="K20" s="63"/>
    </row>
    <row r="21" spans="2:11" x14ac:dyDescent="0.3">
      <c r="B21" s="291"/>
      <c r="C21" s="292"/>
      <c r="D21" s="293"/>
      <c r="E21" s="61"/>
      <c r="F21" s="61"/>
      <c r="G21" s="61"/>
      <c r="H21" s="61"/>
      <c r="I21" s="61"/>
      <c r="J21" s="63"/>
      <c r="K21" s="63"/>
    </row>
    <row r="22" spans="2:11" x14ac:dyDescent="0.3">
      <c r="B22" s="291" t="s">
        <v>376</v>
      </c>
      <c r="C22" s="292"/>
      <c r="D22" s="293"/>
      <c r="E22" s="61"/>
      <c r="F22" s="61"/>
      <c r="G22" s="61"/>
      <c r="H22" s="61"/>
      <c r="I22" s="61"/>
      <c r="J22" s="63"/>
      <c r="K22" s="63"/>
    </row>
    <row r="23" spans="2:11" x14ac:dyDescent="0.3">
      <c r="B23" s="291"/>
      <c r="C23" s="292"/>
      <c r="D23" s="293"/>
      <c r="E23" s="61"/>
      <c r="F23" s="61"/>
      <c r="G23" s="61"/>
      <c r="H23" s="61"/>
      <c r="I23" s="61"/>
      <c r="J23" s="63"/>
      <c r="K23" s="63"/>
    </row>
    <row r="24" spans="2:11" x14ac:dyDescent="0.3">
      <c r="B24" s="119" t="s">
        <v>154</v>
      </c>
      <c r="C24" s="292"/>
      <c r="D24" s="296">
        <v>7</v>
      </c>
      <c r="E24" s="61"/>
      <c r="F24" s="61"/>
      <c r="G24" s="61"/>
      <c r="H24" s="61"/>
      <c r="I24" s="61"/>
      <c r="J24" s="63"/>
      <c r="K24" s="63"/>
    </row>
    <row r="25" spans="2:11" x14ac:dyDescent="0.3">
      <c r="B25" s="119" t="s">
        <v>366</v>
      </c>
      <c r="C25" s="292"/>
      <c r="D25" s="296">
        <v>10</v>
      </c>
      <c r="E25" s="61"/>
      <c r="F25" s="61"/>
      <c r="G25" s="61"/>
      <c r="H25" s="61"/>
      <c r="I25" s="61"/>
      <c r="J25" s="63"/>
      <c r="K25" s="63"/>
    </row>
    <row r="26" spans="2:11" x14ac:dyDescent="0.3">
      <c r="B26" s="119" t="s">
        <v>367</v>
      </c>
      <c r="C26" s="292"/>
      <c r="D26" s="297">
        <v>5.6</v>
      </c>
      <c r="E26" s="61"/>
      <c r="F26" s="61"/>
      <c r="G26" s="61"/>
      <c r="H26" s="61"/>
      <c r="I26" s="61"/>
      <c r="J26" s="63"/>
      <c r="K26" s="63"/>
    </row>
    <row r="27" spans="2:11" x14ac:dyDescent="0.3">
      <c r="B27" s="119" t="s">
        <v>368</v>
      </c>
      <c r="C27" s="292"/>
      <c r="D27" s="298">
        <v>7.4999999999999997E-3</v>
      </c>
      <c r="E27" s="61"/>
      <c r="F27" s="61"/>
      <c r="G27" s="61"/>
      <c r="H27" s="61"/>
      <c r="I27" s="61"/>
      <c r="J27" s="63"/>
      <c r="K27" s="63"/>
    </row>
    <row r="28" spans="2:11" x14ac:dyDescent="0.3">
      <c r="B28" s="119" t="s">
        <v>374</v>
      </c>
      <c r="C28" s="292"/>
      <c r="D28" s="301">
        <v>0.75</v>
      </c>
      <c r="E28" s="61"/>
      <c r="F28" s="61"/>
      <c r="G28" s="61"/>
      <c r="H28" s="61"/>
      <c r="I28" s="61"/>
      <c r="J28" s="63"/>
      <c r="K28" s="63"/>
    </row>
    <row r="29" spans="2:11" x14ac:dyDescent="0.3">
      <c r="B29" s="119" t="s">
        <v>375</v>
      </c>
      <c r="C29" s="292"/>
      <c r="D29" s="298">
        <v>3.5000000000000003E-2</v>
      </c>
      <c r="E29" s="61"/>
      <c r="F29" s="61"/>
      <c r="G29" s="61"/>
      <c r="H29" s="61"/>
      <c r="I29" s="61"/>
      <c r="J29" s="63"/>
      <c r="K29" s="63"/>
    </row>
    <row r="30" spans="2:11" x14ac:dyDescent="0.3">
      <c r="B30" s="291"/>
      <c r="C30" s="61"/>
      <c r="D30" s="61"/>
      <c r="E30" s="61"/>
      <c r="F30" s="61"/>
      <c r="G30" s="61"/>
      <c r="H30" s="61"/>
      <c r="I30" s="61"/>
      <c r="J30" s="63"/>
      <c r="K30" s="63"/>
    </row>
    <row r="31" spans="2:11" x14ac:dyDescent="0.3">
      <c r="B31" s="291" t="s">
        <v>369</v>
      </c>
      <c r="C31" s="61"/>
      <c r="D31" s="61"/>
      <c r="E31" s="61"/>
      <c r="F31" s="61"/>
      <c r="G31" s="61"/>
      <c r="H31" s="61"/>
      <c r="I31" s="61"/>
      <c r="J31" s="63"/>
      <c r="K31" s="63"/>
    </row>
    <row r="32" spans="2:11" x14ac:dyDescent="0.3">
      <c r="B32" s="291"/>
      <c r="C32" s="61"/>
      <c r="D32" s="61"/>
      <c r="E32" s="61"/>
      <c r="F32" s="61"/>
      <c r="G32" s="61"/>
      <c r="H32" s="61"/>
      <c r="I32" s="61"/>
      <c r="J32" s="63"/>
      <c r="K32" s="63"/>
    </row>
    <row r="33" spans="2:11" x14ac:dyDescent="0.3">
      <c r="B33" s="119" t="s">
        <v>373</v>
      </c>
      <c r="C33" s="61"/>
      <c r="D33" s="295">
        <v>0.3</v>
      </c>
      <c r="E33" s="61"/>
      <c r="F33" s="61"/>
      <c r="G33" s="61"/>
      <c r="H33" s="61"/>
      <c r="I33" s="61"/>
      <c r="J33" s="63"/>
      <c r="K33" s="63"/>
    </row>
    <row r="34" spans="2:11" x14ac:dyDescent="0.3">
      <c r="B34" s="119" t="s">
        <v>294</v>
      </c>
      <c r="C34" s="61"/>
      <c r="D34" s="295">
        <v>0</v>
      </c>
      <c r="E34" s="61"/>
      <c r="F34" s="61"/>
      <c r="G34" s="61"/>
      <c r="H34" s="61"/>
      <c r="I34" s="61"/>
      <c r="J34" s="63"/>
      <c r="K34" s="63"/>
    </row>
    <row r="35" spans="2:11" x14ac:dyDescent="0.3">
      <c r="B35" s="119" t="s">
        <v>404</v>
      </c>
      <c r="C35" s="61"/>
      <c r="D35" s="363">
        <v>1500</v>
      </c>
      <c r="E35" s="61"/>
      <c r="F35" s="61"/>
      <c r="G35" s="61"/>
      <c r="H35" s="61"/>
      <c r="I35" s="61"/>
      <c r="J35" s="63"/>
      <c r="K35" s="63"/>
    </row>
    <row r="36" spans="2:11" x14ac:dyDescent="0.3">
      <c r="B36" s="119" t="s">
        <v>403</v>
      </c>
      <c r="C36" s="61"/>
      <c r="D36" s="363">
        <v>250</v>
      </c>
      <c r="E36" s="61"/>
      <c r="F36" s="61"/>
      <c r="G36" s="61"/>
      <c r="H36" s="61"/>
      <c r="I36" s="61"/>
      <c r="J36" s="63"/>
      <c r="K36" s="63"/>
    </row>
    <row r="37" spans="2:11" x14ac:dyDescent="0.3">
      <c r="B37" s="119" t="s">
        <v>399</v>
      </c>
      <c r="C37" s="61"/>
      <c r="D37" s="342">
        <v>3360826386</v>
      </c>
      <c r="E37" s="61"/>
      <c r="F37" s="61"/>
      <c r="G37" s="61"/>
      <c r="H37" s="61"/>
      <c r="I37" s="61"/>
      <c r="J37" s="63"/>
      <c r="K37" s="63"/>
    </row>
    <row r="38" spans="2:11" x14ac:dyDescent="0.3">
      <c r="B38" s="119" t="s">
        <v>400</v>
      </c>
      <c r="C38" s="61"/>
      <c r="D38" s="343">
        <v>0.47499999999999998</v>
      </c>
      <c r="E38" s="61"/>
      <c r="F38" s="61"/>
      <c r="G38" s="61"/>
      <c r="H38" s="61"/>
      <c r="I38" s="61"/>
      <c r="J38" s="63"/>
      <c r="K38" s="63"/>
    </row>
    <row r="39" spans="2:11" x14ac:dyDescent="0.3">
      <c r="B39" s="291"/>
      <c r="C39" s="61"/>
      <c r="D39" s="61"/>
      <c r="E39" s="61"/>
      <c r="F39" s="61"/>
      <c r="G39" s="61"/>
      <c r="H39" s="61"/>
      <c r="I39" s="61"/>
      <c r="J39" s="63"/>
      <c r="K39" s="63"/>
    </row>
    <row r="40" spans="2:11" x14ac:dyDescent="0.3">
      <c r="B40" s="291" t="s">
        <v>370</v>
      </c>
      <c r="C40" s="61"/>
      <c r="D40" s="61"/>
      <c r="E40" s="61"/>
      <c r="F40" s="61"/>
      <c r="G40" s="61"/>
      <c r="H40" s="61"/>
      <c r="I40" s="61"/>
      <c r="J40" s="63"/>
      <c r="K40" s="63"/>
    </row>
    <row r="41" spans="2:11" x14ac:dyDescent="0.3">
      <c r="B41" s="291"/>
      <c r="C41" s="61"/>
      <c r="D41" s="61"/>
      <c r="E41" s="61"/>
      <c r="F41" s="61"/>
      <c r="G41" s="61"/>
      <c r="H41" s="61"/>
      <c r="I41" s="61"/>
      <c r="J41" s="63"/>
      <c r="K41" s="63"/>
    </row>
    <row r="42" spans="2:11" x14ac:dyDescent="0.3">
      <c r="B42" s="63"/>
      <c r="C42" s="63"/>
      <c r="D42" s="63"/>
      <c r="E42" s="63"/>
      <c r="F42" s="63"/>
      <c r="G42" s="63"/>
      <c r="H42" s="63"/>
      <c r="I42" s="63"/>
      <c r="J42" s="63"/>
      <c r="K42" s="63"/>
    </row>
    <row r="43" spans="2:11" x14ac:dyDescent="0.3">
      <c r="B43" s="63"/>
      <c r="C43" s="63"/>
      <c r="D43" s="70">
        <v>2024</v>
      </c>
      <c r="E43" s="70">
        <v>2025</v>
      </c>
      <c r="F43" s="71">
        <f>E43+1</f>
        <v>2026</v>
      </c>
      <c r="G43" s="71">
        <f t="shared" ref="G43:J43" si="0">F43+1</f>
        <v>2027</v>
      </c>
      <c r="H43" s="71">
        <f t="shared" si="0"/>
        <v>2028</v>
      </c>
      <c r="I43" s="71">
        <f t="shared" si="0"/>
        <v>2029</v>
      </c>
      <c r="J43" s="71">
        <f t="shared" si="0"/>
        <v>2030</v>
      </c>
      <c r="K43" s="290"/>
    </row>
    <row r="44" spans="2:11" x14ac:dyDescent="0.3">
      <c r="B44" s="63"/>
      <c r="C44" s="63"/>
      <c r="D44" s="213" t="s">
        <v>341</v>
      </c>
      <c r="E44" s="213"/>
      <c r="F44" s="214"/>
      <c r="G44" s="214"/>
      <c r="H44" s="214"/>
      <c r="I44" s="214"/>
      <c r="J44" s="214" t="s">
        <v>342</v>
      </c>
      <c r="K44" s="214"/>
    </row>
    <row r="46" spans="2:11" x14ac:dyDescent="0.3">
      <c r="B46" s="291" t="s">
        <v>377</v>
      </c>
      <c r="C46" s="89"/>
      <c r="D46" s="89"/>
      <c r="E46" s="89"/>
      <c r="F46" s="302"/>
      <c r="G46" s="303"/>
      <c r="H46" s="303"/>
      <c r="I46" s="89"/>
      <c r="J46" s="89"/>
    </row>
    <row r="47" spans="2:11" x14ac:dyDescent="0.3">
      <c r="B47" s="92"/>
      <c r="C47" s="89"/>
      <c r="D47" s="89"/>
      <c r="E47" s="89"/>
      <c r="F47" s="302"/>
      <c r="G47" s="303"/>
      <c r="H47" s="303"/>
      <c r="I47" s="89"/>
      <c r="J47" s="89"/>
    </row>
    <row r="48" spans="2:11" x14ac:dyDescent="0.3">
      <c r="B48" s="89" t="s">
        <v>24</v>
      </c>
      <c r="C48" s="89"/>
      <c r="D48" s="89"/>
      <c r="E48" s="89"/>
      <c r="F48" s="150">
        <v>4.4999999999999998E-2</v>
      </c>
      <c r="G48" s="304">
        <v>0.04</v>
      </c>
      <c r="H48" s="304">
        <v>3.5000000000000003E-2</v>
      </c>
      <c r="I48" s="304">
        <v>0.03</v>
      </c>
      <c r="J48" s="304">
        <v>0.03</v>
      </c>
    </row>
    <row r="49" spans="2:10" x14ac:dyDescent="0.3">
      <c r="B49" s="89" t="s">
        <v>76</v>
      </c>
      <c r="C49" s="89" t="s">
        <v>13</v>
      </c>
      <c r="D49" s="304">
        <v>4.8000000000000001E-2</v>
      </c>
      <c r="E49" s="150">
        <v>4.4999999999999998E-2</v>
      </c>
      <c r="F49" s="150">
        <v>4.7E-2</v>
      </c>
      <c r="G49" s="304">
        <v>4.9000000000000002E-2</v>
      </c>
      <c r="H49" s="304">
        <v>4.4999999999999998E-2</v>
      </c>
      <c r="I49" s="304">
        <v>4.4999999999999998E-2</v>
      </c>
      <c r="J49" s="304">
        <v>4.4999999999999998E-2</v>
      </c>
    </row>
    <row r="50" spans="2:10" x14ac:dyDescent="0.3">
      <c r="B50" s="89" t="s">
        <v>25</v>
      </c>
      <c r="C50" s="89"/>
      <c r="D50" s="89"/>
      <c r="E50" s="305">
        <v>102</v>
      </c>
      <c r="F50" s="305">
        <v>150</v>
      </c>
      <c r="G50" s="306">
        <v>110</v>
      </c>
      <c r="H50" s="306">
        <v>100</v>
      </c>
      <c r="I50" s="306">
        <v>100</v>
      </c>
      <c r="J50" s="306">
        <v>100</v>
      </c>
    </row>
    <row r="51" spans="2:10" x14ac:dyDescent="0.3">
      <c r="B51" s="89" t="s">
        <v>379</v>
      </c>
      <c r="C51" s="89"/>
      <c r="D51" s="89"/>
      <c r="E51" s="305"/>
      <c r="F51" s="305">
        <v>5</v>
      </c>
      <c r="G51" s="306">
        <v>5</v>
      </c>
      <c r="H51" s="306">
        <v>5</v>
      </c>
      <c r="I51" s="306">
        <v>5</v>
      </c>
      <c r="J51" s="306">
        <v>5</v>
      </c>
    </row>
    <row r="52" spans="2:10" x14ac:dyDescent="0.3">
      <c r="B52" s="89" t="s">
        <v>303</v>
      </c>
      <c r="C52" s="89"/>
      <c r="D52" s="89"/>
      <c r="E52" s="329"/>
      <c r="F52" s="329">
        <f>E50+F51</f>
        <v>107</v>
      </c>
      <c r="G52" s="329">
        <f t="shared" ref="G52:J52" si="1">F50+5</f>
        <v>155</v>
      </c>
      <c r="H52" s="329">
        <f t="shared" si="1"/>
        <v>115</v>
      </c>
      <c r="I52" s="329">
        <f t="shared" si="1"/>
        <v>105</v>
      </c>
      <c r="J52" s="329">
        <f t="shared" si="1"/>
        <v>105</v>
      </c>
    </row>
    <row r="53" spans="2:10" x14ac:dyDescent="0.3">
      <c r="B53" s="89" t="s">
        <v>304</v>
      </c>
      <c r="C53" s="89"/>
      <c r="D53" s="89"/>
      <c r="E53" s="305"/>
      <c r="F53" s="157">
        <v>0.5</v>
      </c>
      <c r="G53" s="220">
        <v>0.5</v>
      </c>
      <c r="H53" s="220">
        <v>0.5</v>
      </c>
      <c r="I53" s="220">
        <v>0.5</v>
      </c>
      <c r="J53" s="220">
        <v>0.5</v>
      </c>
    </row>
    <row r="54" spans="2:10" x14ac:dyDescent="0.3">
      <c r="B54" s="89"/>
      <c r="C54" s="89"/>
      <c r="D54" s="89"/>
      <c r="E54" s="89"/>
      <c r="F54" s="307"/>
      <c r="G54" s="308"/>
      <c r="H54" s="308"/>
      <c r="I54" s="89"/>
      <c r="J54" s="89"/>
    </row>
    <row r="55" spans="2:10" x14ac:dyDescent="0.3">
      <c r="B55" s="330" t="s">
        <v>380</v>
      </c>
      <c r="C55" s="89"/>
      <c r="D55" s="89"/>
      <c r="E55" s="89"/>
      <c r="F55" s="307"/>
      <c r="G55" s="308"/>
      <c r="H55" s="308"/>
      <c r="I55" s="89"/>
      <c r="J55" s="89"/>
    </row>
    <row r="56" spans="2:10" x14ac:dyDescent="0.3">
      <c r="B56" s="89"/>
      <c r="C56" s="89"/>
      <c r="D56" s="89"/>
      <c r="E56" s="89"/>
      <c r="F56" s="309"/>
      <c r="G56" s="309"/>
      <c r="H56" s="309"/>
      <c r="I56" s="89"/>
      <c r="J56" s="89"/>
    </row>
    <row r="57" spans="2:10" x14ac:dyDescent="0.3">
      <c r="B57" s="89" t="s">
        <v>63</v>
      </c>
      <c r="C57" s="89" t="s">
        <v>13</v>
      </c>
      <c r="D57" s="89"/>
      <c r="E57" s="89"/>
      <c r="F57" s="150">
        <v>0.06</v>
      </c>
      <c r="G57" s="304">
        <v>0.06</v>
      </c>
      <c r="H57" s="304">
        <v>0.06</v>
      </c>
      <c r="I57" s="304">
        <v>0.06</v>
      </c>
      <c r="J57" s="304">
        <v>0.06</v>
      </c>
    </row>
    <row r="58" spans="2:10" x14ac:dyDescent="0.3">
      <c r="B58" s="89" t="s">
        <v>93</v>
      </c>
      <c r="C58" s="89"/>
      <c r="D58" s="89"/>
      <c r="E58" s="89"/>
      <c r="F58" s="310">
        <v>4</v>
      </c>
      <c r="G58" s="311">
        <v>4</v>
      </c>
      <c r="H58" s="311">
        <v>4</v>
      </c>
      <c r="I58" s="311">
        <v>4</v>
      </c>
      <c r="J58" s="311">
        <v>4</v>
      </c>
    </row>
    <row r="59" spans="2:10" x14ac:dyDescent="0.3">
      <c r="B59" s="89" t="s">
        <v>95</v>
      </c>
      <c r="C59" s="89"/>
      <c r="D59" s="89"/>
      <c r="E59" s="89"/>
      <c r="F59" s="310">
        <v>10</v>
      </c>
      <c r="G59" s="311">
        <v>18</v>
      </c>
      <c r="H59" s="311">
        <v>13</v>
      </c>
      <c r="I59" s="311">
        <v>35</v>
      </c>
      <c r="J59" s="311">
        <v>46</v>
      </c>
    </row>
    <row r="60" spans="2:10" x14ac:dyDescent="0.3">
      <c r="B60" s="89" t="s">
        <v>83</v>
      </c>
      <c r="C60" s="89"/>
      <c r="D60" s="89"/>
      <c r="E60" s="312">
        <v>341200</v>
      </c>
      <c r="F60" s="312">
        <v>341200</v>
      </c>
      <c r="G60" s="312">
        <v>341200</v>
      </c>
      <c r="H60" s="312">
        <v>341200</v>
      </c>
      <c r="I60" s="312">
        <v>341200</v>
      </c>
      <c r="J60" s="312">
        <v>341200</v>
      </c>
    </row>
    <row r="61" spans="2:10" x14ac:dyDescent="0.3">
      <c r="B61" s="89" t="s">
        <v>88</v>
      </c>
      <c r="C61" s="89"/>
      <c r="D61" s="89"/>
      <c r="E61" s="89"/>
      <c r="F61" s="157">
        <v>0.01</v>
      </c>
      <c r="G61" s="220">
        <v>0.01</v>
      </c>
      <c r="H61" s="220">
        <v>0.01</v>
      </c>
      <c r="I61" s="220">
        <v>0.01</v>
      </c>
      <c r="J61" s="220">
        <v>0.01</v>
      </c>
    </row>
    <row r="62" spans="2:10" x14ac:dyDescent="0.3">
      <c r="B62" s="89" t="s">
        <v>258</v>
      </c>
      <c r="C62" s="89" t="s">
        <v>66</v>
      </c>
      <c r="D62" s="89"/>
      <c r="E62" s="89"/>
      <c r="F62" s="314">
        <v>25</v>
      </c>
      <c r="G62" s="313">
        <f>F62*(1+G48)</f>
        <v>26</v>
      </c>
      <c r="H62" s="313">
        <f>G62*(1+H48)</f>
        <v>26.909999999999997</v>
      </c>
      <c r="I62" s="313">
        <f>H62*(1+I48)</f>
        <v>27.717299999999998</v>
      </c>
      <c r="J62" s="313">
        <f>I62*(1+J48)</f>
        <v>28.548818999999998</v>
      </c>
    </row>
    <row r="63" spans="2:10" x14ac:dyDescent="0.3">
      <c r="B63" s="89" t="s">
        <v>153</v>
      </c>
      <c r="C63" s="89" t="s">
        <v>13</v>
      </c>
      <c r="D63" s="89"/>
      <c r="E63" s="89"/>
      <c r="F63" s="157">
        <v>0.05</v>
      </c>
      <c r="G63" s="220">
        <v>0.05</v>
      </c>
      <c r="H63" s="220">
        <v>0.05</v>
      </c>
      <c r="I63" s="220">
        <v>0.05</v>
      </c>
      <c r="J63" s="220">
        <v>0.05</v>
      </c>
    </row>
    <row r="64" spans="2:10" x14ac:dyDescent="0.3">
      <c r="B64" s="92"/>
      <c r="C64" s="89"/>
      <c r="D64" s="89"/>
      <c r="E64" s="89"/>
      <c r="F64" s="315"/>
      <c r="G64" s="316"/>
      <c r="H64" s="316"/>
      <c r="I64" s="89"/>
      <c r="J64" s="89"/>
    </row>
    <row r="65" spans="2:10" x14ac:dyDescent="0.3">
      <c r="B65" s="330" t="s">
        <v>381</v>
      </c>
      <c r="C65" s="89"/>
      <c r="D65" s="89"/>
      <c r="E65" s="89"/>
      <c r="F65" s="319"/>
      <c r="G65" s="320"/>
      <c r="H65" s="320"/>
      <c r="I65" s="320"/>
      <c r="J65" s="320"/>
    </row>
    <row r="66" spans="2:10" x14ac:dyDescent="0.3">
      <c r="B66" s="89"/>
      <c r="C66" s="89"/>
      <c r="D66" s="89"/>
      <c r="E66" s="89"/>
      <c r="F66" s="317"/>
      <c r="G66" s="318"/>
      <c r="H66" s="318"/>
      <c r="I66" s="318"/>
      <c r="J66" s="318"/>
    </row>
    <row r="67" spans="2:10" x14ac:dyDescent="0.3">
      <c r="B67" s="89" t="s">
        <v>186</v>
      </c>
      <c r="C67" s="89" t="s">
        <v>13</v>
      </c>
      <c r="D67" s="89"/>
      <c r="E67" s="89"/>
      <c r="F67" s="157">
        <v>0.05</v>
      </c>
      <c r="G67" s="220">
        <v>0.05</v>
      </c>
      <c r="H67" s="220">
        <v>0.05</v>
      </c>
      <c r="I67" s="220">
        <v>0.05</v>
      </c>
      <c r="J67" s="220">
        <v>0.05</v>
      </c>
    </row>
    <row r="68" spans="2:10" x14ac:dyDescent="0.3">
      <c r="B68" s="89" t="s">
        <v>187</v>
      </c>
      <c r="C68" s="89" t="s">
        <v>13</v>
      </c>
      <c r="D68" s="89"/>
      <c r="E68" s="89"/>
      <c r="F68" s="157">
        <v>0.05</v>
      </c>
      <c r="G68" s="220">
        <v>0.05</v>
      </c>
      <c r="H68" s="220">
        <v>0.05</v>
      </c>
      <c r="I68" s="220">
        <v>0.05</v>
      </c>
      <c r="J68" s="220">
        <v>0.05</v>
      </c>
    </row>
    <row r="69" spans="2:10" x14ac:dyDescent="0.3">
      <c r="B69" s="89" t="s">
        <v>336</v>
      </c>
      <c r="C69" s="89" t="s">
        <v>13</v>
      </c>
      <c r="D69" s="89"/>
      <c r="E69" s="89"/>
      <c r="F69" s="157">
        <v>0.03</v>
      </c>
      <c r="G69" s="157">
        <v>0.03</v>
      </c>
      <c r="H69" s="157">
        <v>0.03</v>
      </c>
      <c r="I69" s="157">
        <v>0.03</v>
      </c>
      <c r="J69" s="157">
        <v>0.03</v>
      </c>
    </row>
    <row r="70" spans="2:10" x14ac:dyDescent="0.3">
      <c r="B70" s="89" t="s">
        <v>332</v>
      </c>
      <c r="C70" s="89" t="s">
        <v>66</v>
      </c>
      <c r="D70" s="89"/>
      <c r="E70" s="89"/>
      <c r="F70" s="314">
        <v>0</v>
      </c>
      <c r="G70" s="314">
        <v>0</v>
      </c>
      <c r="H70" s="314">
        <v>0</v>
      </c>
      <c r="I70" s="314">
        <v>0</v>
      </c>
      <c r="J70" s="314">
        <v>0</v>
      </c>
    </row>
    <row r="71" spans="2:10" x14ac:dyDescent="0.3">
      <c r="B71" s="89" t="s">
        <v>333</v>
      </c>
      <c r="C71" s="89" t="s">
        <v>66</v>
      </c>
      <c r="D71" s="89"/>
      <c r="E71" s="89"/>
      <c r="F71" s="314">
        <v>0</v>
      </c>
      <c r="G71" s="314">
        <v>0</v>
      </c>
      <c r="H71" s="314">
        <v>0</v>
      </c>
      <c r="I71" s="314">
        <v>0</v>
      </c>
      <c r="J71" s="314">
        <v>0</v>
      </c>
    </row>
    <row r="72" spans="2:10" x14ac:dyDescent="0.3">
      <c r="B72" s="89" t="s">
        <v>334</v>
      </c>
      <c r="C72" s="89" t="s">
        <v>66</v>
      </c>
      <c r="D72" s="89"/>
      <c r="E72" s="89"/>
      <c r="F72" s="314">
        <v>0</v>
      </c>
      <c r="G72" s="314">
        <v>0</v>
      </c>
      <c r="H72" s="314">
        <v>0</v>
      </c>
      <c r="I72" s="314">
        <v>0</v>
      </c>
      <c r="J72" s="314">
        <v>0</v>
      </c>
    </row>
    <row r="73" spans="2:10" x14ac:dyDescent="0.3">
      <c r="B73" s="89" t="s">
        <v>335</v>
      </c>
      <c r="C73" s="89" t="s">
        <v>66</v>
      </c>
      <c r="D73" s="89"/>
      <c r="E73" s="89"/>
      <c r="F73" s="314">
        <v>0</v>
      </c>
      <c r="G73" s="314">
        <v>0</v>
      </c>
      <c r="H73" s="314">
        <v>0</v>
      </c>
      <c r="I73" s="314">
        <v>0</v>
      </c>
      <c r="J73" s="314">
        <v>0</v>
      </c>
    </row>
    <row r="74" spans="2:10" x14ac:dyDescent="0.3">
      <c r="B74" s="89" t="s">
        <v>390</v>
      </c>
      <c r="C74" s="89" t="s">
        <v>66</v>
      </c>
      <c r="D74" s="89"/>
      <c r="E74" s="89"/>
      <c r="F74" s="314">
        <v>0</v>
      </c>
      <c r="G74" s="314">
        <v>0</v>
      </c>
      <c r="H74" s="314">
        <v>0</v>
      </c>
      <c r="I74" s="314">
        <v>0</v>
      </c>
      <c r="J74" s="314">
        <v>0</v>
      </c>
    </row>
    <row r="75" spans="2:10" x14ac:dyDescent="0.3">
      <c r="B75" s="89"/>
      <c r="C75" s="89"/>
      <c r="D75" s="89"/>
      <c r="E75" s="89"/>
      <c r="F75" s="317"/>
      <c r="G75" s="318"/>
      <c r="H75" s="318"/>
      <c r="I75" s="318"/>
      <c r="J75" s="318"/>
    </row>
    <row r="76" spans="2:10" x14ac:dyDescent="0.3">
      <c r="B76" s="330" t="s">
        <v>382</v>
      </c>
      <c r="F76" s="22"/>
      <c r="G76" s="22"/>
      <c r="H76" s="22"/>
      <c r="I76" s="22"/>
      <c r="J76" s="22"/>
    </row>
    <row r="77" spans="2:10" x14ac:dyDescent="0.3">
      <c r="F77" s="23"/>
      <c r="G77" s="23"/>
      <c r="H77" s="23"/>
      <c r="I77" s="23"/>
      <c r="J77" s="23"/>
    </row>
    <row r="78" spans="2:10" x14ac:dyDescent="0.3">
      <c r="B78" s="89" t="s">
        <v>383</v>
      </c>
      <c r="C78" t="s">
        <v>13</v>
      </c>
      <c r="F78" s="18">
        <v>0.24</v>
      </c>
      <c r="G78" s="18">
        <v>0.24</v>
      </c>
      <c r="H78" s="18">
        <v>0.24</v>
      </c>
      <c r="I78" s="18">
        <v>0.24</v>
      </c>
      <c r="J78" s="18">
        <v>0.24</v>
      </c>
    </row>
    <row r="79" spans="2:10" x14ac:dyDescent="0.3">
      <c r="B79" t="s">
        <v>384</v>
      </c>
      <c r="C79" t="s">
        <v>13</v>
      </c>
      <c r="F79" s="21">
        <v>0.02</v>
      </c>
      <c r="G79" s="21">
        <v>0.04</v>
      </c>
      <c r="H79" s="21">
        <v>0.09</v>
      </c>
      <c r="I79" s="21">
        <v>0.14000000000000001</v>
      </c>
      <c r="J79" s="21">
        <v>0.2</v>
      </c>
    </row>
    <row r="80" spans="2:10" x14ac:dyDescent="0.3">
      <c r="F80" s="7"/>
      <c r="G80" s="7"/>
      <c r="H80" s="7"/>
    </row>
    <row r="81" spans="6:10" x14ac:dyDescent="0.3">
      <c r="F81" s="23"/>
      <c r="G81" s="23"/>
      <c r="H81" s="23"/>
      <c r="I81" s="23"/>
      <c r="J81" s="23"/>
    </row>
    <row r="82" spans="6:10" x14ac:dyDescent="0.3">
      <c r="F82" s="22"/>
      <c r="G82" s="22"/>
      <c r="H82" s="22"/>
      <c r="I82" s="22"/>
      <c r="J82" s="22"/>
    </row>
    <row r="83" spans="6:10" x14ac:dyDescent="0.3">
      <c r="F83" s="28"/>
      <c r="G83" s="28"/>
      <c r="H83" s="28"/>
      <c r="I83" s="28"/>
      <c r="J83" s="28"/>
    </row>
    <row r="84" spans="6:10" x14ac:dyDescent="0.3">
      <c r="F84" s="22"/>
      <c r="G84" s="22"/>
      <c r="H84" s="22"/>
    </row>
    <row r="85" spans="6:10" x14ac:dyDescent="0.3">
      <c r="F85" s="22"/>
      <c r="G85" s="22"/>
      <c r="H85" s="22"/>
      <c r="I85" s="22"/>
      <c r="J85" s="22"/>
    </row>
    <row r="86" spans="6:10" x14ac:dyDescent="0.3">
      <c r="F86" s="22"/>
      <c r="G86" s="22"/>
      <c r="H86" s="22"/>
      <c r="I86" s="22"/>
      <c r="J86" s="22"/>
    </row>
    <row r="87" spans="6:10" x14ac:dyDescent="0.3">
      <c r="F87" s="16"/>
      <c r="G87" s="16"/>
      <c r="H87" s="16"/>
      <c r="I87" s="16"/>
      <c r="J87" s="16"/>
    </row>
    <row r="88" spans="6:10" x14ac:dyDescent="0.3">
      <c r="F88" s="22"/>
      <c r="G88" s="22"/>
      <c r="H88" s="22"/>
    </row>
    <row r="89" spans="6:10" x14ac:dyDescent="0.3">
      <c r="F89" s="22"/>
      <c r="G89" s="22"/>
      <c r="H89" s="22"/>
      <c r="I89" s="22"/>
      <c r="J89" s="22"/>
    </row>
    <row r="90" spans="6:10" x14ac:dyDescent="0.3">
      <c r="F90" s="28"/>
      <c r="G90" s="28"/>
      <c r="H90" s="28"/>
      <c r="I90" s="28"/>
      <c r="J90" s="28"/>
    </row>
    <row r="91" spans="6:10" x14ac:dyDescent="0.3">
      <c r="F91" s="16"/>
      <c r="G91" s="16"/>
      <c r="H91" s="16"/>
      <c r="I91" s="16"/>
      <c r="J91" s="16"/>
    </row>
    <row r="92" spans="6:10" x14ac:dyDescent="0.3">
      <c r="F92" s="16"/>
      <c r="G92" s="16"/>
      <c r="H92" s="16"/>
      <c r="I92" s="16"/>
      <c r="J92" s="16"/>
    </row>
    <row r="93" spans="6:10" x14ac:dyDescent="0.3">
      <c r="F93" s="22"/>
      <c r="G93" s="22"/>
      <c r="H93" s="22"/>
      <c r="I93" s="22"/>
      <c r="J93" s="22"/>
    </row>
    <row r="94" spans="6:10" x14ac:dyDescent="0.3">
      <c r="F94" s="16"/>
      <c r="G94" s="16"/>
      <c r="H94" s="16"/>
      <c r="I94" s="16"/>
      <c r="J94" s="16"/>
    </row>
    <row r="95" spans="6:10" x14ac:dyDescent="0.3">
      <c r="F95" s="16"/>
      <c r="G95" s="16"/>
      <c r="H95" s="16"/>
      <c r="I95" s="16"/>
      <c r="J95" s="16"/>
    </row>
    <row r="96" spans="6:10" x14ac:dyDescent="0.3">
      <c r="F96" s="22"/>
      <c r="G96" s="22"/>
      <c r="H96" s="26"/>
      <c r="I96" s="27"/>
      <c r="J96" s="27"/>
    </row>
    <row r="97" spans="2:10" x14ac:dyDescent="0.3">
      <c r="F97" s="24"/>
      <c r="G97" s="24"/>
      <c r="H97" s="24"/>
      <c r="I97" s="25"/>
      <c r="J97" s="27"/>
    </row>
    <row r="98" spans="2:10" x14ac:dyDescent="0.3">
      <c r="F98" s="19"/>
      <c r="G98" s="19"/>
      <c r="H98" s="19"/>
      <c r="I98" s="19"/>
      <c r="J98" s="19"/>
    </row>
    <row r="99" spans="2:10" x14ac:dyDescent="0.3">
      <c r="F99" s="19"/>
      <c r="G99" s="19"/>
      <c r="H99" s="19"/>
    </row>
    <row r="100" spans="2:10" x14ac:dyDescent="0.3">
      <c r="F100" s="17"/>
      <c r="G100" s="17"/>
      <c r="H100" s="17"/>
      <c r="I100" s="17"/>
      <c r="J100" s="17"/>
    </row>
    <row r="101" spans="2:10" x14ac:dyDescent="0.3">
      <c r="F101" s="16"/>
      <c r="G101" s="16"/>
      <c r="H101" s="16"/>
      <c r="I101" s="16"/>
      <c r="J101" s="16"/>
    </row>
    <row r="102" spans="2:10" x14ac:dyDescent="0.3">
      <c r="F102" s="16"/>
      <c r="G102" s="16"/>
      <c r="H102" s="16"/>
      <c r="I102" s="16"/>
      <c r="J102" s="16"/>
    </row>
    <row r="103" spans="2:10" x14ac:dyDescent="0.3">
      <c r="F103" s="17"/>
      <c r="G103" s="17"/>
      <c r="H103" s="17"/>
    </row>
    <row r="104" spans="2:10" x14ac:dyDescent="0.3">
      <c r="F104" s="18"/>
      <c r="G104" s="18"/>
      <c r="H104" s="18"/>
      <c r="I104" s="18"/>
      <c r="J104" s="18"/>
    </row>
    <row r="105" spans="2:10" x14ac:dyDescent="0.3">
      <c r="F105" s="19"/>
      <c r="G105" s="19"/>
      <c r="H105" s="19"/>
      <c r="I105" s="19"/>
      <c r="J105" s="19"/>
    </row>
    <row r="106" spans="2:10" x14ac:dyDescent="0.3">
      <c r="F106" s="19"/>
      <c r="G106" s="19"/>
      <c r="H106" s="19"/>
      <c r="I106" s="19"/>
      <c r="J106" s="19"/>
    </row>
    <row r="107" spans="2:10" x14ac:dyDescent="0.3">
      <c r="F107" s="27"/>
      <c r="G107" s="27"/>
      <c r="H107" s="27"/>
      <c r="I107" s="27"/>
      <c r="J107" s="27"/>
    </row>
    <row r="108" spans="2:10" x14ac:dyDescent="0.3">
      <c r="F108" s="19"/>
      <c r="G108" s="19"/>
      <c r="H108" s="19"/>
      <c r="I108" s="19"/>
      <c r="J108" s="19"/>
    </row>
    <row r="109" spans="2:10" x14ac:dyDescent="0.3">
      <c r="F109" s="17"/>
      <c r="G109" s="17"/>
      <c r="H109" s="17"/>
      <c r="I109" s="17"/>
      <c r="J109" s="17"/>
    </row>
    <row r="110" spans="2:10" x14ac:dyDescent="0.3">
      <c r="B110" s="5"/>
      <c r="F110" s="7"/>
      <c r="G110" s="7"/>
      <c r="H110" s="7"/>
    </row>
    <row r="111" spans="2:10" x14ac:dyDescent="0.3">
      <c r="B111" s="5"/>
      <c r="F111" s="7"/>
      <c r="G111" s="7"/>
      <c r="H111" s="7"/>
    </row>
    <row r="112" spans="2:10" x14ac:dyDescent="0.3">
      <c r="B112" s="5"/>
      <c r="F112" s="7"/>
      <c r="G112" s="7"/>
      <c r="H112" s="7"/>
    </row>
    <row r="113" spans="6:10" x14ac:dyDescent="0.3">
      <c r="F113" s="7"/>
      <c r="G113" s="7"/>
      <c r="H113" s="7"/>
    </row>
    <row r="114" spans="6:10" x14ac:dyDescent="0.3">
      <c r="F114" s="20"/>
      <c r="G114" s="20"/>
      <c r="H114" s="20"/>
    </row>
    <row r="115" spans="6:10" x14ac:dyDescent="0.3">
      <c r="F115" s="20"/>
      <c r="G115" s="20"/>
      <c r="H115" s="20"/>
      <c r="I115" s="20"/>
      <c r="J115" s="20"/>
    </row>
    <row r="116" spans="6:10" x14ac:dyDescent="0.3">
      <c r="F116" s="20"/>
      <c r="G116" s="20"/>
      <c r="H116" s="20"/>
      <c r="I116" s="20"/>
      <c r="J116" s="20"/>
    </row>
    <row r="117" spans="6:10" x14ac:dyDescent="0.3">
      <c r="F117" s="20"/>
      <c r="G117" s="20"/>
      <c r="H117" s="20"/>
      <c r="I117" s="20"/>
      <c r="J117" s="20"/>
    </row>
    <row r="118" spans="6:10" x14ac:dyDescent="0.3">
      <c r="F118" s="20"/>
      <c r="G118" s="20"/>
      <c r="H118" s="20"/>
      <c r="I118" s="20"/>
      <c r="J118" s="20"/>
    </row>
    <row r="119" spans="6:10" x14ac:dyDescent="0.3">
      <c r="F119" s="20"/>
      <c r="G119" s="20"/>
      <c r="H119" s="20"/>
      <c r="I119" s="20"/>
      <c r="J119" s="20"/>
    </row>
    <row r="120" spans="6:10" x14ac:dyDescent="0.3">
      <c r="F120" s="17"/>
      <c r="G120" s="17"/>
      <c r="H120" s="17"/>
    </row>
    <row r="121" spans="6:10" x14ac:dyDescent="0.3">
      <c r="F121" s="13"/>
      <c r="G121" s="13"/>
      <c r="H121" s="13"/>
    </row>
    <row r="122" spans="6:10" x14ac:dyDescent="0.3">
      <c r="F122" s="20"/>
      <c r="G122" s="20"/>
      <c r="H122" s="20"/>
    </row>
    <row r="123" spans="6:10" x14ac:dyDescent="0.3">
      <c r="F123" s="20"/>
      <c r="G123" s="20"/>
      <c r="H123" s="20"/>
      <c r="I123" s="20"/>
      <c r="J123" s="20"/>
    </row>
    <row r="124" spans="6:10" x14ac:dyDescent="0.3">
      <c r="F124" s="20"/>
      <c r="G124" s="20"/>
      <c r="H124" s="20"/>
      <c r="I124" s="20"/>
      <c r="J124" s="20"/>
    </row>
    <row r="125" spans="6:10" x14ac:dyDescent="0.3">
      <c r="F125" s="20"/>
      <c r="G125" s="20"/>
      <c r="H125" s="20"/>
      <c r="I125" s="20"/>
      <c r="J125" s="20"/>
    </row>
    <row r="126" spans="6:10" x14ac:dyDescent="0.3">
      <c r="F126" s="20"/>
      <c r="G126" s="20"/>
      <c r="H126" s="20"/>
      <c r="I126" s="20"/>
      <c r="J126" s="20"/>
    </row>
    <row r="127" spans="6:10" x14ac:dyDescent="0.3">
      <c r="F127" s="20"/>
      <c r="G127" s="20"/>
      <c r="H127" s="20"/>
      <c r="I127" s="20"/>
      <c r="J127" s="20"/>
    </row>
    <row r="128" spans="6:10" x14ac:dyDescent="0.3">
      <c r="F128" s="18"/>
      <c r="G128" s="18"/>
      <c r="H128" s="18"/>
      <c r="I128" s="18"/>
      <c r="J128" s="18"/>
    </row>
    <row r="129" spans="2:10" x14ac:dyDescent="0.3">
      <c r="F129" s="18"/>
      <c r="G129" s="18"/>
      <c r="H129" s="18"/>
      <c r="I129" s="18"/>
      <c r="J129" s="18"/>
    </row>
    <row r="130" spans="2:10" x14ac:dyDescent="0.3">
      <c r="F130" s="18"/>
      <c r="G130" s="18"/>
      <c r="H130" s="18"/>
      <c r="I130" s="18"/>
      <c r="J130" s="18"/>
    </row>
    <row r="131" spans="2:10" x14ac:dyDescent="0.3">
      <c r="F131" s="18"/>
      <c r="G131" s="18"/>
      <c r="H131" s="18"/>
      <c r="I131" s="18"/>
      <c r="J131" s="18"/>
    </row>
    <row r="132" spans="2:10" x14ac:dyDescent="0.3">
      <c r="F132" s="18"/>
      <c r="G132" s="18"/>
      <c r="H132" s="18"/>
      <c r="I132" s="18"/>
      <c r="J132" s="18"/>
    </row>
    <row r="133" spans="2:10" x14ac:dyDescent="0.3">
      <c r="F133" s="17"/>
      <c r="G133" s="17"/>
      <c r="H133" s="17"/>
    </row>
    <row r="134" spans="2:10" x14ac:dyDescent="0.3">
      <c r="F134" s="16"/>
      <c r="G134" s="16"/>
      <c r="H134" s="16"/>
      <c r="I134" s="16"/>
      <c r="J134" s="16"/>
    </row>
    <row r="135" spans="2:10" x14ac:dyDescent="0.3">
      <c r="F135" s="17"/>
      <c r="G135" s="17"/>
      <c r="H135" s="17"/>
    </row>
    <row r="136" spans="2:10" x14ac:dyDescent="0.3">
      <c r="B136" s="5"/>
      <c r="F136" s="17"/>
      <c r="G136" s="17"/>
      <c r="H136" s="17"/>
    </row>
    <row r="137" spans="2:10" x14ac:dyDescent="0.3">
      <c r="B137" s="5"/>
      <c r="F137" s="17"/>
      <c r="G137" s="17"/>
      <c r="H137" s="17"/>
    </row>
    <row r="138" spans="2:10" x14ac:dyDescent="0.3">
      <c r="F138" s="18"/>
      <c r="G138" s="18"/>
      <c r="H138" s="18"/>
      <c r="I138" s="18"/>
      <c r="J138" s="18"/>
    </row>
    <row r="139" spans="2:10" x14ac:dyDescent="0.3">
      <c r="F139" s="17"/>
      <c r="G139" s="17"/>
      <c r="H139" s="17"/>
      <c r="I139" s="17"/>
      <c r="J139" s="17"/>
    </row>
    <row r="140" spans="2:10" x14ac:dyDescent="0.3">
      <c r="F140" s="17"/>
      <c r="G140" s="17"/>
      <c r="H140" s="17"/>
      <c r="I140" s="17"/>
      <c r="J140" s="17"/>
    </row>
    <row r="141" spans="2:10" x14ac:dyDescent="0.3">
      <c r="F141" s="17"/>
      <c r="G141" s="17"/>
      <c r="H141" s="17"/>
      <c r="I141" s="17"/>
      <c r="J141" s="17"/>
    </row>
    <row r="142" spans="2:10" x14ac:dyDescent="0.3">
      <c r="F142" s="29"/>
      <c r="G142" s="29"/>
      <c r="H142" s="29"/>
      <c r="I142" s="29"/>
      <c r="J142" s="29"/>
    </row>
    <row r="143" spans="2:10" x14ac:dyDescent="0.3">
      <c r="F143" s="16"/>
      <c r="G143" s="29"/>
      <c r="H143" s="29"/>
      <c r="I143" s="29"/>
      <c r="J143" s="29"/>
    </row>
    <row r="144" spans="2:10" x14ac:dyDescent="0.3">
      <c r="F144" s="13"/>
      <c r="G144" s="13"/>
      <c r="H144" s="13"/>
    </row>
    <row r="145" spans="2:10" x14ac:dyDescent="0.3">
      <c r="B145" s="5"/>
      <c r="F145" s="19"/>
      <c r="G145" s="19"/>
      <c r="H145" s="19"/>
    </row>
    <row r="146" spans="2:10" x14ac:dyDescent="0.3">
      <c r="F146" s="7"/>
      <c r="G146" s="7"/>
      <c r="H146" s="7"/>
    </row>
    <row r="147" spans="2:10" x14ac:dyDescent="0.3">
      <c r="F147" s="18"/>
      <c r="G147" s="18"/>
      <c r="H147" s="18"/>
      <c r="I147" s="18"/>
      <c r="J147" s="18"/>
    </row>
    <row r="148" spans="2:10" x14ac:dyDescent="0.3">
      <c r="F148" s="18"/>
      <c r="G148" s="7"/>
      <c r="H148" s="7"/>
    </row>
    <row r="149" spans="2:10" x14ac:dyDescent="0.3">
      <c r="F149" s="18"/>
      <c r="G149" s="7"/>
      <c r="H149" s="7"/>
    </row>
    <row r="150" spans="2:10" x14ac:dyDescent="0.3">
      <c r="F150" s="18"/>
      <c r="G150" s="7"/>
      <c r="H150" s="7"/>
    </row>
    <row r="151" spans="2:10" x14ac:dyDescent="0.3">
      <c r="F151" s="19"/>
      <c r="G151" s="7"/>
      <c r="H151" s="7"/>
    </row>
    <row r="152" spans="2:10" x14ac:dyDescent="0.3">
      <c r="F152" s="7"/>
      <c r="G152" s="7"/>
      <c r="H152" s="7"/>
    </row>
    <row r="153" spans="2:10" x14ac:dyDescent="0.3">
      <c r="B153" s="5"/>
      <c r="F153" s="7"/>
      <c r="G153" s="7"/>
      <c r="H153" s="7"/>
    </row>
    <row r="154" spans="2:10" x14ac:dyDescent="0.3">
      <c r="F154" s="7"/>
      <c r="G154" s="7"/>
      <c r="H154" s="7"/>
    </row>
    <row r="155" spans="2:10" x14ac:dyDescent="0.3">
      <c r="F155" s="18"/>
      <c r="G155" s="7"/>
      <c r="H155" s="7"/>
    </row>
    <row r="156" spans="2:10" x14ac:dyDescent="0.3">
      <c r="F156" s="13"/>
      <c r="G156" s="13"/>
      <c r="H156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95AF-FDE0-40AF-9B1D-946EE3A6BF23}">
  <dimension ref="B2:Q793"/>
  <sheetViews>
    <sheetView showGridLines="0" tabSelected="1" showWhiteSpace="0" topLeftCell="A572" zoomScale="77" zoomScaleNormal="79" zoomScalePageLayoutView="50" workbookViewId="0">
      <selection activeCell="I41" sqref="I41"/>
    </sheetView>
  </sheetViews>
  <sheetFormatPr defaultRowHeight="14.4" x14ac:dyDescent="0.3"/>
  <cols>
    <col min="2" max="2" width="52.33203125" bestFit="1" customWidth="1"/>
    <col min="3" max="3" width="13.33203125" bestFit="1" customWidth="1"/>
    <col min="5" max="5" width="12.44140625" bestFit="1" customWidth="1"/>
    <col min="6" max="11" width="13.33203125" bestFit="1" customWidth="1"/>
    <col min="12" max="12" width="8.88671875" customWidth="1"/>
    <col min="17" max="17" width="14" bestFit="1" customWidth="1"/>
  </cols>
  <sheetData>
    <row r="2" spans="2:11" ht="24.6" x14ac:dyDescent="0.4">
      <c r="B2" s="59" t="s">
        <v>339</v>
      </c>
      <c r="C2" s="68"/>
      <c r="D2" s="69"/>
      <c r="E2" s="69"/>
      <c r="F2" s="69"/>
      <c r="G2" s="69"/>
      <c r="H2" s="69"/>
      <c r="I2" s="69"/>
      <c r="J2" s="69"/>
      <c r="K2" s="69"/>
    </row>
    <row r="3" spans="2:11" ht="17.399999999999999" x14ac:dyDescent="0.3">
      <c r="B3" s="60" t="s">
        <v>1</v>
      </c>
      <c r="C3" s="69"/>
      <c r="D3" s="69"/>
      <c r="E3" s="69"/>
      <c r="F3" s="69"/>
      <c r="G3" s="69"/>
      <c r="H3" s="69"/>
      <c r="I3" s="69"/>
      <c r="J3" s="69"/>
      <c r="K3" s="69"/>
    </row>
    <row r="4" spans="2:11" x14ac:dyDescent="0.3">
      <c r="B4" s="61"/>
      <c r="C4" s="61"/>
      <c r="D4" s="61"/>
      <c r="E4" s="61"/>
      <c r="F4" s="61"/>
      <c r="G4" s="61"/>
      <c r="H4" s="61"/>
      <c r="I4" s="61"/>
      <c r="J4" s="63"/>
      <c r="K4" s="63"/>
    </row>
    <row r="5" spans="2:11" x14ac:dyDescent="0.3">
      <c r="B5" s="215" t="s">
        <v>340</v>
      </c>
      <c r="C5" s="61"/>
      <c r="D5" s="61"/>
      <c r="E5" s="61"/>
      <c r="F5" s="61"/>
      <c r="G5" s="61"/>
      <c r="H5" s="61"/>
      <c r="I5" s="61"/>
      <c r="J5" s="63"/>
      <c r="K5" s="63"/>
    </row>
    <row r="6" spans="2:11" x14ac:dyDescent="0.3">
      <c r="B6" s="63"/>
      <c r="C6" s="63"/>
      <c r="D6" s="63"/>
      <c r="E6" s="63"/>
      <c r="F6" s="63"/>
      <c r="G6" s="63"/>
      <c r="H6" s="63"/>
      <c r="I6" s="63"/>
      <c r="J6" s="63"/>
      <c r="K6" s="63"/>
    </row>
    <row r="7" spans="2:11" x14ac:dyDescent="0.3">
      <c r="B7" s="63"/>
      <c r="C7" s="63"/>
      <c r="D7" s="63"/>
      <c r="E7" s="70">
        <v>2024</v>
      </c>
      <c r="F7" s="70">
        <v>2025</v>
      </c>
      <c r="G7" s="71">
        <f>F7+1</f>
        <v>2026</v>
      </c>
      <c r="H7" s="71">
        <f t="shared" ref="H7:K7" si="0">G7+1</f>
        <v>2027</v>
      </c>
      <c r="I7" s="71">
        <f t="shared" si="0"/>
        <v>2028</v>
      </c>
      <c r="J7" s="71">
        <f t="shared" si="0"/>
        <v>2029</v>
      </c>
      <c r="K7" s="71">
        <f t="shared" si="0"/>
        <v>2030</v>
      </c>
    </row>
    <row r="8" spans="2:11" x14ac:dyDescent="0.3">
      <c r="B8" s="63"/>
      <c r="C8" s="63"/>
      <c r="D8" s="63"/>
      <c r="E8" s="213" t="s">
        <v>341</v>
      </c>
      <c r="F8" s="213"/>
      <c r="G8" s="214"/>
      <c r="H8" s="214"/>
      <c r="I8" s="214"/>
      <c r="J8" s="214"/>
      <c r="K8" s="214" t="s">
        <v>342</v>
      </c>
    </row>
    <row r="9" spans="2:11" x14ac:dyDescent="0.3">
      <c r="B9" s="63"/>
      <c r="C9" s="63"/>
      <c r="D9" s="63"/>
      <c r="E9" s="72"/>
      <c r="F9" s="72"/>
      <c r="G9" s="73"/>
      <c r="H9" s="73"/>
      <c r="I9" s="73"/>
      <c r="J9" s="73"/>
      <c r="K9" s="73"/>
    </row>
    <row r="10" spans="2:11" x14ac:dyDescent="0.3">
      <c r="B10" s="88" t="s">
        <v>26</v>
      </c>
      <c r="C10" s="89"/>
      <c r="D10" s="89"/>
      <c r="E10" s="90">
        <v>22181</v>
      </c>
      <c r="F10" s="90">
        <v>22221</v>
      </c>
      <c r="G10" s="91">
        <f>G231</f>
        <v>24370.592712015896</v>
      </c>
      <c r="H10" s="91">
        <f t="shared" ref="H10:K10" si="1">H231</f>
        <v>26600.522082578962</v>
      </c>
      <c r="I10" s="91">
        <f t="shared" si="1"/>
        <v>28895.026823702039</v>
      </c>
      <c r="J10" s="91">
        <f t="shared" si="1"/>
        <v>31235.841526457687</v>
      </c>
      <c r="K10" s="91">
        <f t="shared" si="1"/>
        <v>33766.402694557357</v>
      </c>
    </row>
    <row r="11" spans="2:11" x14ac:dyDescent="0.3">
      <c r="B11" s="89" t="s">
        <v>30</v>
      </c>
      <c r="C11" s="92"/>
      <c r="D11" s="92"/>
      <c r="E11" s="90">
        <v>-2376</v>
      </c>
      <c r="F11" s="90">
        <v>-2455</v>
      </c>
      <c r="G11" s="93">
        <f>-G290</f>
        <v>-2632.8187187500002</v>
      </c>
      <c r="H11" s="93">
        <f t="shared" ref="H11:K11" si="2">-H290</f>
        <v>-2867.8324317500001</v>
      </c>
      <c r="I11" s="93">
        <f t="shared" si="2"/>
        <v>-3060.6776175980808</v>
      </c>
      <c r="J11" s="93">
        <f t="shared" si="2"/>
        <v>-3468.9196730606054</v>
      </c>
      <c r="K11" s="93">
        <f t="shared" si="2"/>
        <v>-4013.9345208243785</v>
      </c>
    </row>
    <row r="12" spans="2:11" x14ac:dyDescent="0.3">
      <c r="B12" s="89" t="s">
        <v>27</v>
      </c>
      <c r="C12" s="89"/>
      <c r="D12" s="89"/>
      <c r="E12" s="90">
        <v>-8610</v>
      </c>
      <c r="F12" s="90">
        <v>-7691</v>
      </c>
      <c r="G12" s="93">
        <f>-G281</f>
        <v>-10854.289116</v>
      </c>
      <c r="H12" s="93">
        <f t="shared" ref="H12:K12" si="3">-H281</f>
        <v>-11651.803020000001</v>
      </c>
      <c r="I12" s="93">
        <f t="shared" si="3"/>
        <v>-9863.5541400000002</v>
      </c>
      <c r="J12" s="93">
        <f t="shared" si="3"/>
        <v>-10098.14256</v>
      </c>
      <c r="K12" s="93">
        <f t="shared" si="3"/>
        <v>-11360.410379999999</v>
      </c>
    </row>
    <row r="13" spans="2:11" x14ac:dyDescent="0.3">
      <c r="B13" s="89" t="s">
        <v>28</v>
      </c>
      <c r="C13" s="89"/>
      <c r="D13" s="89"/>
      <c r="E13" s="90">
        <v>-4458</v>
      </c>
      <c r="F13" s="90">
        <v>-3444</v>
      </c>
      <c r="G13" s="93">
        <f>-G292</f>
        <v>-3547.9823076923076</v>
      </c>
      <c r="H13" s="93">
        <f t="shared" ref="H13:K13" si="4">-H292</f>
        <v>-3841.4375999999997</v>
      </c>
      <c r="I13" s="93">
        <f t="shared" si="4"/>
        <v>-4148.4116519999998</v>
      </c>
      <c r="J13" s="93">
        <f t="shared" si="4"/>
        <v>-4587.8766595199995</v>
      </c>
      <c r="K13" s="93">
        <f t="shared" si="4"/>
        <v>-5316.2020792187996</v>
      </c>
    </row>
    <row r="14" spans="2:11" x14ac:dyDescent="0.3">
      <c r="B14" s="89" t="s">
        <v>29</v>
      </c>
      <c r="C14" s="89"/>
      <c r="D14" s="89"/>
      <c r="E14" s="90">
        <v>-3666</v>
      </c>
      <c r="F14" s="90">
        <v>-3206</v>
      </c>
      <c r="G14" s="93">
        <f>-G296</f>
        <v>-3485.598433532713</v>
      </c>
      <c r="H14" s="93">
        <f t="shared" ref="H14:K14" si="5">-H296</f>
        <v>-3773.893926146055</v>
      </c>
      <c r="I14" s="93">
        <f t="shared" si="5"/>
        <v>-4075.4704792383773</v>
      </c>
      <c r="J14" s="93">
        <f t="shared" si="5"/>
        <v>-4507.2084105361446</v>
      </c>
      <c r="K14" s="93">
        <f t="shared" si="5"/>
        <v>-5222.7277457087566</v>
      </c>
    </row>
    <row r="15" spans="2:11" x14ac:dyDescent="0.3">
      <c r="B15" s="94" t="s">
        <v>14</v>
      </c>
      <c r="C15" s="95"/>
      <c r="D15" s="95"/>
      <c r="E15" s="96">
        <v>-1581</v>
      </c>
      <c r="F15" s="96">
        <v>-1044</v>
      </c>
      <c r="G15" s="97">
        <f>-G301</f>
        <v>-1144.9934202486204</v>
      </c>
      <c r="H15" s="97">
        <f t="shared" ref="H15:K15" si="6">-H301</f>
        <v>-1249.7612643090965</v>
      </c>
      <c r="I15" s="97">
        <f t="shared" si="6"/>
        <v>-1357.5630261439596</v>
      </c>
      <c r="J15" s="97">
        <f t="shared" si="6"/>
        <v>-1467.5405496432124</v>
      </c>
      <c r="K15" s="97">
        <f t="shared" si="6"/>
        <v>-1586.4328523971863</v>
      </c>
    </row>
    <row r="16" spans="2:11" x14ac:dyDescent="0.3">
      <c r="B16" s="98" t="s">
        <v>3</v>
      </c>
      <c r="C16" s="98"/>
      <c r="D16" s="98"/>
      <c r="E16" s="99">
        <f t="shared" ref="E16:K16" si="7">SUM(E11:E15)</f>
        <v>-20691</v>
      </c>
      <c r="F16" s="99">
        <f t="shared" si="7"/>
        <v>-17840</v>
      </c>
      <c r="G16" s="99">
        <f t="shared" si="7"/>
        <v>-21665.68199622364</v>
      </c>
      <c r="H16" s="99">
        <f t="shared" si="7"/>
        <v>-23384.728242205154</v>
      </c>
      <c r="I16" s="99">
        <f t="shared" si="7"/>
        <v>-22505.676914980417</v>
      </c>
      <c r="J16" s="99">
        <f t="shared" si="7"/>
        <v>-24129.687852759962</v>
      </c>
      <c r="K16" s="99">
        <f t="shared" si="7"/>
        <v>-27499.707578149115</v>
      </c>
    </row>
    <row r="17" spans="2:11" ht="15" thickBot="1" x14ac:dyDescent="0.35">
      <c r="B17" s="100" t="s">
        <v>2</v>
      </c>
      <c r="C17" s="100"/>
      <c r="D17" s="100"/>
      <c r="E17" s="101">
        <v>1236</v>
      </c>
      <c r="F17" s="101">
        <v>179</v>
      </c>
      <c r="G17" s="102">
        <f>F17</f>
        <v>179</v>
      </c>
      <c r="H17" s="102">
        <f t="shared" ref="H17:K17" si="8">G17</f>
        <v>179</v>
      </c>
      <c r="I17" s="102">
        <f t="shared" si="8"/>
        <v>179</v>
      </c>
      <c r="J17" s="102">
        <f t="shared" si="8"/>
        <v>179</v>
      </c>
      <c r="K17" s="102">
        <f t="shared" si="8"/>
        <v>179</v>
      </c>
    </row>
    <row r="18" spans="2:11" x14ac:dyDescent="0.3">
      <c r="B18" s="92" t="s">
        <v>31</v>
      </c>
      <c r="C18" s="92"/>
      <c r="D18" s="92"/>
      <c r="E18" s="99">
        <f t="shared" ref="E18:K18" si="9">E10+E16+E17</f>
        <v>2726</v>
      </c>
      <c r="F18" s="99">
        <f t="shared" si="9"/>
        <v>4560</v>
      </c>
      <c r="G18" s="99">
        <f t="shared" si="9"/>
        <v>2883.9107157922554</v>
      </c>
      <c r="H18" s="99">
        <f t="shared" si="9"/>
        <v>3394.7938403738081</v>
      </c>
      <c r="I18" s="99">
        <f t="shared" si="9"/>
        <v>6568.3499087216223</v>
      </c>
      <c r="J18" s="99">
        <f t="shared" si="9"/>
        <v>7285.153673697725</v>
      </c>
      <c r="K18" s="99">
        <f t="shared" si="9"/>
        <v>6445.695116408242</v>
      </c>
    </row>
    <row r="19" spans="2:11" x14ac:dyDescent="0.3">
      <c r="B19" s="89" t="s">
        <v>312</v>
      </c>
      <c r="C19" s="92"/>
      <c r="D19" s="92"/>
      <c r="E19" s="103">
        <f>E18/E10</f>
        <v>0.12289797574500699</v>
      </c>
      <c r="F19" s="103">
        <f t="shared" ref="F19:K19" si="10">F18/F10</f>
        <v>0.20521128662076416</v>
      </c>
      <c r="G19" s="103">
        <f t="shared" si="10"/>
        <v>0.11833568226555057</v>
      </c>
      <c r="H19" s="103">
        <f t="shared" si="10"/>
        <v>0.12762132374075108</v>
      </c>
      <c r="I19" s="103">
        <f t="shared" si="10"/>
        <v>0.22731766088321226</v>
      </c>
      <c r="J19" s="103">
        <f t="shared" si="10"/>
        <v>0.23323058760965293</v>
      </c>
      <c r="K19" s="103">
        <f t="shared" si="10"/>
        <v>0.1908907849827661</v>
      </c>
    </row>
    <row r="20" spans="2:11" x14ac:dyDescent="0.3">
      <c r="B20" s="92"/>
      <c r="C20" s="92"/>
      <c r="D20" s="92"/>
      <c r="E20" s="99"/>
      <c r="F20" s="99"/>
      <c r="G20" s="99"/>
      <c r="H20" s="99"/>
      <c r="I20" s="99"/>
      <c r="J20" s="99"/>
      <c r="K20" s="99"/>
    </row>
    <row r="21" spans="2:11" x14ac:dyDescent="0.3">
      <c r="B21" s="89" t="s">
        <v>126</v>
      </c>
      <c r="C21" s="92"/>
      <c r="D21" s="92"/>
      <c r="E21" s="104"/>
      <c r="F21" s="104"/>
      <c r="G21" s="91">
        <f>-G378-G327</f>
        <v>-2325.9157192554549</v>
      </c>
      <c r="H21" s="91">
        <f>-H378-H327</f>
        <v>-2737.56200932619</v>
      </c>
      <c r="I21" s="91">
        <f>-I378-I327</f>
        <v>-3190.819434047361</v>
      </c>
      <c r="J21" s="91">
        <f>-J378-J327</f>
        <v>-3869.7992745480851</v>
      </c>
      <c r="K21" s="91">
        <f>-K378-K327</f>
        <v>-4984.9042923832931</v>
      </c>
    </row>
    <row r="22" spans="2:11" x14ac:dyDescent="0.3">
      <c r="B22" s="94" t="s">
        <v>217</v>
      </c>
      <c r="C22" s="94"/>
      <c r="D22" s="94"/>
      <c r="E22" s="105"/>
      <c r="F22" s="106"/>
      <c r="G22" s="107">
        <f>-G415</f>
        <v>-395.35487226700593</v>
      </c>
      <c r="H22" s="107">
        <f t="shared" ref="H22:K22" si="11">-H415</f>
        <v>-414.469040314979</v>
      </c>
      <c r="I22" s="107">
        <f t="shared" si="11"/>
        <v>-435.27987115483438</v>
      </c>
      <c r="J22" s="107">
        <f t="shared" si="11"/>
        <v>-457.82894678614429</v>
      </c>
      <c r="K22" s="107">
        <f t="shared" si="11"/>
        <v>-482.20478836902493</v>
      </c>
    </row>
    <row r="23" spans="2:11" x14ac:dyDescent="0.3">
      <c r="B23" s="92" t="s">
        <v>350</v>
      </c>
      <c r="C23" s="92"/>
      <c r="D23" s="92"/>
      <c r="E23" s="108">
        <v>-1839</v>
      </c>
      <c r="F23" s="108">
        <v>-1942</v>
      </c>
      <c r="G23" s="109">
        <f>SUM(G21:G22)</f>
        <v>-2721.2705915224606</v>
      </c>
      <c r="H23" s="109">
        <f>SUM(H21:H22)</f>
        <v>-3152.0310496411689</v>
      </c>
      <c r="I23" s="109">
        <f>SUM(I21:I22)</f>
        <v>-3626.0993052021954</v>
      </c>
      <c r="J23" s="109">
        <f>SUM(J21:J22)</f>
        <v>-4327.6282213342292</v>
      </c>
      <c r="K23" s="109">
        <f>SUM(K21:K22)</f>
        <v>-5467.1090807523178</v>
      </c>
    </row>
    <row r="24" spans="2:11" ht="15" thickBot="1" x14ac:dyDescent="0.35">
      <c r="B24" s="110"/>
      <c r="C24" s="110"/>
      <c r="D24" s="110"/>
      <c r="E24" s="111"/>
      <c r="F24" s="111"/>
      <c r="G24" s="112"/>
      <c r="H24" s="112"/>
      <c r="I24" s="112"/>
      <c r="J24" s="112"/>
      <c r="K24" s="112"/>
    </row>
    <row r="25" spans="2:11" x14ac:dyDescent="0.3">
      <c r="B25" s="92" t="s">
        <v>351</v>
      </c>
      <c r="C25" s="92"/>
      <c r="D25" s="92"/>
      <c r="E25" s="109">
        <f>E18+E23</f>
        <v>887</v>
      </c>
      <c r="F25" s="109">
        <f>F18+F23</f>
        <v>2618</v>
      </c>
      <c r="G25" s="109">
        <f>G18+G23</f>
        <v>162.6401242697948</v>
      </c>
      <c r="H25" s="109">
        <f>H18+H23</f>
        <v>242.76279073263913</v>
      </c>
      <c r="I25" s="109">
        <f>I18+I23</f>
        <v>2942.2506035194269</v>
      </c>
      <c r="J25" s="109">
        <f>J18+J23</f>
        <v>2957.5254523634958</v>
      </c>
      <c r="K25" s="109">
        <f>K18+K23</f>
        <v>978.58603565592421</v>
      </c>
    </row>
    <row r="26" spans="2:11" x14ac:dyDescent="0.3">
      <c r="B26" s="89" t="s">
        <v>309</v>
      </c>
      <c r="C26" s="89"/>
      <c r="D26" s="92"/>
      <c r="E26" s="103">
        <f>E25/E10</f>
        <v>3.9989179928767861E-2</v>
      </c>
      <c r="F26" s="103">
        <f>F25/F10</f>
        <v>0.11781647990639485</v>
      </c>
      <c r="G26" s="103">
        <f>G25/G10</f>
        <v>6.6736220243673126E-3</v>
      </c>
      <c r="H26" s="103">
        <f>H25/H10</f>
        <v>9.1262415819886381E-3</v>
      </c>
      <c r="I26" s="103">
        <f>I25/I10</f>
        <v>0.10182550171941543</v>
      </c>
      <c r="J26" s="103">
        <f>J25/J10</f>
        <v>9.4683712934655009E-2</v>
      </c>
      <c r="K26" s="103">
        <f>K25/K10</f>
        <v>2.8981056836524008E-2</v>
      </c>
    </row>
    <row r="27" spans="2:11" x14ac:dyDescent="0.3">
      <c r="B27" s="92"/>
      <c r="C27" s="92"/>
      <c r="D27" s="92"/>
      <c r="E27" s="108"/>
      <c r="F27" s="108"/>
      <c r="G27" s="109"/>
      <c r="H27" s="109"/>
      <c r="I27" s="109"/>
      <c r="J27" s="109"/>
      <c r="K27" s="109"/>
    </row>
    <row r="28" spans="2:11" x14ac:dyDescent="0.3">
      <c r="B28" s="89" t="s">
        <v>32</v>
      </c>
      <c r="C28" s="92"/>
      <c r="D28" s="92"/>
      <c r="E28" s="90">
        <v>42</v>
      </c>
      <c r="F28" s="90">
        <v>117</v>
      </c>
      <c r="G28" s="91">
        <f>G520</f>
        <v>67.436578739495786</v>
      </c>
      <c r="H28" s="91">
        <f t="shared" ref="H28:K28" si="12">H520</f>
        <v>85.752818071295238</v>
      </c>
      <c r="I28" s="91">
        <f t="shared" si="12"/>
        <v>82.851665967275608</v>
      </c>
      <c r="J28" s="91">
        <f t="shared" si="12"/>
        <v>90.089176200861772</v>
      </c>
      <c r="K28" s="91">
        <f t="shared" si="12"/>
        <v>122.33821954097334</v>
      </c>
    </row>
    <row r="29" spans="2:11" x14ac:dyDescent="0.3">
      <c r="B29" s="89" t="s">
        <v>35</v>
      </c>
      <c r="C29" s="92"/>
      <c r="D29" s="92"/>
      <c r="E29" s="90">
        <v>-940</v>
      </c>
      <c r="F29" s="90">
        <v>-911</v>
      </c>
      <c r="G29" s="91">
        <f>G343</f>
        <v>-827.63847983193273</v>
      </c>
      <c r="H29" s="91">
        <f t="shared" ref="H29:K29" si="13">H343</f>
        <v>-767.7247158299183</v>
      </c>
      <c r="I29" s="91">
        <f t="shared" si="13"/>
        <v>-763.9223543939147</v>
      </c>
      <c r="J29" s="91">
        <f t="shared" si="13"/>
        <v>-708.69165284990231</v>
      </c>
      <c r="K29" s="91">
        <f t="shared" si="13"/>
        <v>-820.20563409124509</v>
      </c>
    </row>
    <row r="30" spans="2:11" x14ac:dyDescent="0.3">
      <c r="B30" s="89" t="s">
        <v>33</v>
      </c>
      <c r="C30" s="92"/>
      <c r="D30" s="92"/>
      <c r="E30" s="90">
        <v>-541</v>
      </c>
      <c r="F30" s="90">
        <v>-506</v>
      </c>
      <c r="G30" s="91">
        <f>-G514</f>
        <v>-222.75360000000001</v>
      </c>
      <c r="H30" s="91">
        <f t="shared" ref="H30:K30" si="14">-H514</f>
        <v>-222.75360000000001</v>
      </c>
      <c r="I30" s="91">
        <f t="shared" si="14"/>
        <v>-222.75360000000001</v>
      </c>
      <c r="J30" s="91">
        <f t="shared" si="14"/>
        <v>-222.75360000000001</v>
      </c>
      <c r="K30" s="91">
        <f t="shared" si="14"/>
        <v>-222.75360000000001</v>
      </c>
    </row>
    <row r="31" spans="2:11" x14ac:dyDescent="0.3">
      <c r="B31" s="113" t="s">
        <v>352</v>
      </c>
      <c r="C31" s="113"/>
      <c r="D31" s="113"/>
      <c r="E31" s="114">
        <f>SUM(E28:E30)</f>
        <v>-1439</v>
      </c>
      <c r="F31" s="114">
        <f t="shared" ref="F31:K31" si="15">SUM(F28:F30)</f>
        <v>-1300</v>
      </c>
      <c r="G31" s="114">
        <f t="shared" si="15"/>
        <v>-982.95550109243698</v>
      </c>
      <c r="H31" s="114">
        <f t="shared" si="15"/>
        <v>-904.72549775862308</v>
      </c>
      <c r="I31" s="114">
        <f t="shared" si="15"/>
        <v>-903.8242884266391</v>
      </c>
      <c r="J31" s="114">
        <f t="shared" si="15"/>
        <v>-841.35607664904057</v>
      </c>
      <c r="K31" s="114">
        <f t="shared" si="15"/>
        <v>-920.62101455027175</v>
      </c>
    </row>
    <row r="32" spans="2:11" x14ac:dyDescent="0.3">
      <c r="B32" s="92"/>
      <c r="C32" s="92"/>
      <c r="D32" s="92"/>
      <c r="E32" s="93"/>
      <c r="F32" s="93"/>
      <c r="G32" s="93"/>
      <c r="H32" s="93"/>
      <c r="I32" s="93"/>
      <c r="J32" s="93"/>
      <c r="K32" s="93"/>
    </row>
    <row r="33" spans="2:11" x14ac:dyDescent="0.3">
      <c r="B33" s="89" t="s">
        <v>34</v>
      </c>
      <c r="C33" s="89"/>
      <c r="D33" s="89"/>
      <c r="E33" s="90">
        <v>-396</v>
      </c>
      <c r="F33" s="90">
        <v>-419</v>
      </c>
      <c r="G33" s="115"/>
      <c r="H33" s="115"/>
      <c r="I33" s="115"/>
      <c r="J33" s="115"/>
      <c r="K33" s="115"/>
    </row>
    <row r="34" spans="2:11" x14ac:dyDescent="0.3">
      <c r="B34" s="89" t="s">
        <v>36</v>
      </c>
      <c r="C34" s="89"/>
      <c r="D34" s="89"/>
      <c r="E34" s="90">
        <v>-245</v>
      </c>
      <c r="F34" s="90">
        <v>-239</v>
      </c>
      <c r="G34" s="115"/>
      <c r="H34" s="115"/>
      <c r="I34" s="115"/>
      <c r="J34" s="115"/>
      <c r="K34" s="115"/>
    </row>
    <row r="35" spans="2:11" x14ac:dyDescent="0.3">
      <c r="B35" s="89" t="s">
        <v>37</v>
      </c>
      <c r="C35" s="89"/>
      <c r="D35" s="89"/>
      <c r="E35" s="90">
        <v>279</v>
      </c>
      <c r="F35" s="90">
        <v>1370</v>
      </c>
      <c r="G35" s="115"/>
      <c r="H35" s="115"/>
      <c r="I35" s="115"/>
      <c r="J35" s="115"/>
      <c r="K35" s="115"/>
    </row>
    <row r="36" spans="2:11" x14ac:dyDescent="0.3">
      <c r="B36" s="89" t="s">
        <v>71</v>
      </c>
      <c r="C36" s="89"/>
      <c r="D36" s="89"/>
      <c r="E36" s="90">
        <v>4</v>
      </c>
      <c r="F36" s="90">
        <v>26</v>
      </c>
      <c r="G36" s="93">
        <f>F36</f>
        <v>26</v>
      </c>
      <c r="H36" s="116">
        <f t="shared" ref="H36:K36" si="16">G36</f>
        <v>26</v>
      </c>
      <c r="I36" s="116">
        <f t="shared" si="16"/>
        <v>26</v>
      </c>
      <c r="J36" s="116">
        <f t="shared" si="16"/>
        <v>26</v>
      </c>
      <c r="K36" s="116">
        <f t="shared" si="16"/>
        <v>26</v>
      </c>
    </row>
    <row r="37" spans="2:11" ht="15" thickBot="1" x14ac:dyDescent="0.35">
      <c r="B37" s="100" t="s">
        <v>72</v>
      </c>
      <c r="C37" s="100"/>
      <c r="D37" s="100"/>
      <c r="E37" s="101">
        <v>5</v>
      </c>
      <c r="F37" s="101">
        <v>-16</v>
      </c>
      <c r="G37" s="102">
        <f>F37</f>
        <v>-16</v>
      </c>
      <c r="H37" s="102">
        <f t="shared" ref="H37:K37" si="17">G37</f>
        <v>-16</v>
      </c>
      <c r="I37" s="102">
        <f t="shared" si="17"/>
        <v>-16</v>
      </c>
      <c r="J37" s="102">
        <f t="shared" si="17"/>
        <v>-16</v>
      </c>
      <c r="K37" s="102">
        <f t="shared" si="17"/>
        <v>-16</v>
      </c>
    </row>
    <row r="38" spans="2:11" x14ac:dyDescent="0.3">
      <c r="B38" s="92" t="s">
        <v>17</v>
      </c>
      <c r="C38" s="89"/>
      <c r="D38" s="89"/>
      <c r="E38" s="99">
        <f>E25+E31+SUM(E33:E37)</f>
        <v>-905</v>
      </c>
      <c r="F38" s="99">
        <f t="shared" ref="F38:K38" si="18">F25+F31+SUM(F33:F37)</f>
        <v>2040</v>
      </c>
      <c r="G38" s="99">
        <f t="shared" si="18"/>
        <v>-810.31537682264218</v>
      </c>
      <c r="H38" s="99">
        <f t="shared" si="18"/>
        <v>-651.96270702598395</v>
      </c>
      <c r="I38" s="99">
        <f t="shared" si="18"/>
        <v>2048.4263150927877</v>
      </c>
      <c r="J38" s="99">
        <f t="shared" si="18"/>
        <v>2126.1693757144553</v>
      </c>
      <c r="K38" s="99">
        <f t="shared" si="18"/>
        <v>67.965021105652454</v>
      </c>
    </row>
    <row r="39" spans="2:11" x14ac:dyDescent="0.3">
      <c r="B39" s="92"/>
      <c r="C39" s="89"/>
      <c r="D39" s="89"/>
      <c r="E39" s="117"/>
      <c r="F39" s="117"/>
      <c r="G39" s="117"/>
      <c r="H39" s="117"/>
      <c r="I39" s="117"/>
      <c r="J39" s="117"/>
      <c r="K39" s="117"/>
    </row>
    <row r="40" spans="2:11" ht="15" thickBot="1" x14ac:dyDescent="0.35">
      <c r="B40" s="100" t="s">
        <v>18</v>
      </c>
      <c r="C40" s="100"/>
      <c r="D40" s="100"/>
      <c r="E40" s="101">
        <v>-109</v>
      </c>
      <c r="F40" s="101">
        <v>-78</v>
      </c>
      <c r="G40" s="102">
        <f>-G549</f>
        <v>0</v>
      </c>
      <c r="H40" s="102">
        <f t="shared" ref="H40:K40" si="19">-H549</f>
        <v>0</v>
      </c>
      <c r="I40" s="102">
        <f t="shared" si="19"/>
        <v>-491.62231562226901</v>
      </c>
      <c r="J40" s="102">
        <f t="shared" si="19"/>
        <v>-510.28065017146923</v>
      </c>
      <c r="K40" s="102">
        <f t="shared" si="19"/>
        <v>-16.311605065356588</v>
      </c>
    </row>
    <row r="41" spans="2:11" x14ac:dyDescent="0.3">
      <c r="B41" s="92" t="s">
        <v>353</v>
      </c>
      <c r="C41" s="89"/>
      <c r="D41" s="89"/>
      <c r="E41" s="99">
        <f t="shared" ref="E41:K41" si="20">E38+SUM(E40:E40)</f>
        <v>-1014</v>
      </c>
      <c r="F41" s="99">
        <f t="shared" si="20"/>
        <v>1962</v>
      </c>
      <c r="G41" s="99">
        <f t="shared" si="20"/>
        <v>-810.31537682264218</v>
      </c>
      <c r="H41" s="99">
        <f t="shared" si="20"/>
        <v>-651.96270702598395</v>
      </c>
      <c r="I41" s="99">
        <f t="shared" si="20"/>
        <v>1556.8039994705186</v>
      </c>
      <c r="J41" s="99">
        <f t="shared" si="20"/>
        <v>1615.8887255429861</v>
      </c>
      <c r="K41" s="99">
        <f t="shared" si="20"/>
        <v>51.653416040295866</v>
      </c>
    </row>
    <row r="42" spans="2:11" x14ac:dyDescent="0.3">
      <c r="B42" s="89" t="s">
        <v>354</v>
      </c>
      <c r="C42" s="89"/>
      <c r="D42" s="89"/>
      <c r="E42" s="103">
        <f>E41/E10</f>
        <v>-4.5714800955772961E-2</v>
      </c>
      <c r="F42" s="103">
        <f>F41/F10</f>
        <v>8.8294856217091947E-2</v>
      </c>
      <c r="G42" s="103">
        <f>G41/G10</f>
        <v>-3.3249719709242731E-2</v>
      </c>
      <c r="H42" s="103">
        <f>H41/H10</f>
        <v>-2.4509395154050869E-2</v>
      </c>
      <c r="I42" s="103">
        <f>I41/I10</f>
        <v>5.3877921933386197E-2</v>
      </c>
      <c r="J42" s="103">
        <f>J41/J10</f>
        <v>5.1731877438751898E-2</v>
      </c>
      <c r="K42" s="103">
        <f>K41/K10</f>
        <v>1.5297281296897413E-3</v>
      </c>
    </row>
    <row r="43" spans="2:11" x14ac:dyDescent="0.3">
      <c r="B43" s="89"/>
      <c r="C43" s="89"/>
      <c r="D43" s="89"/>
      <c r="E43" s="89"/>
      <c r="F43" s="89"/>
      <c r="G43" s="89"/>
      <c r="H43" s="89"/>
      <c r="I43" s="89"/>
      <c r="J43" s="89"/>
      <c r="K43" s="89"/>
    </row>
    <row r="44" spans="2:11" ht="15" thickBot="1" x14ac:dyDescent="0.35">
      <c r="B44" s="110" t="s">
        <v>4</v>
      </c>
      <c r="C44" s="100"/>
      <c r="D44" s="100"/>
      <c r="E44" s="100"/>
      <c r="F44" s="100"/>
      <c r="G44" s="100"/>
      <c r="H44" s="100"/>
      <c r="I44" s="100"/>
      <c r="J44" s="100"/>
      <c r="K44" s="100"/>
    </row>
    <row r="45" spans="2:11" x14ac:dyDescent="0.3">
      <c r="B45" s="89" t="s">
        <v>5</v>
      </c>
      <c r="C45" s="89" t="s">
        <v>401</v>
      </c>
      <c r="D45" s="89"/>
      <c r="E45" s="118"/>
      <c r="F45" s="118"/>
      <c r="G45" s="347">
        <f>G41*100000000/G600</f>
        <v>-24.11059911330517</v>
      </c>
      <c r="H45" s="347">
        <f t="shared" ref="H45:K45" si="21">H41*100000000/H600</f>
        <v>-19.398880874710674</v>
      </c>
      <c r="I45" s="347">
        <f t="shared" si="21"/>
        <v>46.322059537368759</v>
      </c>
      <c r="J45" s="347">
        <f t="shared" si="21"/>
        <v>48.08010114042785</v>
      </c>
      <c r="K45" s="347">
        <f t="shared" si="21"/>
        <v>1.5369260446021702</v>
      </c>
    </row>
    <row r="46" spans="2:11" x14ac:dyDescent="0.3">
      <c r="B46" s="89" t="s">
        <v>6</v>
      </c>
      <c r="C46" s="89" t="s">
        <v>401</v>
      </c>
      <c r="D46" s="89"/>
      <c r="E46" s="118"/>
      <c r="F46" s="118"/>
      <c r="G46" s="347">
        <f>G41*100000000/G602</f>
        <v>-24.11059911330517</v>
      </c>
      <c r="H46" s="347">
        <f t="shared" ref="H46:K46" si="22">H41*100000000/H602</f>
        <v>-19.398880874710674</v>
      </c>
      <c r="I46" s="347">
        <f t="shared" si="22"/>
        <v>46.322059537368759</v>
      </c>
      <c r="J46" s="347">
        <f t="shared" si="22"/>
        <v>48.08010114042785</v>
      </c>
      <c r="K46" s="347">
        <f t="shared" si="22"/>
        <v>1.5369260446021702</v>
      </c>
    </row>
    <row r="47" spans="2:11" x14ac:dyDescent="0.3">
      <c r="B47" s="64"/>
      <c r="C47" s="64"/>
      <c r="D47" s="64"/>
      <c r="E47" s="64"/>
      <c r="F47" s="64"/>
      <c r="G47" s="64"/>
      <c r="H47" s="64"/>
      <c r="I47" s="64"/>
      <c r="J47" s="64"/>
      <c r="K47" s="64"/>
    </row>
    <row r="48" spans="2:11" x14ac:dyDescent="0.3">
      <c r="B48" s="64"/>
      <c r="C48" s="64"/>
      <c r="D48" s="64"/>
      <c r="E48" s="64"/>
      <c r="F48" s="64"/>
      <c r="G48" s="64"/>
      <c r="H48" s="64"/>
      <c r="I48" s="64"/>
      <c r="J48" s="64"/>
      <c r="K48" s="64"/>
    </row>
    <row r="49" spans="2:11" ht="24.6" x14ac:dyDescent="0.4">
      <c r="B49" s="59" t="s">
        <v>339</v>
      </c>
      <c r="C49" s="68"/>
      <c r="D49" s="69"/>
      <c r="E49" s="69"/>
      <c r="F49" s="69"/>
      <c r="G49" s="69"/>
      <c r="H49" s="69"/>
      <c r="I49" s="69"/>
      <c r="J49" s="69"/>
      <c r="K49" s="69"/>
    </row>
    <row r="50" spans="2:11" ht="17.399999999999999" x14ac:dyDescent="0.3">
      <c r="B50" s="60" t="s">
        <v>7</v>
      </c>
      <c r="C50" s="69"/>
      <c r="D50" s="69"/>
      <c r="E50" s="69"/>
      <c r="F50" s="69"/>
      <c r="G50" s="69"/>
      <c r="H50" s="69"/>
      <c r="I50" s="69"/>
      <c r="J50" s="69"/>
      <c r="K50" s="69"/>
    </row>
    <row r="51" spans="2:11" x14ac:dyDescent="0.3">
      <c r="B51" s="61"/>
      <c r="C51" s="61"/>
      <c r="D51" s="61"/>
      <c r="E51" s="61"/>
      <c r="F51" s="61"/>
      <c r="G51" s="61"/>
      <c r="H51" s="61"/>
      <c r="I51" s="61"/>
      <c r="J51" s="63"/>
      <c r="K51" s="63"/>
    </row>
    <row r="52" spans="2:11" x14ac:dyDescent="0.3">
      <c r="B52" s="215" t="s">
        <v>340</v>
      </c>
      <c r="C52" s="61"/>
      <c r="D52" s="61"/>
      <c r="E52" s="61"/>
      <c r="F52" s="61"/>
      <c r="G52" s="61"/>
      <c r="H52" s="61"/>
      <c r="I52" s="61"/>
      <c r="J52" s="63"/>
      <c r="K52" s="63"/>
    </row>
    <row r="53" spans="2:11" x14ac:dyDescent="0.3">
      <c r="B53" s="63"/>
      <c r="C53" s="63"/>
      <c r="D53" s="63"/>
      <c r="E53" s="63"/>
      <c r="F53" s="63"/>
      <c r="G53" s="63"/>
      <c r="H53" s="63"/>
      <c r="I53" s="63"/>
      <c r="J53" s="63"/>
      <c r="K53" s="63"/>
    </row>
    <row r="54" spans="2:11" x14ac:dyDescent="0.3">
      <c r="B54" s="63"/>
      <c r="C54" s="63"/>
      <c r="D54" s="63"/>
      <c r="E54" s="70">
        <v>2024</v>
      </c>
      <c r="F54" s="70">
        <v>2025</v>
      </c>
      <c r="G54" s="71">
        <f>F54+1</f>
        <v>2026</v>
      </c>
      <c r="H54" s="71">
        <f t="shared" ref="H54:K54" si="23">G54+1</f>
        <v>2027</v>
      </c>
      <c r="I54" s="71">
        <f t="shared" si="23"/>
        <v>2028</v>
      </c>
      <c r="J54" s="71">
        <f t="shared" si="23"/>
        <v>2029</v>
      </c>
      <c r="K54" s="71">
        <f t="shared" si="23"/>
        <v>2030</v>
      </c>
    </row>
    <row r="55" spans="2:11" x14ac:dyDescent="0.3">
      <c r="B55" s="63"/>
      <c r="C55" s="63"/>
      <c r="D55" s="63"/>
      <c r="E55" s="213" t="s">
        <v>341</v>
      </c>
      <c r="F55" s="213"/>
      <c r="G55" s="214"/>
      <c r="H55" s="214"/>
      <c r="I55" s="214"/>
      <c r="J55" s="214"/>
      <c r="K55" s="214" t="s">
        <v>342</v>
      </c>
    </row>
    <row r="56" spans="2:11" x14ac:dyDescent="0.3">
      <c r="B56" s="92" t="s">
        <v>8</v>
      </c>
      <c r="C56" s="89"/>
      <c r="D56" s="89"/>
      <c r="E56" s="120"/>
      <c r="F56" s="120"/>
      <c r="G56" s="121"/>
      <c r="H56" s="121"/>
      <c r="I56" s="121"/>
      <c r="J56" s="121"/>
      <c r="K56" s="121"/>
    </row>
    <row r="57" spans="2:11" x14ac:dyDescent="0.3">
      <c r="B57" s="89"/>
      <c r="C57" s="89"/>
      <c r="D57" s="89"/>
      <c r="E57" s="120"/>
      <c r="F57" s="120"/>
      <c r="G57" s="121"/>
      <c r="H57" s="121"/>
      <c r="I57" s="121"/>
      <c r="J57" s="121"/>
      <c r="K57" s="121"/>
    </row>
    <row r="58" spans="2:11" x14ac:dyDescent="0.3">
      <c r="B58" s="89" t="s">
        <v>15</v>
      </c>
      <c r="C58" s="89"/>
      <c r="D58" s="89"/>
      <c r="E58" s="90"/>
      <c r="F58" s="355">
        <f>Sheet1!F13</f>
        <v>1206199.6890756302</v>
      </c>
      <c r="G58" s="353">
        <f>G385 * 1000</f>
        <v>1310639.1977791116</v>
      </c>
      <c r="H58" s="353">
        <f t="shared" ref="H58:K58" si="24">H385 * 1000</f>
        <v>1386338.8939825932</v>
      </c>
      <c r="I58" s="353">
        <f t="shared" si="24"/>
        <v>1431861.7870610747</v>
      </c>
      <c r="J58" s="353">
        <f t="shared" si="24"/>
        <v>1445699.036858306</v>
      </c>
      <c r="K58" s="353">
        <f t="shared" si="24"/>
        <v>1426266.3612102251</v>
      </c>
    </row>
    <row r="59" spans="2:11" x14ac:dyDescent="0.3">
      <c r="B59" s="89" t="s">
        <v>40</v>
      </c>
      <c r="C59" s="89"/>
      <c r="D59" s="89"/>
      <c r="E59" s="90"/>
      <c r="F59" s="355">
        <f>Sheet1!F14</f>
        <v>11204942.571428571</v>
      </c>
      <c r="G59" s="353">
        <f>G334*1000</f>
        <v>10544647.253752576</v>
      </c>
      <c r="H59" s="353">
        <f t="shared" ref="H59:K59" si="25">H334*1000</f>
        <v>10693961.511732198</v>
      </c>
      <c r="I59" s="353">
        <f t="shared" si="25"/>
        <v>9699833.6742241792</v>
      </c>
      <c r="J59" s="353">
        <f t="shared" si="25"/>
        <v>11313279.534931652</v>
      </c>
      <c r="K59" s="353">
        <f t="shared" si="25"/>
        <v>13481360.527013594</v>
      </c>
    </row>
    <row r="60" spans="2:11" x14ac:dyDescent="0.3">
      <c r="B60" s="89" t="s">
        <v>103</v>
      </c>
      <c r="C60" s="89"/>
      <c r="D60" s="89"/>
      <c r="E60" s="90"/>
      <c r="F60" s="355">
        <f>Sheet1!F15</f>
        <v>154490</v>
      </c>
      <c r="G60" s="353">
        <f>F60</f>
        <v>154490</v>
      </c>
      <c r="H60" s="353">
        <f t="shared" ref="H60:K60" si="26">G60</f>
        <v>154490</v>
      </c>
      <c r="I60" s="353">
        <f t="shared" si="26"/>
        <v>154490</v>
      </c>
      <c r="J60" s="353">
        <f t="shared" si="26"/>
        <v>154490</v>
      </c>
      <c r="K60" s="353">
        <f t="shared" si="26"/>
        <v>154490</v>
      </c>
    </row>
    <row r="61" spans="2:11" x14ac:dyDescent="0.3">
      <c r="B61" s="89" t="s">
        <v>104</v>
      </c>
      <c r="C61" s="89"/>
      <c r="D61" s="89"/>
      <c r="E61" s="90"/>
      <c r="F61" s="355">
        <f>Sheet1!F16</f>
        <v>449244</v>
      </c>
      <c r="G61" s="353">
        <f>F61</f>
        <v>449244</v>
      </c>
      <c r="H61" s="353">
        <f t="shared" ref="H61:K61" si="27">G61</f>
        <v>449244</v>
      </c>
      <c r="I61" s="353">
        <f t="shared" si="27"/>
        <v>449244</v>
      </c>
      <c r="J61" s="353">
        <f t="shared" si="27"/>
        <v>449244</v>
      </c>
      <c r="K61" s="353">
        <f t="shared" si="27"/>
        <v>449244</v>
      </c>
    </row>
    <row r="62" spans="2:11" x14ac:dyDescent="0.3">
      <c r="B62" s="89" t="s">
        <v>105</v>
      </c>
      <c r="C62" s="89"/>
      <c r="D62" s="89"/>
      <c r="E62" s="90"/>
      <c r="F62" s="355">
        <f>Sheet1!F17</f>
        <v>122</v>
      </c>
      <c r="G62" s="353">
        <f>F62</f>
        <v>122</v>
      </c>
      <c r="H62" s="353">
        <f t="shared" ref="H62:K62" si="28">G62</f>
        <v>122</v>
      </c>
      <c r="I62" s="353">
        <f t="shared" si="28"/>
        <v>122</v>
      </c>
      <c r="J62" s="353">
        <f t="shared" si="28"/>
        <v>122</v>
      </c>
      <c r="K62" s="353">
        <f t="shared" si="28"/>
        <v>122</v>
      </c>
    </row>
    <row r="63" spans="2:11" x14ac:dyDescent="0.3">
      <c r="B63" s="89" t="s">
        <v>109</v>
      </c>
      <c r="C63" s="89"/>
      <c r="D63" s="89"/>
      <c r="E63" s="90"/>
      <c r="F63" s="355">
        <f>Sheet1!F18</f>
        <v>13953159</v>
      </c>
      <c r="G63" s="353">
        <f>G422 * 1000</f>
        <v>13740583.573073111</v>
      </c>
      <c r="H63" s="353">
        <f t="shared" ref="H63:K63" si="29">H422 * 1000</f>
        <v>13525618.448377475</v>
      </c>
      <c r="I63" s="353">
        <f t="shared" si="29"/>
        <v>13307051.278400408</v>
      </c>
      <c r="J63" s="353">
        <f t="shared" si="29"/>
        <v>13083491.143062696</v>
      </c>
      <c r="K63" s="353">
        <f t="shared" si="29"/>
        <v>12854534.37490285</v>
      </c>
    </row>
    <row r="64" spans="2:11" x14ac:dyDescent="0.3">
      <c r="B64" s="89" t="s">
        <v>41</v>
      </c>
      <c r="C64" s="89"/>
      <c r="D64" s="89"/>
      <c r="E64" s="90"/>
      <c r="F64" s="355">
        <f>Sheet1!F19</f>
        <v>1706569</v>
      </c>
      <c r="G64" s="353">
        <f>G569*1000</f>
        <v>1706569</v>
      </c>
      <c r="H64" s="353">
        <f t="shared" ref="H64:K64" si="30">H569*1000</f>
        <v>1706569</v>
      </c>
      <c r="I64" s="353">
        <f t="shared" si="30"/>
        <v>1399305.0527360819</v>
      </c>
      <c r="J64" s="353">
        <f t="shared" si="30"/>
        <v>1186688.1151646364</v>
      </c>
      <c r="K64" s="353">
        <f t="shared" si="30"/>
        <v>1183969.5143204103</v>
      </c>
    </row>
    <row r="65" spans="2:11" x14ac:dyDescent="0.3">
      <c r="B65" s="89" t="s">
        <v>106</v>
      </c>
      <c r="C65" s="89"/>
      <c r="D65" s="89"/>
      <c r="E65" s="90"/>
      <c r="F65" s="355">
        <f>Sheet1!F20</f>
        <v>5910344.7394957971</v>
      </c>
      <c r="G65" s="353">
        <f>F65</f>
        <v>5910344.7394957971</v>
      </c>
      <c r="H65" s="353">
        <f t="shared" ref="H65:K65" si="31">G65</f>
        <v>5910344.7394957971</v>
      </c>
      <c r="I65" s="353">
        <f t="shared" si="31"/>
        <v>5910344.7394957971</v>
      </c>
      <c r="J65" s="353">
        <f t="shared" si="31"/>
        <v>5910344.7394957971</v>
      </c>
      <c r="K65" s="353">
        <f t="shared" si="31"/>
        <v>5910344.7394957971</v>
      </c>
    </row>
    <row r="66" spans="2:11" x14ac:dyDescent="0.3">
      <c r="B66" s="89" t="s">
        <v>107</v>
      </c>
      <c r="C66" s="89"/>
      <c r="D66" s="89"/>
      <c r="E66" s="90"/>
      <c r="F66" s="355">
        <f>Sheet1!F21</f>
        <v>607213</v>
      </c>
      <c r="G66" s="353">
        <f>F66</f>
        <v>607213</v>
      </c>
      <c r="H66" s="353">
        <f t="shared" ref="H66:K66" si="32">G66</f>
        <v>607213</v>
      </c>
      <c r="I66" s="353">
        <f t="shared" si="32"/>
        <v>607213</v>
      </c>
      <c r="J66" s="353">
        <f t="shared" si="32"/>
        <v>607213</v>
      </c>
      <c r="K66" s="353">
        <f t="shared" si="32"/>
        <v>607213</v>
      </c>
    </row>
    <row r="67" spans="2:11" x14ac:dyDescent="0.3">
      <c r="B67" s="89" t="s">
        <v>108</v>
      </c>
      <c r="C67" s="89"/>
      <c r="D67" s="89"/>
      <c r="E67" s="90"/>
      <c r="F67" s="355">
        <f>Sheet1!F22</f>
        <v>27825</v>
      </c>
      <c r="G67" s="353">
        <f>F67</f>
        <v>27825</v>
      </c>
      <c r="H67" s="353">
        <f t="shared" ref="H67:K67" si="33">G67</f>
        <v>27825</v>
      </c>
      <c r="I67" s="353">
        <f t="shared" si="33"/>
        <v>27825</v>
      </c>
      <c r="J67" s="353">
        <f t="shared" si="33"/>
        <v>27825</v>
      </c>
      <c r="K67" s="353">
        <f t="shared" si="33"/>
        <v>27825</v>
      </c>
    </row>
    <row r="68" spans="2:11" ht="15" thickBot="1" x14ac:dyDescent="0.35">
      <c r="B68" s="100" t="s">
        <v>72</v>
      </c>
      <c r="C68" s="100"/>
      <c r="D68" s="100"/>
      <c r="E68" s="101"/>
      <c r="F68" s="356">
        <f>Sheet1!F23</f>
        <v>891</v>
      </c>
      <c r="G68" s="354">
        <f>F68</f>
        <v>891</v>
      </c>
      <c r="H68" s="354">
        <f t="shared" ref="H68:K68" si="34">G68</f>
        <v>891</v>
      </c>
      <c r="I68" s="354">
        <f t="shared" si="34"/>
        <v>891</v>
      </c>
      <c r="J68" s="354">
        <f t="shared" si="34"/>
        <v>891</v>
      </c>
      <c r="K68" s="354">
        <f t="shared" si="34"/>
        <v>891</v>
      </c>
    </row>
    <row r="69" spans="2:11" x14ac:dyDescent="0.3">
      <c r="B69" s="92" t="s">
        <v>45</v>
      </c>
      <c r="C69" s="89"/>
      <c r="D69" s="89"/>
      <c r="E69" s="99"/>
      <c r="F69" s="357">
        <f>SUM(F58:F68)</f>
        <v>35221000</v>
      </c>
      <c r="G69" s="357">
        <f t="shared" ref="G69:K69" si="35">SUM(G58:G68)</f>
        <v>34452568.764100596</v>
      </c>
      <c r="H69" s="357">
        <f t="shared" si="35"/>
        <v>34462617.593588062</v>
      </c>
      <c r="I69" s="357">
        <f t="shared" si="35"/>
        <v>32988181.531917542</v>
      </c>
      <c r="J69" s="357">
        <f t="shared" si="35"/>
        <v>34179287.56951309</v>
      </c>
      <c r="K69" s="357">
        <f t="shared" si="35"/>
        <v>36096260.516942881</v>
      </c>
    </row>
    <row r="70" spans="2:11" x14ac:dyDescent="0.3">
      <c r="B70" s="92"/>
      <c r="C70" s="89"/>
      <c r="D70" s="89"/>
      <c r="E70" s="99"/>
      <c r="F70" s="99"/>
      <c r="G70" s="99"/>
      <c r="H70" s="99"/>
      <c r="I70" s="99"/>
      <c r="J70" s="99"/>
      <c r="K70" s="99"/>
    </row>
    <row r="71" spans="2:11" x14ac:dyDescent="0.3">
      <c r="B71" s="89" t="s">
        <v>42</v>
      </c>
      <c r="C71" s="89"/>
      <c r="D71" s="89"/>
      <c r="E71" s="99"/>
      <c r="F71" s="355">
        <f>Sheet1!F27</f>
        <v>179208.10084033615</v>
      </c>
      <c r="G71" s="358">
        <f>G465*1000</f>
        <v>221699.2708163684</v>
      </c>
      <c r="H71" s="358">
        <f t="shared" ref="H71:K71" si="36">H465*1000</f>
        <v>238985.631025721</v>
      </c>
      <c r="I71" s="358">
        <f t="shared" si="36"/>
        <v>226499.92817195706</v>
      </c>
      <c r="J71" s="358">
        <f t="shared" si="36"/>
        <v>240661.49024285804</v>
      </c>
      <c r="K71" s="358">
        <f t="shared" si="36"/>
        <v>273567.81191877165</v>
      </c>
    </row>
    <row r="72" spans="2:11" x14ac:dyDescent="0.3">
      <c r="B72" s="89" t="s">
        <v>106</v>
      </c>
      <c r="C72" s="89"/>
      <c r="D72" s="89"/>
      <c r="E72" s="99"/>
      <c r="F72" s="355">
        <f>Sheet1!F28</f>
        <v>1488607.9411764706</v>
      </c>
      <c r="G72" s="358">
        <f>G460 * 1000</f>
        <v>1632611.3965296017</v>
      </c>
      <c r="H72" s="358">
        <f t="shared" ref="H72:K72" si="37">H460 * 1000</f>
        <v>1781996.6883383787</v>
      </c>
      <c r="I72" s="358">
        <f t="shared" si="37"/>
        <v>1935707.9514994819</v>
      </c>
      <c r="J72" s="358">
        <f t="shared" si="37"/>
        <v>2092521.5672388589</v>
      </c>
      <c r="K72" s="358">
        <f t="shared" si="37"/>
        <v>2262046.4963809303</v>
      </c>
    </row>
    <row r="73" spans="2:11" x14ac:dyDescent="0.3">
      <c r="B73" s="89" t="s">
        <v>103</v>
      </c>
      <c r="C73" s="89"/>
      <c r="D73" s="89"/>
      <c r="E73" s="99"/>
      <c r="F73" s="355">
        <f>Sheet1!F29</f>
        <v>27776</v>
      </c>
      <c r="G73" s="358">
        <f>F73</f>
        <v>27776</v>
      </c>
      <c r="H73" s="358">
        <f t="shared" ref="H73:K73" si="38">G73</f>
        <v>27776</v>
      </c>
      <c r="I73" s="358">
        <f t="shared" si="38"/>
        <v>27776</v>
      </c>
      <c r="J73" s="358">
        <f t="shared" si="38"/>
        <v>27776</v>
      </c>
      <c r="K73" s="358">
        <f t="shared" si="38"/>
        <v>27776</v>
      </c>
    </row>
    <row r="74" spans="2:11" x14ac:dyDescent="0.3">
      <c r="B74" s="89" t="s">
        <v>43</v>
      </c>
      <c r="C74" s="89"/>
      <c r="D74" s="89"/>
      <c r="E74" s="99"/>
      <c r="F74" s="355">
        <f>Sheet1!F30</f>
        <v>1262127</v>
      </c>
      <c r="G74" s="358">
        <f>F74</f>
        <v>1262127</v>
      </c>
      <c r="H74" s="358">
        <f t="shared" ref="H74:K74" si="39">G74</f>
        <v>1262127</v>
      </c>
      <c r="I74" s="358">
        <f t="shared" si="39"/>
        <v>1262127</v>
      </c>
      <c r="J74" s="358">
        <f t="shared" si="39"/>
        <v>1262127</v>
      </c>
      <c r="K74" s="358">
        <f t="shared" si="39"/>
        <v>1262127</v>
      </c>
    </row>
    <row r="75" spans="2:11" x14ac:dyDescent="0.3">
      <c r="B75" s="89" t="s">
        <v>108</v>
      </c>
      <c r="C75" s="89"/>
      <c r="D75" s="89"/>
      <c r="E75" s="99"/>
      <c r="F75" s="355">
        <f>Sheet1!F31</f>
        <v>174471</v>
      </c>
      <c r="G75" s="358">
        <f>F75</f>
        <v>174471</v>
      </c>
      <c r="H75" s="358">
        <f t="shared" ref="H75:K75" si="40">G75</f>
        <v>174471</v>
      </c>
      <c r="I75" s="358">
        <f t="shared" si="40"/>
        <v>174471</v>
      </c>
      <c r="J75" s="358">
        <f t="shared" si="40"/>
        <v>174471</v>
      </c>
      <c r="K75" s="358">
        <f t="shared" si="40"/>
        <v>174471</v>
      </c>
    </row>
    <row r="76" spans="2:11" x14ac:dyDescent="0.3">
      <c r="B76" s="89" t="s">
        <v>72</v>
      </c>
      <c r="C76" s="89"/>
      <c r="D76" s="89"/>
      <c r="E76" s="99"/>
      <c r="F76" s="355">
        <f>Sheet1!F32</f>
        <v>17159</v>
      </c>
      <c r="G76" s="358">
        <f t="shared" ref="G76:K76" si="41">F76</f>
        <v>17159</v>
      </c>
      <c r="H76" s="358">
        <f t="shared" si="41"/>
        <v>17159</v>
      </c>
      <c r="I76" s="358">
        <f t="shared" si="41"/>
        <v>17159</v>
      </c>
      <c r="J76" s="358">
        <f t="shared" si="41"/>
        <v>17159</v>
      </c>
      <c r="K76" s="358">
        <f t="shared" si="41"/>
        <v>17159</v>
      </c>
    </row>
    <row r="77" spans="2:11" x14ac:dyDescent="0.3">
      <c r="B77" s="89" t="s">
        <v>44</v>
      </c>
      <c r="C77" s="89"/>
      <c r="D77" s="89"/>
      <c r="E77" s="99"/>
      <c r="F77" s="355">
        <f>Sheet1!F33</f>
        <v>16765</v>
      </c>
      <c r="G77" s="358">
        <f>F77</f>
        <v>16765</v>
      </c>
      <c r="H77" s="358">
        <f t="shared" ref="H77:K77" si="42">G77</f>
        <v>16765</v>
      </c>
      <c r="I77" s="358">
        <f t="shared" si="42"/>
        <v>16765</v>
      </c>
      <c r="J77" s="358">
        <f t="shared" si="42"/>
        <v>16765</v>
      </c>
      <c r="K77" s="358">
        <f t="shared" si="42"/>
        <v>16765</v>
      </c>
    </row>
    <row r="78" spans="2:11" ht="15" thickBot="1" x14ac:dyDescent="0.35">
      <c r="B78" s="100" t="s">
        <v>110</v>
      </c>
      <c r="C78" s="100"/>
      <c r="D78" s="100"/>
      <c r="E78" s="265"/>
      <c r="F78" s="356">
        <f>Sheet1!F34</f>
        <v>2247885.957983193</v>
      </c>
      <c r="G78" s="359">
        <f>G164*1000</f>
        <v>2858427.269043175</v>
      </c>
      <c r="H78" s="359">
        <f t="shared" ref="H78:K78" si="43">H164*1000</f>
        <v>2761722.1989091872</v>
      </c>
      <c r="I78" s="359">
        <f t="shared" si="43"/>
        <v>3002972.5400287258</v>
      </c>
      <c r="J78" s="359">
        <f t="shared" si="43"/>
        <v>4077940.6513657784</v>
      </c>
      <c r="K78" s="359">
        <f t="shared" si="43"/>
        <v>6606780.1476902822</v>
      </c>
    </row>
    <row r="79" spans="2:11" x14ac:dyDescent="0.3">
      <c r="B79" s="92" t="s">
        <v>111</v>
      </c>
      <c r="C79" s="89"/>
      <c r="D79" s="89"/>
      <c r="E79" s="99"/>
      <c r="F79" s="357">
        <f>SUM(F71:F78)</f>
        <v>5414000</v>
      </c>
      <c r="G79" s="357">
        <f t="shared" ref="G79:K79" si="44">SUM(G71:G78)</f>
        <v>6211035.9363891445</v>
      </c>
      <c r="H79" s="357">
        <f t="shared" si="44"/>
        <v>6281002.5182732865</v>
      </c>
      <c r="I79" s="357">
        <f t="shared" si="44"/>
        <v>6663478.4197001643</v>
      </c>
      <c r="J79" s="357">
        <f t="shared" si="44"/>
        <v>7909421.7088474948</v>
      </c>
      <c r="K79" s="357">
        <f t="shared" si="44"/>
        <v>10640692.455989985</v>
      </c>
    </row>
    <row r="80" spans="2:11" x14ac:dyDescent="0.3">
      <c r="B80" s="89"/>
      <c r="C80" s="89"/>
      <c r="D80" s="89"/>
      <c r="E80" s="123"/>
      <c r="F80" s="358"/>
      <c r="G80" s="358"/>
      <c r="H80" s="358"/>
      <c r="I80" s="358"/>
      <c r="J80" s="358"/>
      <c r="K80" s="358"/>
    </row>
    <row r="81" spans="2:11" x14ac:dyDescent="0.3">
      <c r="B81" s="92" t="s">
        <v>10</v>
      </c>
      <c r="C81" s="89"/>
      <c r="D81" s="89"/>
      <c r="E81" s="99"/>
      <c r="F81" s="357">
        <f>F69+F79</f>
        <v>40635000</v>
      </c>
      <c r="G81" s="357">
        <f t="shared" ref="G81:K81" si="45">G69+G79</f>
        <v>40663604.700489745</v>
      </c>
      <c r="H81" s="357">
        <f t="shared" si="45"/>
        <v>40743620.111861348</v>
      </c>
      <c r="I81" s="357">
        <f t="shared" si="45"/>
        <v>39651659.951617703</v>
      </c>
      <c r="J81" s="357">
        <f t="shared" si="45"/>
        <v>42088709.278360583</v>
      </c>
      <c r="K81" s="357">
        <f t="shared" si="45"/>
        <v>46736952.972932868</v>
      </c>
    </row>
    <row r="82" spans="2:11" x14ac:dyDescent="0.3">
      <c r="B82" s="92"/>
      <c r="C82" s="89"/>
      <c r="D82" s="89"/>
      <c r="E82" s="123"/>
      <c r="F82" s="123"/>
      <c r="G82" s="123"/>
      <c r="H82" s="123"/>
      <c r="I82" s="123"/>
      <c r="J82" s="89"/>
      <c r="K82" s="89"/>
    </row>
    <row r="83" spans="2:11" x14ac:dyDescent="0.3">
      <c r="B83" s="92" t="s">
        <v>9</v>
      </c>
      <c r="C83" s="89"/>
      <c r="D83" s="89"/>
      <c r="E83" s="120"/>
      <c r="F83" s="120"/>
      <c r="G83" s="121"/>
      <c r="H83" s="121"/>
      <c r="I83" s="121"/>
      <c r="J83" s="121"/>
      <c r="K83" s="121"/>
    </row>
    <row r="84" spans="2:11" x14ac:dyDescent="0.3">
      <c r="B84" s="89"/>
      <c r="C84" s="89"/>
      <c r="D84" s="89"/>
      <c r="E84" s="120"/>
      <c r="F84" s="120"/>
      <c r="G84" s="121"/>
      <c r="H84" s="121"/>
      <c r="I84" s="121"/>
      <c r="J84" s="121"/>
      <c r="K84" s="121"/>
    </row>
    <row r="85" spans="2:11" x14ac:dyDescent="0.3">
      <c r="B85" s="89" t="s">
        <v>112</v>
      </c>
      <c r="C85" s="89"/>
      <c r="D85" s="89"/>
      <c r="E85" s="90"/>
      <c r="F85" s="355">
        <f>Sheet1!F43</f>
        <v>7193542.1680672318</v>
      </c>
      <c r="G85" s="358">
        <f>G442*1000</f>
        <v>7064190.9231312312</v>
      </c>
      <c r="H85" s="358">
        <f t="shared" ref="H85:K85" si="46">H442*1000</f>
        <v>6944394.5993222548</v>
      </c>
      <c r="I85" s="358">
        <f t="shared" si="46"/>
        <v>6834321.5371562839</v>
      </c>
      <c r="J85" s="358">
        <f t="shared" si="46"/>
        <v>6737904.9058969393</v>
      </c>
      <c r="K85" s="358">
        <f t="shared" si="46"/>
        <v>6662710.934549313</v>
      </c>
    </row>
    <row r="86" spans="2:11" x14ac:dyDescent="0.3">
      <c r="B86" s="89" t="s">
        <v>113</v>
      </c>
      <c r="C86" s="89"/>
      <c r="D86" s="89"/>
      <c r="E86" s="90"/>
      <c r="F86" s="355">
        <f>Sheet1!F44</f>
        <v>2537062</v>
      </c>
      <c r="G86" s="358">
        <f>G528*1000</f>
        <v>2537062</v>
      </c>
      <c r="H86" s="358">
        <f t="shared" ref="H86:K86" si="47">H528*1000</f>
        <v>2537062</v>
      </c>
      <c r="I86" s="358">
        <f t="shared" si="47"/>
        <v>2537062</v>
      </c>
      <c r="J86" s="358">
        <f t="shared" si="47"/>
        <v>2537062</v>
      </c>
      <c r="K86" s="358">
        <f t="shared" si="47"/>
        <v>2537062</v>
      </c>
    </row>
    <row r="87" spans="2:11" x14ac:dyDescent="0.3">
      <c r="B87" s="89" t="s">
        <v>114</v>
      </c>
      <c r="C87" s="89"/>
      <c r="D87" s="89"/>
      <c r="E87" s="90"/>
      <c r="F87" s="355">
        <f>Sheet1!F45</f>
        <v>930421</v>
      </c>
      <c r="G87" s="358">
        <f>G536*1000</f>
        <v>930420.99999999977</v>
      </c>
      <c r="H87" s="358">
        <f t="shared" ref="H87:K87" si="48">H536*1000</f>
        <v>930420.99999999977</v>
      </c>
      <c r="I87" s="358">
        <f t="shared" si="48"/>
        <v>930420.99999999977</v>
      </c>
      <c r="J87" s="358">
        <f t="shared" si="48"/>
        <v>930420.99999999977</v>
      </c>
      <c r="K87" s="358">
        <f t="shared" si="48"/>
        <v>930420.99999999977</v>
      </c>
    </row>
    <row r="88" spans="2:11" x14ac:dyDescent="0.3">
      <c r="B88" s="89" t="s">
        <v>19</v>
      </c>
      <c r="C88" s="89"/>
      <c r="D88" s="89"/>
      <c r="E88" s="90"/>
      <c r="F88" s="355">
        <f>Sheet1!F46</f>
        <v>12651277.831932772</v>
      </c>
      <c r="G88" s="358">
        <f>G354*1000</f>
        <v>10082407.901389284</v>
      </c>
      <c r="H88" s="358">
        <f t="shared" ref="H88:K88" si="49">H354*1000</f>
        <v>9897904.9141305499</v>
      </c>
      <c r="I88" s="358">
        <f t="shared" si="49"/>
        <v>8518032.9655304588</v>
      </c>
      <c r="J88" s="358">
        <f t="shared" si="49"/>
        <v>9940582.9364217129</v>
      </c>
      <c r="K88" s="358">
        <f t="shared" si="49"/>
        <v>12982352.058624201</v>
      </c>
    </row>
    <row r="89" spans="2:11" ht="15" thickBot="1" x14ac:dyDescent="0.35">
      <c r="B89" s="100" t="s">
        <v>119</v>
      </c>
      <c r="C89" s="100"/>
      <c r="D89" s="100"/>
      <c r="E89" s="101"/>
      <c r="F89" s="356">
        <f>Sheet1!F47</f>
        <v>739697</v>
      </c>
      <c r="G89" s="354">
        <f>F89</f>
        <v>739697</v>
      </c>
      <c r="H89" s="354">
        <f t="shared" ref="H89:K89" si="50">G89</f>
        <v>739697</v>
      </c>
      <c r="I89" s="354">
        <f t="shared" si="50"/>
        <v>739697</v>
      </c>
      <c r="J89" s="354">
        <f t="shared" si="50"/>
        <v>739697</v>
      </c>
      <c r="K89" s="354">
        <f t="shared" si="50"/>
        <v>739697</v>
      </c>
    </row>
    <row r="90" spans="2:11" x14ac:dyDescent="0.3">
      <c r="B90" s="92" t="s">
        <v>49</v>
      </c>
      <c r="C90" s="89"/>
      <c r="D90" s="89"/>
      <c r="E90" s="99"/>
      <c r="F90" s="357">
        <f>SUM(F85:F89)</f>
        <v>24052000.000000004</v>
      </c>
      <c r="G90" s="357">
        <f t="shared" ref="G90:K90" si="51">SUM(G85:G89)</f>
        <v>21353778.824520513</v>
      </c>
      <c r="H90" s="357">
        <f t="shared" si="51"/>
        <v>21049479.513452806</v>
      </c>
      <c r="I90" s="357">
        <f t="shared" si="51"/>
        <v>19559534.502686743</v>
      </c>
      <c r="J90" s="357">
        <f t="shared" si="51"/>
        <v>20885667.842318654</v>
      </c>
      <c r="K90" s="357">
        <f t="shared" si="51"/>
        <v>23852242.993173514</v>
      </c>
    </row>
    <row r="91" spans="2:11" x14ac:dyDescent="0.3">
      <c r="B91" s="89"/>
      <c r="C91" s="89"/>
      <c r="D91" s="89"/>
      <c r="E91" s="123"/>
      <c r="F91" s="358"/>
      <c r="G91" s="358"/>
      <c r="H91" s="358"/>
      <c r="I91" s="358"/>
      <c r="J91" s="358"/>
      <c r="K91" s="358"/>
    </row>
    <row r="92" spans="2:11" x14ac:dyDescent="0.3">
      <c r="B92" s="89" t="s">
        <v>47</v>
      </c>
      <c r="C92" s="89"/>
      <c r="D92" s="89"/>
      <c r="E92" s="90"/>
      <c r="F92" s="355">
        <f>Sheet1!F51</f>
        <v>7573363.0336134452</v>
      </c>
      <c r="G92" s="358">
        <f>G470*1000</f>
        <v>9369046.6798464563</v>
      </c>
      <c r="H92" s="358">
        <f t="shared" ref="H92:K92" si="52">H470*1000</f>
        <v>10099571.029925227</v>
      </c>
      <c r="I92" s="358">
        <f t="shared" si="52"/>
        <v>9571923.2283025533</v>
      </c>
      <c r="J92" s="358">
        <f t="shared" si="52"/>
        <v>10170393.108754767</v>
      </c>
      <c r="K92" s="358">
        <f t="shared" si="52"/>
        <v>11561019.531243278</v>
      </c>
    </row>
    <row r="93" spans="2:11" x14ac:dyDescent="0.3">
      <c r="B93" s="89" t="s">
        <v>112</v>
      </c>
      <c r="C93" s="89"/>
      <c r="D93" s="89"/>
      <c r="E93" s="90"/>
      <c r="F93" s="355">
        <f>Sheet1!F52</f>
        <v>3537476.7226890759</v>
      </c>
      <c r="G93" s="358">
        <f>G441*1000</f>
        <v>3473867.3064486063</v>
      </c>
      <c r="H93" s="358">
        <f t="shared" ref="H93:K93" si="53">H441*1000</f>
        <v>3414956.5922222883</v>
      </c>
      <c r="I93" s="358">
        <f t="shared" si="53"/>
        <v>3360827.3626841996</v>
      </c>
      <c r="J93" s="358">
        <f t="shared" si="53"/>
        <v>3313413.7824491281</v>
      </c>
      <c r="K93" s="358">
        <f t="shared" si="53"/>
        <v>3276436.5997046432</v>
      </c>
    </row>
    <row r="94" spans="2:11" x14ac:dyDescent="0.3">
      <c r="B94" s="89" t="s">
        <v>46</v>
      </c>
      <c r="C94" s="89"/>
      <c r="D94" s="89"/>
      <c r="E94" s="90"/>
      <c r="F94" s="355">
        <f>Sheet1!F53</f>
        <v>2426784.411764706</v>
      </c>
      <c r="G94" s="358">
        <f>G475*1000</f>
        <v>2661544.2373874588</v>
      </c>
      <c r="H94" s="358">
        <f t="shared" ref="H94:K94" si="54">H475*1000</f>
        <v>2905077.7343416344</v>
      </c>
      <c r="I94" s="358">
        <f t="shared" si="54"/>
        <v>3155663.5917952904</v>
      </c>
      <c r="J94" s="358">
        <f t="shared" si="54"/>
        <v>3411307.0206003417</v>
      </c>
      <c r="K94" s="358">
        <f t="shared" si="54"/>
        <v>3687672.908533439</v>
      </c>
    </row>
    <row r="95" spans="2:11" x14ac:dyDescent="0.3">
      <c r="B95" s="89" t="s">
        <v>115</v>
      </c>
      <c r="C95" s="89"/>
      <c r="D95" s="89"/>
      <c r="E95" s="90"/>
      <c r="F95" s="355">
        <f>Sheet1!F54</f>
        <v>1147738</v>
      </c>
      <c r="G95" s="358">
        <f>F95</f>
        <v>1147738</v>
      </c>
      <c r="H95" s="358">
        <f t="shared" ref="H95:K95" si="55">G95</f>
        <v>1147738</v>
      </c>
      <c r="I95" s="358">
        <f t="shared" si="55"/>
        <v>1147738</v>
      </c>
      <c r="J95" s="358">
        <f t="shared" si="55"/>
        <v>1147738</v>
      </c>
      <c r="K95" s="358">
        <f t="shared" si="55"/>
        <v>1147738</v>
      </c>
    </row>
    <row r="96" spans="2:11" x14ac:dyDescent="0.3">
      <c r="B96" s="89" t="s">
        <v>116</v>
      </c>
      <c r="C96" s="89"/>
      <c r="D96" s="89"/>
      <c r="E96" s="90"/>
      <c r="F96" s="355">
        <f>Sheet1!F55</f>
        <v>57311</v>
      </c>
      <c r="G96" s="358">
        <f>F96</f>
        <v>57311</v>
      </c>
      <c r="H96" s="358">
        <f t="shared" ref="H96:K96" si="56">G96</f>
        <v>57311</v>
      </c>
      <c r="I96" s="358">
        <f t="shared" si="56"/>
        <v>57311</v>
      </c>
      <c r="J96" s="358">
        <f t="shared" si="56"/>
        <v>57311</v>
      </c>
      <c r="K96" s="358">
        <f t="shared" si="56"/>
        <v>57311</v>
      </c>
    </row>
    <row r="97" spans="2:11" x14ac:dyDescent="0.3">
      <c r="B97" s="89" t="s">
        <v>113</v>
      </c>
      <c r="C97" s="89"/>
      <c r="D97" s="89"/>
      <c r="E97" s="90"/>
      <c r="F97" s="355">
        <f>Sheet1!F56</f>
        <v>691757</v>
      </c>
      <c r="G97" s="358">
        <f>G527*1000</f>
        <v>691757</v>
      </c>
      <c r="H97" s="358">
        <f t="shared" ref="H97:K97" si="57">H527*1000</f>
        <v>691757</v>
      </c>
      <c r="I97" s="358">
        <f t="shared" si="57"/>
        <v>691757</v>
      </c>
      <c r="J97" s="358">
        <f t="shared" si="57"/>
        <v>691757</v>
      </c>
      <c r="K97" s="358">
        <f t="shared" si="57"/>
        <v>691757</v>
      </c>
    </row>
    <row r="98" spans="2:11" x14ac:dyDescent="0.3">
      <c r="B98" s="89" t="s">
        <v>117</v>
      </c>
      <c r="C98" s="89"/>
      <c r="D98" s="89"/>
      <c r="E98" s="90"/>
      <c r="F98" s="355">
        <f>Sheet1!F57</f>
        <v>295832</v>
      </c>
      <c r="G98" s="358">
        <f>G535*1000</f>
        <v>295832</v>
      </c>
      <c r="H98" s="358">
        <f t="shared" ref="H98:K98" si="58">H535*1000</f>
        <v>295832</v>
      </c>
      <c r="I98" s="358">
        <f t="shared" si="58"/>
        <v>295832</v>
      </c>
      <c r="J98" s="358">
        <f t="shared" si="58"/>
        <v>295832</v>
      </c>
      <c r="K98" s="358">
        <f t="shared" si="58"/>
        <v>295832</v>
      </c>
    </row>
    <row r="99" spans="2:11" x14ac:dyDescent="0.3">
      <c r="B99" s="89" t="s">
        <v>19</v>
      </c>
      <c r="C99" s="89"/>
      <c r="D99" s="89"/>
      <c r="E99" s="90"/>
      <c r="F99" s="355">
        <f>Sheet1!F58</f>
        <v>1142696.8319327743</v>
      </c>
      <c r="G99" s="353">
        <f>G353*1000</f>
        <v>2713004.0291093527</v>
      </c>
      <c r="H99" s="353">
        <f t="shared" ref="H99:K99" si="59">H353*1000</f>
        <v>2834134.3257680289</v>
      </c>
      <c r="I99" s="353">
        <f t="shared" si="59"/>
        <v>3293494.5819679121</v>
      </c>
      <c r="J99" s="353">
        <f t="shared" si="59"/>
        <v>3729510.965099039</v>
      </c>
      <c r="K99" s="353">
        <f t="shared" si="59"/>
        <v>3729510.965099039</v>
      </c>
    </row>
    <row r="100" spans="2:11" ht="15" thickBot="1" x14ac:dyDescent="0.35">
      <c r="B100" s="100" t="s">
        <v>118</v>
      </c>
      <c r="C100" s="100"/>
      <c r="D100" s="100"/>
      <c r="E100" s="101"/>
      <c r="F100" s="356">
        <f>Sheet1!F59</f>
        <v>187041</v>
      </c>
      <c r="G100" s="359">
        <f>G562 * 1000</f>
        <v>187041</v>
      </c>
      <c r="H100" s="359">
        <f t="shared" ref="H100:K100" si="60">H562 * 1000</f>
        <v>187041</v>
      </c>
      <c r="I100" s="359">
        <f t="shared" si="60"/>
        <v>187041</v>
      </c>
      <c r="J100" s="359">
        <f t="shared" si="60"/>
        <v>187040.99999999994</v>
      </c>
      <c r="K100" s="359">
        <f t="shared" si="60"/>
        <v>187040.99999999994</v>
      </c>
    </row>
    <row r="101" spans="2:11" x14ac:dyDescent="0.3">
      <c r="B101" s="92" t="s">
        <v>48</v>
      </c>
      <c r="C101" s="89"/>
      <c r="D101" s="89"/>
      <c r="E101" s="99"/>
      <c r="F101" s="357">
        <f t="shared" ref="F101:K101" si="61">SUM(F92:F100)</f>
        <v>17060000</v>
      </c>
      <c r="G101" s="357">
        <f t="shared" si="61"/>
        <v>20597141.252791874</v>
      </c>
      <c r="H101" s="357">
        <f t="shared" si="61"/>
        <v>21633418.682257179</v>
      </c>
      <c r="I101" s="357">
        <f t="shared" si="61"/>
        <v>21761587.764749955</v>
      </c>
      <c r="J101" s="357">
        <f t="shared" si="61"/>
        <v>23004303.876903277</v>
      </c>
      <c r="K101" s="357">
        <f t="shared" si="61"/>
        <v>24634319.004580401</v>
      </c>
    </row>
    <row r="102" spans="2:11" ht="15" thickBot="1" x14ac:dyDescent="0.35">
      <c r="B102" s="100"/>
      <c r="C102" s="100"/>
      <c r="D102" s="100"/>
      <c r="E102" s="288"/>
      <c r="F102" s="359"/>
      <c r="G102" s="359"/>
      <c r="H102" s="359"/>
      <c r="I102" s="359"/>
      <c r="J102" s="359"/>
      <c r="K102" s="359"/>
    </row>
    <row r="103" spans="2:11" x14ac:dyDescent="0.3">
      <c r="B103" s="92" t="s">
        <v>11</v>
      </c>
      <c r="C103" s="89"/>
      <c r="D103" s="89"/>
      <c r="E103" s="99"/>
      <c r="F103" s="357">
        <f t="shared" ref="F103:K103" si="62">F90+F101</f>
        <v>41112000</v>
      </c>
      <c r="G103" s="357">
        <f t="shared" si="62"/>
        <v>41950920.077312388</v>
      </c>
      <c r="H103" s="357">
        <f t="shared" si="62"/>
        <v>42682898.195709988</v>
      </c>
      <c r="I103" s="357">
        <f t="shared" si="62"/>
        <v>41321122.267436698</v>
      </c>
      <c r="J103" s="357">
        <f t="shared" si="62"/>
        <v>43889971.719221935</v>
      </c>
      <c r="K103" s="357">
        <f t="shared" si="62"/>
        <v>48486561.997753918</v>
      </c>
    </row>
    <row r="104" spans="2:11" x14ac:dyDescent="0.3">
      <c r="B104" s="92"/>
      <c r="C104" s="89"/>
      <c r="D104" s="89"/>
      <c r="E104" s="117"/>
      <c r="F104" s="357"/>
      <c r="G104" s="357"/>
      <c r="H104" s="357"/>
      <c r="I104" s="357"/>
      <c r="J104" s="357"/>
      <c r="K104" s="357"/>
    </row>
    <row r="105" spans="2:11" x14ac:dyDescent="0.3">
      <c r="B105" s="92" t="s">
        <v>12</v>
      </c>
      <c r="C105" s="89"/>
      <c r="D105" s="89"/>
      <c r="E105" s="117"/>
      <c r="F105" s="357"/>
      <c r="G105" s="357"/>
      <c r="H105" s="357"/>
      <c r="I105" s="357"/>
      <c r="J105" s="357"/>
      <c r="K105" s="357"/>
    </row>
    <row r="106" spans="2:11" x14ac:dyDescent="0.3">
      <c r="B106" s="92"/>
      <c r="C106" s="89"/>
      <c r="D106" s="89"/>
      <c r="E106" s="117"/>
      <c r="F106" s="357"/>
      <c r="G106" s="357"/>
      <c r="H106" s="357"/>
      <c r="I106" s="357"/>
      <c r="J106" s="357"/>
      <c r="K106" s="357"/>
    </row>
    <row r="107" spans="2:11" x14ac:dyDescent="0.3">
      <c r="B107" s="89" t="s">
        <v>20</v>
      </c>
      <c r="C107" s="89"/>
      <c r="D107" s="89"/>
      <c r="E107" s="90"/>
      <c r="F107" s="355">
        <f>Sheet1!F68</f>
        <v>4893876</v>
      </c>
      <c r="G107" s="353">
        <f t="shared" ref="G107:K107" si="63">F107</f>
        <v>4893876</v>
      </c>
      <c r="H107" s="353">
        <f t="shared" si="63"/>
        <v>4893876</v>
      </c>
      <c r="I107" s="353">
        <f t="shared" si="63"/>
        <v>4893876</v>
      </c>
      <c r="J107" s="353">
        <f t="shared" si="63"/>
        <v>4893876</v>
      </c>
      <c r="K107" s="353">
        <f t="shared" si="63"/>
        <v>4893876</v>
      </c>
    </row>
    <row r="108" spans="2:11" x14ac:dyDescent="0.3">
      <c r="B108" s="89" t="s">
        <v>264</v>
      </c>
      <c r="C108" s="89"/>
      <c r="D108" s="89"/>
      <c r="E108" s="90"/>
      <c r="F108" s="355">
        <f>Sheet1!F69</f>
        <v>1165374</v>
      </c>
      <c r="G108" s="353">
        <f t="shared" ref="G108:K108" si="64">F108</f>
        <v>1165374</v>
      </c>
      <c r="H108" s="353">
        <f t="shared" si="64"/>
        <v>1165374</v>
      </c>
      <c r="I108" s="353">
        <f t="shared" si="64"/>
        <v>1165374</v>
      </c>
      <c r="J108" s="353">
        <f t="shared" si="64"/>
        <v>1165374</v>
      </c>
      <c r="K108" s="353">
        <f t="shared" si="64"/>
        <v>1165374</v>
      </c>
    </row>
    <row r="109" spans="2:11" x14ac:dyDescent="0.3">
      <c r="B109" s="89" t="s">
        <v>50</v>
      </c>
      <c r="C109" s="89"/>
      <c r="D109" s="89"/>
      <c r="E109" s="90"/>
      <c r="F109" s="355">
        <f>Sheet1!F70</f>
        <v>1211801</v>
      </c>
      <c r="G109" s="353">
        <f t="shared" ref="G109:K109" si="65">F109</f>
        <v>1211801</v>
      </c>
      <c r="H109" s="353">
        <f t="shared" si="65"/>
        <v>1211801</v>
      </c>
      <c r="I109" s="353">
        <f t="shared" si="65"/>
        <v>1211801</v>
      </c>
      <c r="J109" s="353">
        <f t="shared" si="65"/>
        <v>1211801</v>
      </c>
      <c r="K109" s="353">
        <f t="shared" si="65"/>
        <v>1211801</v>
      </c>
    </row>
    <row r="110" spans="2:11" x14ac:dyDescent="0.3">
      <c r="B110" s="89" t="s">
        <v>265</v>
      </c>
      <c r="C110" s="89"/>
      <c r="D110" s="89"/>
      <c r="E110" s="90"/>
      <c r="F110" s="355">
        <f>Sheet1!F71</f>
        <v>22</v>
      </c>
      <c r="G110" s="353">
        <f>F110</f>
        <v>22</v>
      </c>
      <c r="H110" s="353">
        <f t="shared" ref="H110:K110" si="66">G110</f>
        <v>22</v>
      </c>
      <c r="I110" s="353">
        <f t="shared" si="66"/>
        <v>22</v>
      </c>
      <c r="J110" s="353">
        <f t="shared" si="66"/>
        <v>22</v>
      </c>
      <c r="K110" s="353">
        <f t="shared" si="66"/>
        <v>22</v>
      </c>
    </row>
    <row r="111" spans="2:11" x14ac:dyDescent="0.3">
      <c r="B111" s="94" t="s">
        <v>288</v>
      </c>
      <c r="C111" s="94"/>
      <c r="D111" s="94"/>
      <c r="E111" s="96"/>
      <c r="F111" s="360">
        <f>Sheet1!F72</f>
        <v>-6957283</v>
      </c>
      <c r="G111" s="361">
        <f>G593*1000</f>
        <v>-7767598.3768226421</v>
      </c>
      <c r="H111" s="361">
        <f t="shared" ref="H111:K111" si="67">H593*1000</f>
        <v>-8419561.0838486273</v>
      </c>
      <c r="I111" s="361">
        <f t="shared" si="67"/>
        <v>-8149745.3158189896</v>
      </c>
      <c r="J111" s="361">
        <f t="shared" si="67"/>
        <v>-8281545.4408613369</v>
      </c>
      <c r="K111" s="361">
        <f t="shared" si="67"/>
        <v>-8229892.0248210412</v>
      </c>
    </row>
    <row r="112" spans="2:11" x14ac:dyDescent="0.3">
      <c r="B112" s="92" t="s">
        <v>51</v>
      </c>
      <c r="C112" s="89"/>
      <c r="D112" s="89"/>
      <c r="E112" s="99"/>
      <c r="F112" s="357">
        <f t="shared" ref="F112:K112" si="68">SUM(F107:F111)</f>
        <v>313790</v>
      </c>
      <c r="G112" s="357">
        <f t="shared" si="68"/>
        <v>-496525.37682264205</v>
      </c>
      <c r="H112" s="357">
        <f t="shared" si="68"/>
        <v>-1148488.0838486273</v>
      </c>
      <c r="I112" s="357">
        <f t="shared" si="68"/>
        <v>-878672.31581898965</v>
      </c>
      <c r="J112" s="357">
        <f t="shared" si="68"/>
        <v>-1010472.4408613369</v>
      </c>
      <c r="K112" s="357">
        <f t="shared" si="68"/>
        <v>-958819.02482104115</v>
      </c>
    </row>
    <row r="113" spans="2:11" ht="15" thickBot="1" x14ac:dyDescent="0.35">
      <c r="B113" s="100" t="s">
        <v>266</v>
      </c>
      <c r="C113" s="100"/>
      <c r="D113" s="100"/>
      <c r="E113" s="273"/>
      <c r="F113" s="356">
        <f>Sheet1!F74</f>
        <v>-790790</v>
      </c>
      <c r="G113" s="359">
        <f>F113</f>
        <v>-790790</v>
      </c>
      <c r="H113" s="359">
        <f t="shared" ref="H113:K113" si="69">G113</f>
        <v>-790790</v>
      </c>
      <c r="I113" s="359">
        <f t="shared" si="69"/>
        <v>-790790</v>
      </c>
      <c r="J113" s="359">
        <f t="shared" si="69"/>
        <v>-790790</v>
      </c>
      <c r="K113" s="359">
        <f t="shared" si="69"/>
        <v>-790790</v>
      </c>
    </row>
    <row r="114" spans="2:11" x14ac:dyDescent="0.3">
      <c r="B114" s="92" t="s">
        <v>279</v>
      </c>
      <c r="C114" s="89"/>
      <c r="D114" s="89"/>
      <c r="E114" s="99"/>
      <c r="F114" s="357">
        <f>SUM(F112:F113)</f>
        <v>-477000</v>
      </c>
      <c r="G114" s="357">
        <f t="shared" ref="G114:K114" si="70">SUM(G112:G113)</f>
        <v>-1287315.3768226421</v>
      </c>
      <c r="H114" s="357">
        <f t="shared" si="70"/>
        <v>-1939278.0838486273</v>
      </c>
      <c r="I114" s="357">
        <f t="shared" si="70"/>
        <v>-1669462.3158189896</v>
      </c>
      <c r="J114" s="357">
        <f t="shared" si="70"/>
        <v>-1801262.4408613369</v>
      </c>
      <c r="K114" s="357">
        <f t="shared" si="70"/>
        <v>-1749609.0248210412</v>
      </c>
    </row>
    <row r="115" spans="2:11" ht="15" thickBot="1" x14ac:dyDescent="0.35">
      <c r="B115" s="110"/>
      <c r="C115" s="100"/>
      <c r="D115" s="100"/>
      <c r="E115" s="278"/>
      <c r="F115" s="362"/>
      <c r="G115" s="362"/>
      <c r="H115" s="362"/>
      <c r="I115" s="362"/>
      <c r="J115" s="362"/>
      <c r="K115" s="362"/>
    </row>
    <row r="116" spans="2:11" x14ac:dyDescent="0.3">
      <c r="B116" s="92" t="s">
        <v>52</v>
      </c>
      <c r="C116" s="89"/>
      <c r="D116" s="89"/>
      <c r="E116" s="99"/>
      <c r="F116" s="357">
        <f>F114+F103</f>
        <v>40635000</v>
      </c>
      <c r="G116" s="357">
        <f t="shared" ref="G116:K116" si="71">G114+G103</f>
        <v>40663604.700489745</v>
      </c>
      <c r="H116" s="357">
        <f t="shared" si="71"/>
        <v>40743620.111861363</v>
      </c>
      <c r="I116" s="357">
        <f t="shared" si="71"/>
        <v>39651659.95161771</v>
      </c>
      <c r="J116" s="357">
        <f t="shared" si="71"/>
        <v>42088709.278360598</v>
      </c>
      <c r="K116" s="357">
        <f t="shared" si="71"/>
        <v>46736952.972932875</v>
      </c>
    </row>
    <row r="117" spans="2:11" x14ac:dyDescent="0.3">
      <c r="B117" s="92" t="s">
        <v>287</v>
      </c>
      <c r="C117" s="89"/>
      <c r="D117" s="89"/>
      <c r="E117" s="89"/>
      <c r="F117" s="358">
        <f>F81-F116</f>
        <v>0</v>
      </c>
      <c r="G117" s="358">
        <f t="shared" ref="G117:K117" si="72">G81-G116</f>
        <v>0</v>
      </c>
      <c r="H117" s="358">
        <f t="shared" si="72"/>
        <v>0</v>
      </c>
      <c r="I117" s="358">
        <f t="shared" si="72"/>
        <v>0</v>
      </c>
      <c r="J117" s="358">
        <f t="shared" si="72"/>
        <v>0</v>
      </c>
      <c r="K117" s="358">
        <f t="shared" si="72"/>
        <v>0</v>
      </c>
    </row>
    <row r="118" spans="2:11" x14ac:dyDescent="0.3">
      <c r="B118" s="65"/>
      <c r="C118" s="64"/>
      <c r="D118" s="64"/>
      <c r="E118" s="64"/>
      <c r="F118" s="74"/>
      <c r="G118" s="74"/>
      <c r="H118" s="74"/>
      <c r="I118" s="74"/>
      <c r="J118" s="74"/>
      <c r="K118" s="74"/>
    </row>
    <row r="119" spans="2:11" x14ac:dyDescent="0.3">
      <c r="B119" s="64"/>
      <c r="C119" s="64"/>
      <c r="D119" s="64"/>
      <c r="E119" s="64"/>
      <c r="F119" s="64"/>
      <c r="G119" s="78"/>
      <c r="H119" s="78"/>
      <c r="I119" s="78"/>
      <c r="J119" s="64"/>
      <c r="K119" s="64"/>
    </row>
    <row r="120" spans="2:11" ht="24.6" x14ac:dyDescent="0.4">
      <c r="B120" s="59" t="s">
        <v>339</v>
      </c>
      <c r="C120" s="68"/>
      <c r="D120" s="69"/>
      <c r="E120" s="69"/>
      <c r="F120" s="69"/>
      <c r="G120" s="69"/>
      <c r="H120" s="69"/>
      <c r="I120" s="69"/>
      <c r="J120" s="69"/>
      <c r="K120" s="69"/>
    </row>
    <row r="121" spans="2:11" ht="17.399999999999999" x14ac:dyDescent="0.3">
      <c r="B121" s="60" t="s">
        <v>343</v>
      </c>
      <c r="C121" s="69"/>
      <c r="D121" s="69"/>
      <c r="E121" s="69"/>
      <c r="F121" s="69"/>
      <c r="G121" s="69"/>
      <c r="H121" s="69"/>
      <c r="I121" s="69"/>
      <c r="J121" s="69"/>
      <c r="K121" s="69"/>
    </row>
    <row r="122" spans="2:11" x14ac:dyDescent="0.3">
      <c r="B122" s="61"/>
      <c r="C122" s="61"/>
      <c r="D122" s="61"/>
      <c r="E122" s="61"/>
      <c r="F122" s="61"/>
      <c r="G122" s="61"/>
      <c r="H122" s="61"/>
      <c r="I122" s="61"/>
      <c r="J122" s="63"/>
      <c r="K122" s="63"/>
    </row>
    <row r="123" spans="2:11" x14ac:dyDescent="0.3">
      <c r="B123" s="215" t="s">
        <v>340</v>
      </c>
      <c r="C123" s="61"/>
      <c r="D123" s="61"/>
      <c r="E123" s="61"/>
      <c r="F123" s="61"/>
      <c r="G123" s="61"/>
      <c r="H123" s="61"/>
      <c r="I123" s="61"/>
      <c r="J123" s="63"/>
      <c r="K123" s="63"/>
    </row>
    <row r="124" spans="2:11" x14ac:dyDescent="0.3">
      <c r="B124" s="63"/>
      <c r="C124" s="63"/>
      <c r="D124" s="63"/>
      <c r="E124" s="63"/>
      <c r="F124" s="63"/>
      <c r="G124" s="63"/>
      <c r="H124" s="63"/>
      <c r="I124" s="63"/>
      <c r="J124" s="63"/>
      <c r="K124" s="63"/>
    </row>
    <row r="125" spans="2:11" x14ac:dyDescent="0.3">
      <c r="B125" s="63"/>
      <c r="C125" s="63"/>
      <c r="D125" s="63"/>
      <c r="E125" s="70">
        <v>2024</v>
      </c>
      <c r="F125" s="70">
        <v>2025</v>
      </c>
      <c r="G125" s="71">
        <f>F125+1</f>
        <v>2026</v>
      </c>
      <c r="H125" s="71">
        <f t="shared" ref="H125:K125" si="73">G125+1</f>
        <v>2027</v>
      </c>
      <c r="I125" s="71">
        <f t="shared" si="73"/>
        <v>2028</v>
      </c>
      <c r="J125" s="71">
        <f t="shared" si="73"/>
        <v>2029</v>
      </c>
      <c r="K125" s="71">
        <f t="shared" si="73"/>
        <v>2030</v>
      </c>
    </row>
    <row r="126" spans="2:11" x14ac:dyDescent="0.3">
      <c r="B126" s="63"/>
      <c r="C126" s="63"/>
      <c r="D126" s="63"/>
      <c r="E126" s="213" t="s">
        <v>341</v>
      </c>
      <c r="F126" s="213"/>
      <c r="G126" s="214"/>
      <c r="H126" s="214"/>
      <c r="I126" s="214"/>
      <c r="J126" s="214"/>
      <c r="K126" s="214" t="s">
        <v>342</v>
      </c>
    </row>
    <row r="127" spans="2:11" x14ac:dyDescent="0.3">
      <c r="B127" s="63"/>
      <c r="C127" s="63"/>
      <c r="D127" s="63"/>
      <c r="E127" s="72"/>
      <c r="F127" s="72"/>
      <c r="G127" s="73"/>
      <c r="H127" s="73"/>
      <c r="I127" s="73"/>
      <c r="J127" s="73"/>
      <c r="K127" s="73"/>
    </row>
    <row r="128" spans="2:11" x14ac:dyDescent="0.3">
      <c r="B128" s="92" t="s">
        <v>236</v>
      </c>
      <c r="C128" s="89"/>
      <c r="D128" s="89"/>
      <c r="E128" s="125"/>
      <c r="F128" s="125"/>
      <c r="G128" s="126"/>
      <c r="H128" s="126"/>
      <c r="I128" s="126"/>
      <c r="J128" s="126"/>
      <c r="K128" s="126"/>
    </row>
    <row r="129" spans="2:11" x14ac:dyDescent="0.3">
      <c r="B129" s="89"/>
      <c r="C129" s="89"/>
      <c r="D129" s="89"/>
      <c r="E129" s="125"/>
      <c r="F129" s="125"/>
      <c r="G129" s="126"/>
      <c r="H129" s="126"/>
      <c r="I129" s="126"/>
      <c r="J129" s="126"/>
      <c r="K129" s="126"/>
    </row>
    <row r="130" spans="2:11" x14ac:dyDescent="0.3">
      <c r="B130" s="89" t="s">
        <v>237</v>
      </c>
      <c r="C130" s="89"/>
      <c r="D130" s="89"/>
      <c r="E130" s="125"/>
      <c r="F130" s="125"/>
      <c r="G130" s="93">
        <f>G41</f>
        <v>-810.31537682264218</v>
      </c>
      <c r="H130" s="93">
        <f t="shared" ref="H130:K130" si="74">H41</f>
        <v>-651.96270702598395</v>
      </c>
      <c r="I130" s="93">
        <f t="shared" si="74"/>
        <v>1556.8039994705186</v>
      </c>
      <c r="J130" s="93">
        <f t="shared" si="74"/>
        <v>1615.8887255429861</v>
      </c>
      <c r="K130" s="93">
        <f t="shared" si="74"/>
        <v>51.653416040295866</v>
      </c>
    </row>
    <row r="131" spans="2:11" x14ac:dyDescent="0.3">
      <c r="B131" s="89" t="s">
        <v>259</v>
      </c>
      <c r="C131" s="89"/>
      <c r="D131" s="89"/>
      <c r="E131" s="125"/>
      <c r="F131" s="125"/>
      <c r="G131" s="93">
        <f>G378</f>
        <v>193.60299129651858</v>
      </c>
      <c r="H131" s="93">
        <f t="shared" ref="H131:K131" si="75">H378</f>
        <v>237.24492879651859</v>
      </c>
      <c r="I131" s="93">
        <f t="shared" si="75"/>
        <v>283.06896317151859</v>
      </c>
      <c r="J131" s="93">
        <f t="shared" si="75"/>
        <v>331.1841992652686</v>
      </c>
      <c r="K131" s="93">
        <f t="shared" si="75"/>
        <v>381.70519716370609</v>
      </c>
    </row>
    <row r="132" spans="2:11" x14ac:dyDescent="0.3">
      <c r="B132" s="89" t="s">
        <v>123</v>
      </c>
      <c r="C132" s="89"/>
      <c r="D132" s="89"/>
      <c r="E132" s="125"/>
      <c r="F132" s="125"/>
      <c r="G132" s="93">
        <f>G327</f>
        <v>2132.3127279589362</v>
      </c>
      <c r="H132" s="93">
        <f t="shared" ref="H132:K132" si="76">H327</f>
        <v>2500.3170805296713</v>
      </c>
      <c r="I132" s="93">
        <f t="shared" si="76"/>
        <v>2907.7504708758424</v>
      </c>
      <c r="J132" s="93">
        <f t="shared" si="76"/>
        <v>3538.6150752828166</v>
      </c>
      <c r="K132" s="93">
        <f t="shared" si="76"/>
        <v>4603.1990952195865</v>
      </c>
    </row>
    <row r="133" spans="2:11" x14ac:dyDescent="0.3">
      <c r="B133" s="89" t="s">
        <v>260</v>
      </c>
      <c r="C133" s="89"/>
      <c r="D133" s="89"/>
      <c r="E133" s="125"/>
      <c r="F133" s="125"/>
      <c r="G133" s="93">
        <f>G415</f>
        <v>395.35487226700593</v>
      </c>
      <c r="H133" s="93">
        <f t="shared" ref="H133:K133" si="77">H415</f>
        <v>414.469040314979</v>
      </c>
      <c r="I133" s="93">
        <f t="shared" si="77"/>
        <v>435.27987115483438</v>
      </c>
      <c r="J133" s="93">
        <f t="shared" si="77"/>
        <v>457.82894678614429</v>
      </c>
      <c r="K133" s="93">
        <f t="shared" si="77"/>
        <v>482.20478836902493</v>
      </c>
    </row>
    <row r="134" spans="2:11" x14ac:dyDescent="0.3">
      <c r="B134" s="89" t="s">
        <v>229</v>
      </c>
      <c r="C134" s="89"/>
      <c r="D134" s="89"/>
      <c r="E134" s="125"/>
      <c r="F134" s="125"/>
      <c r="G134" s="93">
        <f>-G560</f>
        <v>0</v>
      </c>
      <c r="H134" s="93">
        <f t="shared" ref="H134:K134" si="78">-H560</f>
        <v>0</v>
      </c>
      <c r="I134" s="93">
        <f t="shared" si="78"/>
        <v>307.26394726391811</v>
      </c>
      <c r="J134" s="93">
        <f t="shared" si="78"/>
        <v>212.61693757144548</v>
      </c>
      <c r="K134" s="93">
        <f t="shared" si="78"/>
        <v>2.7186008442260956</v>
      </c>
    </row>
    <row r="135" spans="2:11" x14ac:dyDescent="0.3">
      <c r="B135" s="89" t="s">
        <v>156</v>
      </c>
      <c r="C135" s="89"/>
      <c r="D135" s="89"/>
      <c r="E135" s="125"/>
      <c r="F135" s="125"/>
      <c r="G135" s="93">
        <f>G434</f>
        <v>182.625</v>
      </c>
      <c r="H135" s="93">
        <f t="shared" ref="H135:K135" si="79">H434</f>
        <v>190.125</v>
      </c>
      <c r="I135" s="93">
        <f t="shared" si="79"/>
        <v>198.375</v>
      </c>
      <c r="J135" s="93">
        <f t="shared" si="79"/>
        <v>213</v>
      </c>
      <c r="K135" s="93">
        <f t="shared" si="79"/>
        <v>239.625</v>
      </c>
    </row>
    <row r="136" spans="2:11" x14ac:dyDescent="0.3">
      <c r="B136" s="89" t="s">
        <v>293</v>
      </c>
      <c r="C136" s="89"/>
      <c r="D136" s="89"/>
      <c r="E136" s="125"/>
      <c r="F136" s="125"/>
      <c r="G136" s="93">
        <f>G435</f>
        <v>-375.58566117647081</v>
      </c>
      <c r="H136" s="93">
        <f t="shared" ref="H136:K136" si="80">H435</f>
        <v>-368.83203803529437</v>
      </c>
      <c r="I136" s="93">
        <f t="shared" si="80"/>
        <v>-362.57729170405906</v>
      </c>
      <c r="J136" s="93">
        <f t="shared" si="80"/>
        <v>-356.83021149441697</v>
      </c>
      <c r="K136" s="93">
        <f t="shared" si="80"/>
        <v>-351.79615409211237</v>
      </c>
    </row>
    <row r="137" spans="2:11" x14ac:dyDescent="0.3">
      <c r="B137" s="94" t="s">
        <v>172</v>
      </c>
      <c r="C137" s="94"/>
      <c r="D137" s="94"/>
      <c r="E137" s="235"/>
      <c r="F137" s="235"/>
      <c r="G137" s="97">
        <f>-G480</f>
        <v>1843.9488465266022</v>
      </c>
      <c r="H137" s="97">
        <f t="shared" ref="H137:K137" si="81">-H480</f>
        <v>807.38619501481662</v>
      </c>
      <c r="I137" s="97">
        <f t="shared" si="81"/>
        <v>-418.28750447635866</v>
      </c>
      <c r="J137" s="97">
        <f t="shared" si="81"/>
        <v>683.13813144698724</v>
      </c>
      <c r="K137" s="97">
        <f t="shared" si="81"/>
        <v>1464.5610596036222</v>
      </c>
    </row>
    <row r="138" spans="2:11" x14ac:dyDescent="0.3">
      <c r="B138" s="92" t="s">
        <v>238</v>
      </c>
      <c r="C138" s="92"/>
      <c r="D138" s="92"/>
      <c r="E138" s="125"/>
      <c r="F138" s="125"/>
      <c r="G138" s="93">
        <f>SUM(G130:G137)</f>
        <v>3561.94340004995</v>
      </c>
      <c r="H138" s="93">
        <f>SUM(H130:H137)</f>
        <v>3128.7474995947073</v>
      </c>
      <c r="I138" s="93">
        <f>SUM(I130:I137)</f>
        <v>4907.6774557562148</v>
      </c>
      <c r="J138" s="93">
        <f>SUM(J130:J137)</f>
        <v>6695.4418044012309</v>
      </c>
      <c r="K138" s="93">
        <f>SUM(K130:K137)</f>
        <v>6873.8710031483488</v>
      </c>
    </row>
    <row r="139" spans="2:11" x14ac:dyDescent="0.3">
      <c r="B139" s="89"/>
      <c r="C139" s="89"/>
      <c r="D139" s="89"/>
      <c r="E139" s="125"/>
      <c r="F139" s="125"/>
      <c r="G139" s="126"/>
      <c r="H139" s="126"/>
      <c r="I139" s="126"/>
      <c r="J139" s="126"/>
      <c r="K139" s="126"/>
    </row>
    <row r="140" spans="2:11" x14ac:dyDescent="0.3">
      <c r="B140" s="92" t="s">
        <v>240</v>
      </c>
      <c r="C140" s="89"/>
      <c r="D140" s="89"/>
      <c r="E140" s="125"/>
      <c r="F140" s="125"/>
      <c r="G140" s="126"/>
      <c r="H140" s="126"/>
      <c r="I140" s="126"/>
      <c r="J140" s="126"/>
      <c r="K140" s="126"/>
    </row>
    <row r="141" spans="2:11" x14ac:dyDescent="0.3">
      <c r="B141" s="89"/>
      <c r="C141" s="89"/>
      <c r="D141" s="89"/>
      <c r="E141" s="125"/>
      <c r="F141" s="125"/>
      <c r="G141" s="126"/>
      <c r="H141" s="126"/>
      <c r="I141" s="126"/>
      <c r="J141" s="126"/>
      <c r="K141" s="126"/>
    </row>
    <row r="142" spans="2:11" x14ac:dyDescent="0.3">
      <c r="B142" s="89" t="s">
        <v>239</v>
      </c>
      <c r="C142" s="89"/>
      <c r="D142" s="89"/>
      <c r="E142" s="125"/>
      <c r="F142" s="125"/>
      <c r="G142" s="93">
        <f>-G368</f>
        <v>-298.04250000000002</v>
      </c>
      <c r="H142" s="93">
        <f t="shared" ref="H142:K142" si="82">-H368</f>
        <v>-312.94462500000003</v>
      </c>
      <c r="I142" s="93">
        <f t="shared" si="82"/>
        <v>-328.59185625000003</v>
      </c>
      <c r="J142" s="93">
        <f t="shared" si="82"/>
        <v>-345.02144906250004</v>
      </c>
      <c r="K142" s="93">
        <f t="shared" si="82"/>
        <v>-362.27252151562504</v>
      </c>
    </row>
    <row r="143" spans="2:11" x14ac:dyDescent="0.3">
      <c r="B143" s="89" t="s">
        <v>241</v>
      </c>
      <c r="C143" s="89"/>
      <c r="D143" s="89"/>
      <c r="E143" s="125"/>
      <c r="F143" s="125"/>
      <c r="G143" s="93">
        <f>-G405</f>
        <v>-182.77944534011922</v>
      </c>
      <c r="H143" s="93">
        <f t="shared" ref="H143:K143" si="83">-H405</f>
        <v>-199.50391561934219</v>
      </c>
      <c r="I143" s="93">
        <f t="shared" si="83"/>
        <v>-216.7127011777653</v>
      </c>
      <c r="J143" s="93">
        <f t="shared" si="83"/>
        <v>-234.26881144843264</v>
      </c>
      <c r="K143" s="93">
        <f t="shared" si="83"/>
        <v>-253.24802020918017</v>
      </c>
    </row>
    <row r="144" spans="2:11" x14ac:dyDescent="0.3">
      <c r="B144" s="94" t="s">
        <v>242</v>
      </c>
      <c r="C144" s="94"/>
      <c r="D144" s="94"/>
      <c r="E144" s="235"/>
      <c r="F144" s="235"/>
      <c r="G144" s="97">
        <f>F66-G66</f>
        <v>0</v>
      </c>
      <c r="H144" s="97">
        <f>G66-H66</f>
        <v>0</v>
      </c>
      <c r="I144" s="97">
        <f>H66-I66</f>
        <v>0</v>
      </c>
      <c r="J144" s="97">
        <f>I66-J66</f>
        <v>0</v>
      </c>
      <c r="K144" s="97">
        <f>J66-K66</f>
        <v>0</v>
      </c>
    </row>
    <row r="145" spans="2:11" x14ac:dyDescent="0.3">
      <c r="B145" s="92" t="s">
        <v>243</v>
      </c>
      <c r="C145" s="92"/>
      <c r="D145" s="92"/>
      <c r="E145" s="125"/>
      <c r="F145" s="125"/>
      <c r="G145" s="109">
        <f>SUM(G142:G144)</f>
        <v>-480.82194534011921</v>
      </c>
      <c r="H145" s="109">
        <f>SUM(H142:H144)</f>
        <v>-512.44854061934222</v>
      </c>
      <c r="I145" s="109">
        <f>SUM(I142:I144)</f>
        <v>-545.3045574277653</v>
      </c>
      <c r="J145" s="109">
        <f>SUM(J142:J144)</f>
        <v>-579.29026051093274</v>
      </c>
      <c r="K145" s="109">
        <f>SUM(K142:K144)</f>
        <v>-615.52054172480518</v>
      </c>
    </row>
    <row r="146" spans="2:11" x14ac:dyDescent="0.3">
      <c r="B146" s="92"/>
      <c r="C146" s="92"/>
      <c r="D146" s="92"/>
      <c r="E146" s="125"/>
      <c r="F146" s="125"/>
      <c r="G146" s="109"/>
      <c r="H146" s="109"/>
      <c r="I146" s="109"/>
      <c r="J146" s="109"/>
      <c r="K146" s="109"/>
    </row>
    <row r="147" spans="2:11" x14ac:dyDescent="0.3">
      <c r="B147" s="113" t="s">
        <v>355</v>
      </c>
      <c r="C147" s="113"/>
      <c r="D147" s="113"/>
      <c r="E147" s="128"/>
      <c r="F147" s="128"/>
      <c r="G147" s="129">
        <f>G138+SUM(G142:G143)</f>
        <v>3081.1214547098307</v>
      </c>
      <c r="H147" s="129">
        <f>H138+SUM(H142:H143)</f>
        <v>2616.2989589753652</v>
      </c>
      <c r="I147" s="129">
        <f>I138+SUM(I142:I143)</f>
        <v>4362.3728983284491</v>
      </c>
      <c r="J147" s="129">
        <f>J138+SUM(J142:J143)</f>
        <v>6116.1515438902979</v>
      </c>
      <c r="K147" s="129">
        <f>K138+SUM(K142:K143)</f>
        <v>6258.3504614235435</v>
      </c>
    </row>
    <row r="148" spans="2:11" x14ac:dyDescent="0.3">
      <c r="B148" s="92" t="s">
        <v>356</v>
      </c>
      <c r="C148" s="92"/>
      <c r="D148" s="92"/>
      <c r="E148" s="125"/>
      <c r="F148" s="125"/>
      <c r="G148" s="109">
        <f>G147-G344</f>
        <v>610.54131105998204</v>
      </c>
      <c r="H148" s="109">
        <f>H147-H344</f>
        <v>-96.705070133987647</v>
      </c>
      <c r="I148" s="109">
        <f>I147-I344</f>
        <v>1528.2385725604204</v>
      </c>
      <c r="J148" s="109">
        <f>J147-J344</f>
        <v>2822.656961922386</v>
      </c>
      <c r="K148" s="109">
        <f>K147-K344</f>
        <v>2528.8394963245046</v>
      </c>
    </row>
    <row r="149" spans="2:11" x14ac:dyDescent="0.3">
      <c r="B149" s="89"/>
      <c r="C149" s="89"/>
      <c r="D149" s="89"/>
      <c r="E149" s="125"/>
      <c r="F149" s="125"/>
      <c r="G149" s="93"/>
      <c r="H149" s="93"/>
      <c r="I149" s="93"/>
      <c r="J149" s="93"/>
      <c r="K149" s="93"/>
    </row>
    <row r="150" spans="2:11" x14ac:dyDescent="0.3">
      <c r="B150" s="92" t="s">
        <v>244</v>
      </c>
      <c r="C150" s="89"/>
      <c r="D150" s="89"/>
      <c r="E150" s="125"/>
      <c r="F150" s="125"/>
      <c r="G150" s="93"/>
      <c r="H150" s="93"/>
      <c r="I150" s="93"/>
      <c r="J150" s="93"/>
      <c r="K150" s="93"/>
    </row>
    <row r="151" spans="2:11" x14ac:dyDescent="0.3">
      <c r="B151" s="89"/>
      <c r="C151" s="89"/>
      <c r="D151" s="89"/>
      <c r="E151" s="125"/>
      <c r="F151" s="125"/>
      <c r="G151" s="93"/>
      <c r="H151" s="93"/>
      <c r="I151" s="93"/>
      <c r="J151" s="93"/>
      <c r="K151" s="93"/>
    </row>
    <row r="152" spans="2:11" x14ac:dyDescent="0.3">
      <c r="B152" s="89" t="s">
        <v>295</v>
      </c>
      <c r="C152" s="89"/>
      <c r="D152" s="89"/>
      <c r="E152" s="125"/>
      <c r="F152" s="125"/>
      <c r="G152" s="93">
        <f>G493</f>
        <v>0</v>
      </c>
      <c r="H152" s="93">
        <f t="shared" ref="H152:K152" si="84">H493</f>
        <v>0</v>
      </c>
      <c r="I152" s="93">
        <f t="shared" si="84"/>
        <v>0</v>
      </c>
      <c r="J152" s="93">
        <f t="shared" si="84"/>
        <v>0</v>
      </c>
      <c r="K152" s="93">
        <f t="shared" si="84"/>
        <v>0</v>
      </c>
    </row>
    <row r="153" spans="2:11" x14ac:dyDescent="0.3">
      <c r="B153" s="89" t="s">
        <v>245</v>
      </c>
      <c r="C153" s="89"/>
      <c r="D153" s="89"/>
      <c r="E153" s="125"/>
      <c r="F153" s="125"/>
      <c r="G153" s="93">
        <f t="shared" ref="G153:K153" si="85">G494</f>
        <v>0</v>
      </c>
      <c r="H153" s="93">
        <f t="shared" si="85"/>
        <v>0</v>
      </c>
      <c r="I153" s="93">
        <f t="shared" si="85"/>
        <v>0</v>
      </c>
      <c r="J153" s="93">
        <f t="shared" si="85"/>
        <v>0</v>
      </c>
      <c r="K153" s="93">
        <f t="shared" si="85"/>
        <v>0</v>
      </c>
    </row>
    <row r="154" spans="2:11" x14ac:dyDescent="0.3">
      <c r="B154" s="89" t="s">
        <v>246</v>
      </c>
      <c r="C154" s="89"/>
      <c r="D154" s="89"/>
      <c r="E154" s="125"/>
      <c r="F154" s="125"/>
      <c r="G154" s="93">
        <f>G500</f>
        <v>0</v>
      </c>
      <c r="H154" s="93">
        <f t="shared" ref="H154:K154" si="86">H500</f>
        <v>0</v>
      </c>
      <c r="I154" s="93">
        <f t="shared" si="86"/>
        <v>0</v>
      </c>
      <c r="J154" s="93">
        <f t="shared" si="86"/>
        <v>0</v>
      </c>
      <c r="K154" s="93">
        <f t="shared" si="86"/>
        <v>0</v>
      </c>
    </row>
    <row r="155" spans="2:11" x14ac:dyDescent="0.3">
      <c r="B155" s="89" t="s">
        <v>247</v>
      </c>
      <c r="C155" s="89"/>
      <c r="D155" s="89"/>
      <c r="E155" s="125"/>
      <c r="F155" s="125"/>
      <c r="G155" s="93">
        <f t="shared" ref="G155:K155" si="87">G501</f>
        <v>0</v>
      </c>
      <c r="H155" s="93">
        <f t="shared" si="87"/>
        <v>0</v>
      </c>
      <c r="I155" s="93">
        <f t="shared" si="87"/>
        <v>0</v>
      </c>
      <c r="J155" s="93">
        <f t="shared" si="87"/>
        <v>0</v>
      </c>
      <c r="K155" s="93">
        <f t="shared" si="87"/>
        <v>0</v>
      </c>
    </row>
    <row r="156" spans="2:11" x14ac:dyDescent="0.3">
      <c r="B156" s="89" t="s">
        <v>248</v>
      </c>
      <c r="C156" s="89"/>
      <c r="D156" s="89"/>
      <c r="E156" s="125"/>
      <c r="F156" s="125"/>
      <c r="G156" s="93">
        <f>-G344</f>
        <v>-2470.5801436498487</v>
      </c>
      <c r="H156" s="93">
        <f t="shared" ref="H156:K156" si="88">-H344</f>
        <v>-2713.0040291093528</v>
      </c>
      <c r="I156" s="93">
        <f t="shared" si="88"/>
        <v>-2834.1343257680287</v>
      </c>
      <c r="J156" s="93">
        <f t="shared" si="88"/>
        <v>-3293.4945819679119</v>
      </c>
      <c r="K156" s="93">
        <f t="shared" si="88"/>
        <v>-3729.5109650990389</v>
      </c>
    </row>
    <row r="157" spans="2:11" x14ac:dyDescent="0.3">
      <c r="B157" s="89" t="s">
        <v>249</v>
      </c>
      <c r="C157" s="89"/>
      <c r="D157" s="89"/>
      <c r="E157" s="125"/>
      <c r="F157" s="125"/>
      <c r="G157" s="93">
        <f>G591</f>
        <v>0</v>
      </c>
      <c r="H157" s="93">
        <f t="shared" ref="H157:K157" si="89">H591</f>
        <v>0</v>
      </c>
      <c r="I157" s="93">
        <f t="shared" si="89"/>
        <v>-1286.9882314408821</v>
      </c>
      <c r="J157" s="93">
        <f t="shared" si="89"/>
        <v>-1747.6888505853335</v>
      </c>
      <c r="K157" s="93">
        <f t="shared" si="89"/>
        <v>0</v>
      </c>
    </row>
    <row r="158" spans="2:11" x14ac:dyDescent="0.3">
      <c r="B158" s="337" t="s">
        <v>262</v>
      </c>
      <c r="C158" s="337"/>
      <c r="D158" s="337"/>
      <c r="E158" s="352"/>
      <c r="F158" s="352"/>
      <c r="G158" s="339">
        <f>G592</f>
        <v>0</v>
      </c>
      <c r="H158" s="339">
        <f t="shared" ref="H158:K158" si="90">H592</f>
        <v>0</v>
      </c>
      <c r="I158" s="339">
        <f t="shared" si="90"/>
        <v>0</v>
      </c>
      <c r="J158" s="339">
        <f t="shared" si="90"/>
        <v>0</v>
      </c>
      <c r="K158" s="339">
        <f t="shared" si="90"/>
        <v>0</v>
      </c>
    </row>
    <row r="159" spans="2:11" x14ac:dyDescent="0.3">
      <c r="B159" s="94" t="s">
        <v>390</v>
      </c>
      <c r="C159" s="94"/>
      <c r="D159" s="94"/>
      <c r="E159" s="235"/>
      <c r="F159" s="235"/>
      <c r="G159" s="237">
        <f>Assumptions!F74</f>
        <v>0</v>
      </c>
      <c r="H159" s="237">
        <f>Assumptions!G74</f>
        <v>0</v>
      </c>
      <c r="I159" s="237">
        <f>Assumptions!H74</f>
        <v>0</v>
      </c>
      <c r="J159" s="237">
        <f>Assumptions!I74</f>
        <v>0</v>
      </c>
      <c r="K159" s="237">
        <f>Assumptions!J74</f>
        <v>0</v>
      </c>
    </row>
    <row r="160" spans="2:11" x14ac:dyDescent="0.3">
      <c r="B160" s="92" t="s">
        <v>250</v>
      </c>
      <c r="C160" s="92"/>
      <c r="D160" s="92"/>
      <c r="E160" s="125"/>
      <c r="F160" s="125"/>
      <c r="G160" s="109">
        <f>SUM(G153:G158)</f>
        <v>-2470.5801436498487</v>
      </c>
      <c r="H160" s="109">
        <f t="shared" ref="H160:K160" si="91">SUM(H153:H158)</f>
        <v>-2713.0040291093528</v>
      </c>
      <c r="I160" s="109">
        <f t="shared" si="91"/>
        <v>-4121.1225572089106</v>
      </c>
      <c r="J160" s="109">
        <f t="shared" si="91"/>
        <v>-5041.1834325532454</v>
      </c>
      <c r="K160" s="109">
        <f t="shared" si="91"/>
        <v>-3729.5109650990389</v>
      </c>
    </row>
    <row r="161" spans="2:11" x14ac:dyDescent="0.3">
      <c r="B161" s="89"/>
      <c r="C161" s="89"/>
      <c r="D161" s="89"/>
      <c r="E161" s="125"/>
      <c r="F161" s="125"/>
      <c r="G161" s="126"/>
      <c r="H161" s="126"/>
      <c r="I161" s="126"/>
      <c r="J161" s="126"/>
      <c r="K161" s="126"/>
    </row>
    <row r="162" spans="2:11" x14ac:dyDescent="0.3">
      <c r="B162" s="89" t="s">
        <v>255</v>
      </c>
      <c r="C162" s="89"/>
      <c r="D162" s="89"/>
      <c r="E162" s="125"/>
      <c r="F162" s="125"/>
      <c r="G162" s="109">
        <f>F78/1000</f>
        <v>2247.8859579831928</v>
      </c>
      <c r="H162" s="109">
        <f>G78/1000</f>
        <v>2858.4272690431749</v>
      </c>
      <c r="I162" s="109">
        <f>H78/1000</f>
        <v>2761.7221989091872</v>
      </c>
      <c r="J162" s="109">
        <f>I78/1000</f>
        <v>3002.9725400287257</v>
      </c>
      <c r="K162" s="109">
        <f>J78/1000</f>
        <v>4077.9406513657782</v>
      </c>
    </row>
    <row r="163" spans="2:11" x14ac:dyDescent="0.3">
      <c r="B163" s="130" t="s">
        <v>256</v>
      </c>
      <c r="C163" s="130"/>
      <c r="D163" s="130"/>
      <c r="E163" s="131"/>
      <c r="F163" s="131"/>
      <c r="G163" s="132">
        <f>G138+G145+G160</f>
        <v>610.54131105998204</v>
      </c>
      <c r="H163" s="132">
        <f>H138+H145+H160</f>
        <v>-96.705070133987647</v>
      </c>
      <c r="I163" s="132">
        <f>I138+I145+I160</f>
        <v>241.25034111953846</v>
      </c>
      <c r="J163" s="132">
        <f>J138+J145+J160</f>
        <v>1074.9681113370525</v>
      </c>
      <c r="K163" s="132">
        <f>K138+K145+K160</f>
        <v>2528.8394963245046</v>
      </c>
    </row>
    <row r="164" spans="2:11" x14ac:dyDescent="0.3">
      <c r="B164" s="89" t="s">
        <v>257</v>
      </c>
      <c r="C164" s="89"/>
      <c r="D164" s="89"/>
      <c r="E164" s="125"/>
      <c r="F164" s="125"/>
      <c r="G164" s="109">
        <f>SUM(G162:G163)</f>
        <v>2858.4272690431749</v>
      </c>
      <c r="H164" s="109">
        <f t="shared" ref="H164:K164" si="92">SUM(H162:H163)</f>
        <v>2761.7221989091872</v>
      </c>
      <c r="I164" s="109">
        <f t="shared" si="92"/>
        <v>3002.9725400287257</v>
      </c>
      <c r="J164" s="109">
        <f t="shared" si="92"/>
        <v>4077.9406513657782</v>
      </c>
      <c r="K164" s="109">
        <f t="shared" si="92"/>
        <v>6606.7801476902823</v>
      </c>
    </row>
    <row r="165" spans="2:11" x14ac:dyDescent="0.3">
      <c r="B165" s="64"/>
      <c r="C165" s="64"/>
      <c r="D165" s="64"/>
      <c r="E165" s="79"/>
      <c r="F165" s="79"/>
      <c r="G165" s="80"/>
      <c r="H165" s="80"/>
      <c r="I165" s="80"/>
      <c r="J165" s="80"/>
      <c r="K165" s="80"/>
    </row>
    <row r="166" spans="2:11" x14ac:dyDescent="0.3">
      <c r="B166" s="64"/>
      <c r="C166" s="64"/>
      <c r="D166" s="64"/>
      <c r="E166" s="79"/>
      <c r="F166" s="79"/>
      <c r="G166" s="80"/>
      <c r="H166" s="80"/>
      <c r="I166" s="80"/>
      <c r="J166" s="80"/>
      <c r="K166" s="80"/>
    </row>
    <row r="167" spans="2:11" x14ac:dyDescent="0.3">
      <c r="B167" s="64"/>
      <c r="C167" s="64"/>
      <c r="D167" s="64"/>
      <c r="E167" s="79"/>
      <c r="F167" s="79"/>
      <c r="G167" s="80"/>
      <c r="H167" s="80"/>
      <c r="I167" s="80"/>
      <c r="J167" s="80"/>
      <c r="K167" s="80"/>
    </row>
    <row r="168" spans="2:11" x14ac:dyDescent="0.3">
      <c r="B168" s="64"/>
      <c r="C168" s="64"/>
      <c r="D168" s="64"/>
      <c r="E168" s="79"/>
      <c r="F168" s="79"/>
      <c r="G168" s="80"/>
      <c r="H168" s="80"/>
      <c r="I168" s="80"/>
      <c r="J168" s="80"/>
      <c r="K168" s="80"/>
    </row>
    <row r="169" spans="2:11" ht="24.6" x14ac:dyDescent="0.4">
      <c r="B169" s="59" t="s">
        <v>339</v>
      </c>
      <c r="C169" s="68"/>
      <c r="D169" s="69"/>
      <c r="E169" s="69"/>
      <c r="F169" s="69"/>
      <c r="G169" s="69"/>
      <c r="H169" s="69"/>
      <c r="I169" s="69"/>
      <c r="J169" s="69"/>
      <c r="K169" s="69"/>
    </row>
    <row r="170" spans="2:11" ht="17.399999999999999" x14ac:dyDescent="0.3">
      <c r="B170" s="60" t="s">
        <v>21</v>
      </c>
      <c r="C170" s="69"/>
      <c r="D170" s="69"/>
      <c r="E170" s="69"/>
      <c r="F170" s="69"/>
      <c r="G170" s="69"/>
      <c r="H170" s="69"/>
      <c r="I170" s="69"/>
      <c r="J170" s="69"/>
      <c r="K170" s="69"/>
    </row>
    <row r="171" spans="2:11" x14ac:dyDescent="0.3">
      <c r="B171" s="61"/>
      <c r="C171" s="61"/>
      <c r="D171" s="61"/>
      <c r="E171" s="61"/>
      <c r="F171" s="61"/>
      <c r="G171" s="61"/>
      <c r="H171" s="61"/>
      <c r="I171" s="61"/>
      <c r="J171" s="63"/>
      <c r="K171" s="63"/>
    </row>
    <row r="172" spans="2:11" x14ac:dyDescent="0.3">
      <c r="B172" s="215" t="s">
        <v>340</v>
      </c>
      <c r="C172" s="61"/>
      <c r="D172" s="61"/>
      <c r="E172" s="61"/>
      <c r="F172" s="61"/>
      <c r="G172" s="61"/>
      <c r="H172" s="61"/>
      <c r="I172" s="61"/>
      <c r="J172" s="63"/>
      <c r="K172" s="63"/>
    </row>
    <row r="173" spans="2:11" x14ac:dyDescent="0.3">
      <c r="B173" s="63"/>
      <c r="C173" s="63"/>
      <c r="D173" s="63"/>
      <c r="E173" s="63"/>
      <c r="F173" s="63"/>
      <c r="G173" s="63"/>
      <c r="H173" s="63"/>
      <c r="I173" s="63"/>
      <c r="J173" s="63"/>
      <c r="K173" s="63"/>
    </row>
    <row r="174" spans="2:11" x14ac:dyDescent="0.3">
      <c r="B174" s="63"/>
      <c r="C174" s="63"/>
      <c r="D174" s="63"/>
      <c r="E174" s="70">
        <v>2024</v>
      </c>
      <c r="F174" s="70">
        <v>2025</v>
      </c>
      <c r="G174" s="71">
        <f>F174+1</f>
        <v>2026</v>
      </c>
      <c r="H174" s="71">
        <f t="shared" ref="H174:K174" si="93">G174+1</f>
        <v>2027</v>
      </c>
      <c r="I174" s="71">
        <f t="shared" si="93"/>
        <v>2028</v>
      </c>
      <c r="J174" s="71">
        <f t="shared" si="93"/>
        <v>2029</v>
      </c>
      <c r="K174" s="71">
        <f t="shared" si="93"/>
        <v>2030</v>
      </c>
    </row>
    <row r="175" spans="2:11" x14ac:dyDescent="0.3">
      <c r="B175" s="63"/>
      <c r="C175" s="63"/>
      <c r="D175" s="63"/>
      <c r="E175" s="213" t="s">
        <v>341</v>
      </c>
      <c r="F175" s="213"/>
      <c r="G175" s="214"/>
      <c r="H175" s="214"/>
      <c r="I175" s="214"/>
      <c r="J175" s="214"/>
      <c r="K175" s="214" t="s">
        <v>342</v>
      </c>
    </row>
    <row r="176" spans="2:11" x14ac:dyDescent="0.3">
      <c r="B176" s="92" t="s">
        <v>22</v>
      </c>
      <c r="C176" s="89"/>
      <c r="D176" s="89"/>
      <c r="E176" s="133"/>
      <c r="F176" s="133"/>
      <c r="G176" s="126"/>
      <c r="H176" s="126"/>
      <c r="I176" s="126"/>
      <c r="J176" s="126"/>
      <c r="K176" s="126"/>
    </row>
    <row r="177" spans="2:17" x14ac:dyDescent="0.3">
      <c r="B177" s="89"/>
      <c r="C177" s="89"/>
      <c r="D177" s="89"/>
      <c r="E177" s="133"/>
      <c r="F177" s="133"/>
      <c r="G177" s="126"/>
      <c r="H177" s="126"/>
      <c r="I177" s="126"/>
      <c r="J177" s="126"/>
      <c r="K177" s="126"/>
    </row>
    <row r="178" spans="2:17" x14ac:dyDescent="0.3">
      <c r="B178" s="89" t="s">
        <v>53</v>
      </c>
      <c r="C178" s="89" t="s">
        <v>321</v>
      </c>
      <c r="D178" s="89"/>
      <c r="E178" s="134">
        <f>E213</f>
        <v>67177272</v>
      </c>
      <c r="F178" s="134">
        <f t="shared" ref="F178:K178" si="94">F213</f>
        <v>68550349</v>
      </c>
      <c r="G178" s="134">
        <f t="shared" si="94"/>
        <v>72663369.939999998</v>
      </c>
      <c r="H178" s="134">
        <f t="shared" si="94"/>
        <v>77023172.136399999</v>
      </c>
      <c r="I178" s="134">
        <f t="shared" si="94"/>
        <v>81644562.464584008</v>
      </c>
      <c r="J178" s="134">
        <f t="shared" si="94"/>
        <v>86543236.212459058</v>
      </c>
      <c r="K178" s="134">
        <f t="shared" si="94"/>
        <v>91735830.38520661</v>
      </c>
    </row>
    <row r="179" spans="2:17" x14ac:dyDescent="0.3">
      <c r="B179" s="89" t="s">
        <v>54</v>
      </c>
      <c r="C179" s="89" t="s">
        <v>322</v>
      </c>
      <c r="D179" s="89"/>
      <c r="E179" s="133"/>
      <c r="F179" s="133"/>
      <c r="G179" s="135">
        <f>G261</f>
        <v>102386880000</v>
      </c>
      <c r="H179" s="135">
        <f t="shared" ref="H179:K179" si="95">H261</f>
        <v>119915640000</v>
      </c>
      <c r="I179" s="135">
        <f t="shared" si="95"/>
        <v>125119080000</v>
      </c>
      <c r="J179" s="135">
        <f t="shared" si="95"/>
        <v>134343360000</v>
      </c>
      <c r="K179" s="135">
        <f t="shared" si="95"/>
        <v>151136280000</v>
      </c>
      <c r="Q179" s="58"/>
    </row>
    <row r="180" spans="2:17" x14ac:dyDescent="0.3">
      <c r="B180" s="89" t="s">
        <v>55</v>
      </c>
      <c r="C180" s="89" t="s">
        <v>13</v>
      </c>
      <c r="D180" s="89"/>
      <c r="E180" s="88">
        <f>E219</f>
        <v>0.93259038483867973</v>
      </c>
      <c r="F180" s="88">
        <f t="shared" ref="F180:K180" si="96">F219</f>
        <v>0.83588041647142564</v>
      </c>
      <c r="G180" s="136">
        <f t="shared" si="96"/>
        <v>0.85163298196018866</v>
      </c>
      <c r="H180" s="136">
        <f t="shared" si="96"/>
        <v>0.86712027208577624</v>
      </c>
      <c r="I180" s="136">
        <f t="shared" si="96"/>
        <v>0.88092207301387138</v>
      </c>
      <c r="J180" s="136">
        <f t="shared" si="96"/>
        <v>0.86966240003837725</v>
      </c>
      <c r="K180" s="136">
        <f t="shared" si="96"/>
        <v>0.8194152391472711</v>
      </c>
    </row>
    <row r="181" spans="2:17" x14ac:dyDescent="0.3">
      <c r="B181" s="89" t="s">
        <v>56</v>
      </c>
      <c r="C181" s="89" t="s">
        <v>62</v>
      </c>
      <c r="D181" s="89"/>
      <c r="E181" s="137">
        <f>E224</f>
        <v>266</v>
      </c>
      <c r="F181" s="138">
        <f t="shared" ref="F181:K181" si="97">F224</f>
        <v>258</v>
      </c>
      <c r="G181" s="138">
        <f t="shared" si="97"/>
        <v>267.02999999999997</v>
      </c>
      <c r="H181" s="138">
        <f t="shared" si="97"/>
        <v>275.04089999999997</v>
      </c>
      <c r="I181" s="138">
        <f t="shared" si="97"/>
        <v>281.91692249999994</v>
      </c>
      <c r="J181" s="138">
        <f t="shared" si="97"/>
        <v>287.55526094999993</v>
      </c>
      <c r="K181" s="138">
        <f t="shared" si="97"/>
        <v>293.30636616899994</v>
      </c>
    </row>
    <row r="182" spans="2:17" x14ac:dyDescent="0.3">
      <c r="B182" s="89" t="s">
        <v>57</v>
      </c>
      <c r="C182" s="89" t="s">
        <v>62</v>
      </c>
      <c r="D182" s="89"/>
      <c r="E182" s="137">
        <f>E227</f>
        <v>62</v>
      </c>
      <c r="F182" s="137">
        <f t="shared" ref="F182:K182" si="98">F227</f>
        <v>63</v>
      </c>
      <c r="G182" s="137">
        <f t="shared" si="98"/>
        <v>65.204999999999998</v>
      </c>
      <c r="H182" s="137">
        <f t="shared" si="98"/>
        <v>67.161150000000006</v>
      </c>
      <c r="I182" s="137">
        <f t="shared" si="98"/>
        <v>68.840178750000007</v>
      </c>
      <c r="J182" s="137">
        <f t="shared" si="98"/>
        <v>70.216982325000004</v>
      </c>
      <c r="K182" s="137">
        <f t="shared" si="98"/>
        <v>71.621321971500009</v>
      </c>
    </row>
    <row r="183" spans="2:17" x14ac:dyDescent="0.3">
      <c r="B183" s="89" t="s">
        <v>58</v>
      </c>
      <c r="C183" s="89" t="s">
        <v>324</v>
      </c>
      <c r="D183" s="89"/>
      <c r="E183" s="139">
        <v>20.7</v>
      </c>
      <c r="F183" s="139">
        <v>19.600000000000001</v>
      </c>
      <c r="G183" s="140">
        <f>G10*100000000/G261</f>
        <v>23.80245663508439</v>
      </c>
      <c r="H183" s="140">
        <f>H10*100000000/H261</f>
        <v>22.182696170890601</v>
      </c>
      <c r="I183" s="140">
        <f>I10*100000000/I261</f>
        <v>23.094021170633642</v>
      </c>
      <c r="J183" s="140">
        <f>J10*100000000/J261</f>
        <v>23.250752047929787</v>
      </c>
      <c r="K183" s="140">
        <f>K10*100000000/K261</f>
        <v>22.341692341876723</v>
      </c>
    </row>
    <row r="184" spans="2:17" x14ac:dyDescent="0.3">
      <c r="B184" s="89" t="s">
        <v>59</v>
      </c>
      <c r="C184" s="89" t="s">
        <v>324</v>
      </c>
      <c r="D184" s="89"/>
      <c r="E184" s="139">
        <v>22.43</v>
      </c>
      <c r="F184" s="139">
        <v>18.829999999999998</v>
      </c>
      <c r="G184" s="140">
        <f>-G16*100000000/G261</f>
        <v>21.160603776796052</v>
      </c>
      <c r="H184" s="140">
        <f>-H16*100000000/H261</f>
        <v>19.50098272602736</v>
      </c>
      <c r="I184" s="140">
        <f>-I16*100000000/I261</f>
        <v>17.987406009523419</v>
      </c>
      <c r="J184" s="140">
        <f>-J16*100000000/J261</f>
        <v>17.961206160661725</v>
      </c>
      <c r="K184" s="140">
        <f>-K16*100000000/K261</f>
        <v>18.195305308658593</v>
      </c>
    </row>
    <row r="185" spans="2:17" x14ac:dyDescent="0.3">
      <c r="B185" s="89" t="s">
        <v>60</v>
      </c>
      <c r="C185" s="89" t="s">
        <v>324</v>
      </c>
      <c r="D185" s="89"/>
      <c r="E185" s="139">
        <v>14.44</v>
      </c>
      <c r="F185" s="139">
        <v>12.05</v>
      </c>
      <c r="G185" s="140">
        <f>-((SUM(G13:G15)+G11+G21+G22) * 100000000) / G261</f>
        <v>13.217185123470996</v>
      </c>
      <c r="H185" s="140">
        <f>-((SUM(H13:H15)+H11+H21+H22) * 100000000) / H261</f>
        <v>12.412856464633238</v>
      </c>
      <c r="I185" s="140">
        <f>-((SUM(I13:I15)+I11+I21+I22) * 100000000) / I261</f>
        <v>13.00219125666734</v>
      </c>
      <c r="J185" s="140">
        <f>-((SUM(J13:J15)+J11+J21+J22) * 100000000) / J261</f>
        <v>13.665858524079038</v>
      </c>
      <c r="K185" s="140">
        <f>-((SUM(K13:K15)+K11+K21+K22) * 100000000) / K261</f>
        <v>14.295975975392167</v>
      </c>
    </row>
    <row r="186" spans="2:17" x14ac:dyDescent="0.3">
      <c r="B186" s="89" t="s">
        <v>305</v>
      </c>
      <c r="C186" s="89" t="s">
        <v>64</v>
      </c>
      <c r="D186" s="89"/>
      <c r="E186" s="141">
        <f>E278</f>
        <v>0</v>
      </c>
      <c r="F186" s="141">
        <f t="shared" ref="F186:K186" si="99">F278</f>
        <v>0</v>
      </c>
      <c r="G186" s="142">
        <f t="shared" si="99"/>
        <v>128.5</v>
      </c>
      <c r="H186" s="142">
        <f t="shared" si="99"/>
        <v>132.5</v>
      </c>
      <c r="I186" s="142">
        <f t="shared" si="99"/>
        <v>107.5</v>
      </c>
      <c r="J186" s="142">
        <f t="shared" si="99"/>
        <v>102.5</v>
      </c>
      <c r="K186" s="142">
        <f t="shared" si="99"/>
        <v>102.5</v>
      </c>
    </row>
    <row r="187" spans="2:17" x14ac:dyDescent="0.3">
      <c r="B187" s="89" t="s">
        <v>61</v>
      </c>
      <c r="C187" s="89" t="s">
        <v>100</v>
      </c>
      <c r="D187" s="89"/>
      <c r="E187" s="133"/>
      <c r="F187" s="133"/>
      <c r="G187" s="143">
        <f>G247</f>
        <v>253</v>
      </c>
      <c r="H187" s="143">
        <f>H247</f>
        <v>267</v>
      </c>
      <c r="I187" s="143">
        <f>I247</f>
        <v>276</v>
      </c>
      <c r="J187" s="143">
        <f>J247</f>
        <v>307</v>
      </c>
      <c r="K187" s="143">
        <f>K247</f>
        <v>349</v>
      </c>
    </row>
    <row r="188" spans="2:17" x14ac:dyDescent="0.3">
      <c r="B188" s="89"/>
      <c r="C188" s="89"/>
      <c r="D188" s="89"/>
      <c r="E188" s="133"/>
      <c r="F188" s="133"/>
      <c r="G188" s="126"/>
      <c r="H188" s="126"/>
      <c r="I188" s="126"/>
      <c r="J188" s="126"/>
      <c r="K188" s="126"/>
    </row>
    <row r="189" spans="2:17" x14ac:dyDescent="0.3">
      <c r="B189" s="92" t="s">
        <v>306</v>
      </c>
      <c r="C189" s="89"/>
      <c r="D189" s="89"/>
      <c r="E189" s="133"/>
      <c r="F189" s="133"/>
      <c r="G189" s="126"/>
      <c r="H189" s="126"/>
      <c r="I189" s="126"/>
      <c r="J189" s="126"/>
      <c r="K189" s="126"/>
    </row>
    <row r="190" spans="2:17" x14ac:dyDescent="0.3">
      <c r="B190" s="89"/>
      <c r="C190" s="89"/>
      <c r="D190" s="89"/>
      <c r="E190" s="133"/>
      <c r="F190" s="133"/>
      <c r="G190" s="126"/>
      <c r="H190" s="126"/>
      <c r="I190" s="126"/>
      <c r="J190" s="126"/>
      <c r="K190" s="126"/>
    </row>
    <row r="191" spans="2:17" x14ac:dyDescent="0.3">
      <c r="B191" s="89" t="s">
        <v>307</v>
      </c>
      <c r="C191" s="89" t="s">
        <v>13</v>
      </c>
      <c r="D191" s="89"/>
      <c r="E191" s="144"/>
      <c r="F191" s="144"/>
      <c r="G191" s="103">
        <f t="shared" ref="G191:K191" si="100">G$41 * 1000/AVERAGE(F$81,G$81)</f>
        <v>-1.9934299728953671E-2</v>
      </c>
      <c r="H191" s="103">
        <f t="shared" si="100"/>
        <v>-1.601731808273283E-2</v>
      </c>
      <c r="I191" s="103">
        <f t="shared" si="100"/>
        <v>3.8728741245537969E-2</v>
      </c>
      <c r="J191" s="103">
        <f t="shared" si="100"/>
        <v>3.9537103655518074E-2</v>
      </c>
      <c r="K191" s="103">
        <f t="shared" si="100"/>
        <v>1.1630291231415773E-3</v>
      </c>
    </row>
    <row r="192" spans="2:17" x14ac:dyDescent="0.3">
      <c r="B192" s="89" t="s">
        <v>312</v>
      </c>
      <c r="C192" s="89" t="s">
        <v>13</v>
      </c>
      <c r="D192" s="89"/>
      <c r="E192" s="103">
        <f>E18/E10</f>
        <v>0.12289797574500699</v>
      </c>
      <c r="F192" s="103">
        <f>F18/F10</f>
        <v>0.20521128662076416</v>
      </c>
      <c r="G192" s="103">
        <f>G18/G10</f>
        <v>0.11833568226555057</v>
      </c>
      <c r="H192" s="103">
        <f>H18/H10</f>
        <v>0.12762132374075108</v>
      </c>
      <c r="I192" s="103">
        <f>I18/I10</f>
        <v>0.22731766088321226</v>
      </c>
      <c r="J192" s="103">
        <f>J18/J10</f>
        <v>0.23323058760965293</v>
      </c>
      <c r="K192" s="103">
        <f>K18/K10</f>
        <v>0.1908907849827661</v>
      </c>
    </row>
    <row r="193" spans="2:11" x14ac:dyDescent="0.3">
      <c r="B193" s="89" t="s">
        <v>308</v>
      </c>
      <c r="C193" s="89" t="s">
        <v>13</v>
      </c>
      <c r="D193" s="89"/>
      <c r="E193" s="103">
        <f>E41/E10</f>
        <v>-4.5714800955772961E-2</v>
      </c>
      <c r="F193" s="103">
        <f>F41/F10</f>
        <v>8.8294856217091947E-2</v>
      </c>
      <c r="G193" s="103">
        <f>G41/G10</f>
        <v>-3.3249719709242731E-2</v>
      </c>
      <c r="H193" s="103">
        <f>H41/H10</f>
        <v>-2.4509395154050869E-2</v>
      </c>
      <c r="I193" s="103">
        <f>I41/I10</f>
        <v>5.3877921933386197E-2</v>
      </c>
      <c r="J193" s="103">
        <f>J41/J10</f>
        <v>5.1731877438751898E-2</v>
      </c>
      <c r="K193" s="103">
        <f>K41/K10</f>
        <v>1.5297281296897413E-3</v>
      </c>
    </row>
    <row r="194" spans="2:11" x14ac:dyDescent="0.3">
      <c r="B194" s="89"/>
      <c r="C194" s="89"/>
      <c r="D194" s="89"/>
      <c r="E194" s="133"/>
      <c r="F194" s="133"/>
      <c r="G194" s="126"/>
      <c r="H194" s="126"/>
      <c r="I194" s="126"/>
      <c r="J194" s="126"/>
      <c r="K194" s="126"/>
    </row>
    <row r="195" spans="2:11" x14ac:dyDescent="0.3">
      <c r="B195" s="89" t="s">
        <v>310</v>
      </c>
      <c r="C195" s="89"/>
      <c r="D195" s="89"/>
      <c r="E195" s="133"/>
      <c r="F195" s="133"/>
      <c r="G195" s="126"/>
      <c r="H195" s="126"/>
      <c r="I195" s="126"/>
      <c r="J195" s="126"/>
      <c r="K195" s="126"/>
    </row>
    <row r="196" spans="2:11" x14ac:dyDescent="0.3">
      <c r="B196" s="64"/>
      <c r="C196" s="64"/>
      <c r="D196" s="64"/>
      <c r="E196" s="81"/>
      <c r="F196" s="81"/>
      <c r="G196" s="80"/>
      <c r="H196" s="80"/>
      <c r="I196" s="80"/>
      <c r="J196" s="80"/>
      <c r="K196" s="80"/>
    </row>
    <row r="197" spans="2:11" x14ac:dyDescent="0.3">
      <c r="B197" s="64"/>
      <c r="C197" s="64"/>
      <c r="D197" s="64"/>
      <c r="E197" s="81"/>
      <c r="F197" s="81"/>
      <c r="G197" s="80"/>
      <c r="H197" s="80"/>
      <c r="I197" s="80"/>
      <c r="J197" s="80"/>
      <c r="K197" s="80"/>
    </row>
    <row r="198" spans="2:11" x14ac:dyDescent="0.3">
      <c r="B198" s="64"/>
      <c r="C198" s="64"/>
      <c r="D198" s="64"/>
      <c r="E198" s="81"/>
      <c r="F198" s="81"/>
      <c r="G198" s="80"/>
      <c r="H198" s="80"/>
      <c r="I198" s="80"/>
      <c r="J198" s="80"/>
      <c r="K198" s="80"/>
    </row>
    <row r="199" spans="2:11" x14ac:dyDescent="0.3">
      <c r="B199" s="64"/>
      <c r="C199" s="64"/>
      <c r="D199" s="64"/>
      <c r="E199" s="81"/>
      <c r="F199" s="81"/>
      <c r="G199" s="80"/>
      <c r="H199" s="80"/>
      <c r="I199" s="80"/>
      <c r="J199" s="80"/>
      <c r="K199" s="80"/>
    </row>
    <row r="200" spans="2:11" x14ac:dyDescent="0.3">
      <c r="B200" s="64"/>
      <c r="C200" s="64"/>
      <c r="D200" s="64"/>
      <c r="E200" s="81"/>
      <c r="F200" s="81"/>
      <c r="G200" s="80"/>
      <c r="H200" s="80"/>
      <c r="I200" s="80"/>
      <c r="J200" s="80"/>
      <c r="K200" s="80"/>
    </row>
    <row r="201" spans="2:11" ht="24.6" x14ac:dyDescent="0.4">
      <c r="B201" s="59" t="s">
        <v>339</v>
      </c>
      <c r="C201" s="68"/>
      <c r="D201" s="69"/>
      <c r="E201" s="69"/>
      <c r="F201" s="69"/>
      <c r="G201" s="69"/>
      <c r="H201" s="69"/>
      <c r="I201" s="69"/>
      <c r="J201" s="69"/>
      <c r="K201" s="69"/>
    </row>
    <row r="202" spans="2:11" ht="17.399999999999999" x14ac:dyDescent="0.3">
      <c r="B202" s="60" t="s">
        <v>39</v>
      </c>
      <c r="C202" s="69"/>
      <c r="D202" s="69"/>
      <c r="E202" s="69"/>
      <c r="F202" s="69"/>
      <c r="G202" s="69"/>
      <c r="H202" s="69"/>
      <c r="I202" s="69"/>
      <c r="J202" s="69"/>
      <c r="K202" s="69"/>
    </row>
    <row r="203" spans="2:11" x14ac:dyDescent="0.3">
      <c r="B203" s="61"/>
      <c r="C203" s="61"/>
      <c r="D203" s="61"/>
      <c r="E203" s="61"/>
      <c r="F203" s="61"/>
      <c r="G203" s="61"/>
      <c r="H203" s="61"/>
      <c r="I203" s="61"/>
      <c r="J203" s="63"/>
      <c r="K203" s="63"/>
    </row>
    <row r="204" spans="2:11" x14ac:dyDescent="0.3">
      <c r="B204" s="215" t="s">
        <v>340</v>
      </c>
      <c r="C204" s="61"/>
      <c r="D204" s="61"/>
      <c r="E204" s="61"/>
      <c r="F204" s="61"/>
      <c r="G204" s="61"/>
      <c r="H204" s="61"/>
      <c r="I204" s="61"/>
      <c r="J204" s="63"/>
      <c r="K204" s="63"/>
    </row>
    <row r="205" spans="2:11" x14ac:dyDescent="0.3">
      <c r="B205" s="63"/>
      <c r="C205" s="63"/>
      <c r="D205" s="63"/>
      <c r="E205" s="63"/>
      <c r="F205" s="63"/>
      <c r="G205" s="63"/>
      <c r="H205" s="63"/>
      <c r="I205" s="63"/>
      <c r="J205" s="63"/>
      <c r="K205" s="63"/>
    </row>
    <row r="206" spans="2:11" x14ac:dyDescent="0.3">
      <c r="B206" s="63"/>
      <c r="C206" s="63"/>
      <c r="D206" s="63"/>
      <c r="E206" s="70">
        <v>2024</v>
      </c>
      <c r="F206" s="70">
        <v>2025</v>
      </c>
      <c r="G206" s="71">
        <f>F206+1</f>
        <v>2026</v>
      </c>
      <c r="H206" s="71">
        <f t="shared" ref="H206:K206" si="101">G206+1</f>
        <v>2027</v>
      </c>
      <c r="I206" s="71">
        <f t="shared" si="101"/>
        <v>2028</v>
      </c>
      <c r="J206" s="71">
        <f t="shared" si="101"/>
        <v>2029</v>
      </c>
      <c r="K206" s="71">
        <f t="shared" si="101"/>
        <v>2030</v>
      </c>
    </row>
    <row r="207" spans="2:11" x14ac:dyDescent="0.3">
      <c r="B207" s="63"/>
      <c r="C207" s="63"/>
      <c r="D207" s="63"/>
      <c r="E207" s="213" t="s">
        <v>341</v>
      </c>
      <c r="F207" s="213"/>
      <c r="G207" s="214"/>
      <c r="H207" s="214"/>
      <c r="I207" s="214"/>
      <c r="J207" s="214"/>
      <c r="K207" s="214" t="s">
        <v>342</v>
      </c>
    </row>
    <row r="208" spans="2:11" x14ac:dyDescent="0.3">
      <c r="B208" s="63"/>
      <c r="C208" s="63"/>
      <c r="D208" s="63"/>
      <c r="E208" s="72"/>
      <c r="F208" s="72"/>
      <c r="G208" s="73"/>
      <c r="H208" s="73"/>
      <c r="I208" s="73"/>
      <c r="J208" s="73"/>
      <c r="K208" s="73"/>
    </row>
    <row r="209" spans="2:13" x14ac:dyDescent="0.3">
      <c r="B209" s="89" t="s">
        <v>73</v>
      </c>
      <c r="C209" s="89" t="s">
        <v>74</v>
      </c>
      <c r="D209" s="89"/>
      <c r="E209" s="145"/>
      <c r="F209" s="134">
        <f>E211</f>
        <v>700000000</v>
      </c>
      <c r="G209" s="134">
        <f t="shared" ref="G209:K209" si="102">F209*(1+F210)</f>
        <v>731500000</v>
      </c>
      <c r="H209" s="134">
        <f t="shared" si="102"/>
        <v>765880500</v>
      </c>
      <c r="I209" s="134">
        <f t="shared" si="102"/>
        <v>803408644.5</v>
      </c>
      <c r="J209" s="134">
        <f t="shared" si="102"/>
        <v>839562033.50249994</v>
      </c>
      <c r="K209" s="134">
        <f t="shared" si="102"/>
        <v>877342325.0101124</v>
      </c>
    </row>
    <row r="210" spans="2:13" x14ac:dyDescent="0.3">
      <c r="B210" s="89" t="s">
        <v>75</v>
      </c>
      <c r="C210" s="89" t="s">
        <v>13</v>
      </c>
      <c r="D210" s="89"/>
      <c r="E210" s="243">
        <f>Assumptions!D49</f>
        <v>4.8000000000000001E-2</v>
      </c>
      <c r="F210" s="243">
        <f>Assumptions!E49</f>
        <v>4.4999999999999998E-2</v>
      </c>
      <c r="G210" s="243">
        <f>Assumptions!F49</f>
        <v>4.7E-2</v>
      </c>
      <c r="H210" s="243">
        <f>Assumptions!G49</f>
        <v>4.9000000000000002E-2</v>
      </c>
      <c r="I210" s="243">
        <f>Assumptions!H49</f>
        <v>4.4999999999999998E-2</v>
      </c>
      <c r="J210" s="243">
        <f>Assumptions!I49</f>
        <v>4.4999999999999998E-2</v>
      </c>
      <c r="K210" s="243">
        <f>Assumptions!J49</f>
        <v>4.4999999999999998E-2</v>
      </c>
    </row>
    <row r="211" spans="2:13" x14ac:dyDescent="0.3">
      <c r="B211" s="113" t="s">
        <v>77</v>
      </c>
      <c r="C211" s="113" t="s">
        <v>74</v>
      </c>
      <c r="D211" s="113"/>
      <c r="E211" s="147">
        <v>700000000</v>
      </c>
      <c r="F211" s="148">
        <f>F209*(1+F210)</f>
        <v>731500000</v>
      </c>
      <c r="G211" s="148">
        <f>G209*(1+G210)</f>
        <v>765880500</v>
      </c>
      <c r="H211" s="148">
        <f t="shared" ref="H211:K211" si="103">H209*(1+H210)</f>
        <v>803408644.5</v>
      </c>
      <c r="I211" s="148">
        <f t="shared" si="103"/>
        <v>839562033.50249994</v>
      </c>
      <c r="J211" s="148">
        <f t="shared" si="103"/>
        <v>877342325.0101124</v>
      </c>
      <c r="K211" s="148">
        <f t="shared" si="103"/>
        <v>916822729.63556743</v>
      </c>
      <c r="M211" t="s">
        <v>296</v>
      </c>
    </row>
    <row r="212" spans="2:13" x14ac:dyDescent="0.3">
      <c r="B212" s="89"/>
      <c r="C212" s="89"/>
      <c r="D212" s="89"/>
      <c r="E212" s="149"/>
      <c r="F212" s="149"/>
      <c r="G212" s="146"/>
      <c r="H212" s="146"/>
      <c r="I212" s="146"/>
      <c r="J212" s="146"/>
      <c r="K212" s="146"/>
    </row>
    <row r="213" spans="2:13" x14ac:dyDescent="0.3">
      <c r="B213" s="89" t="s">
        <v>53</v>
      </c>
      <c r="C213" s="89" t="s">
        <v>74</v>
      </c>
      <c r="D213" s="89"/>
      <c r="E213" s="149">
        <v>67177272</v>
      </c>
      <c r="F213" s="149">
        <v>68550349</v>
      </c>
      <c r="G213" s="244">
        <f>F213*(1+Assumptions!F57)</f>
        <v>72663369.939999998</v>
      </c>
      <c r="H213" s="244">
        <f>G213*(1+Assumptions!G57)</f>
        <v>77023172.136399999</v>
      </c>
      <c r="I213" s="244">
        <f>H213*(1+Assumptions!H57)</f>
        <v>81644562.464584008</v>
      </c>
      <c r="J213" s="244">
        <f>I213*(1+Assumptions!I57)</f>
        <v>86543236.212459058</v>
      </c>
      <c r="K213" s="244">
        <f>J213*(1+Assumptions!J57)</f>
        <v>91735830.38520661</v>
      </c>
    </row>
    <row r="214" spans="2:13" x14ac:dyDescent="0.3">
      <c r="B214" s="89" t="s">
        <v>311</v>
      </c>
      <c r="C214" s="89" t="s">
        <v>13</v>
      </c>
      <c r="D214" s="89"/>
      <c r="E214" s="149"/>
      <c r="F214" s="150">
        <f>(F213-E213)/E213</f>
        <v>2.0439606419266326E-2</v>
      </c>
      <c r="G214" s="151">
        <f t="shared" ref="G214:K214" si="104">(G213-F213)/F213</f>
        <v>5.9999999999999963E-2</v>
      </c>
      <c r="H214" s="151">
        <f t="shared" si="104"/>
        <v>6.0000000000000026E-2</v>
      </c>
      <c r="I214" s="151">
        <f t="shared" si="104"/>
        <v>6.0000000000000109E-2</v>
      </c>
      <c r="J214" s="151">
        <f t="shared" si="104"/>
        <v>6.0000000000000116E-2</v>
      </c>
      <c r="K214" s="151">
        <f t="shared" si="104"/>
        <v>6.0000000000000102E-2</v>
      </c>
    </row>
    <row r="215" spans="2:13" x14ac:dyDescent="0.3">
      <c r="B215" s="113" t="s">
        <v>79</v>
      </c>
      <c r="C215" s="113" t="s">
        <v>13</v>
      </c>
      <c r="D215" s="113"/>
      <c r="E215" s="152">
        <f>E213/E211</f>
        <v>9.5967531428571423E-2</v>
      </c>
      <c r="F215" s="152">
        <f t="shared" ref="F215:K215" si="105">F213/F211</f>
        <v>9.3712028708133971E-2</v>
      </c>
      <c r="G215" s="152">
        <f t="shared" si="105"/>
        <v>9.4875597354939833E-2</v>
      </c>
      <c r="H215" s="152">
        <f t="shared" si="105"/>
        <v>9.5870479691359603E-2</v>
      </c>
      <c r="I215" s="152">
        <f t="shared" si="105"/>
        <v>9.7246610978795403E-2</v>
      </c>
      <c r="J215" s="152">
        <f t="shared" si="105"/>
        <v>9.8642495346912107E-2</v>
      </c>
      <c r="K215" s="152">
        <f t="shared" si="105"/>
        <v>0.10005841633275296</v>
      </c>
    </row>
    <row r="216" spans="2:13" x14ac:dyDescent="0.3">
      <c r="B216" s="89"/>
      <c r="C216" s="89"/>
      <c r="D216" s="89"/>
      <c r="E216" s="153"/>
      <c r="F216" s="153"/>
      <c r="G216" s="154"/>
      <c r="H216" s="154"/>
      <c r="I216" s="154"/>
      <c r="J216" s="154"/>
      <c r="K216" s="154"/>
    </row>
    <row r="217" spans="2:13" x14ac:dyDescent="0.3">
      <c r="B217" s="89" t="s">
        <v>67</v>
      </c>
      <c r="C217" s="89" t="s">
        <v>74</v>
      </c>
      <c r="D217" s="89"/>
      <c r="E217" s="149">
        <v>72032988</v>
      </c>
      <c r="F217" s="149">
        <v>82009756</v>
      </c>
      <c r="G217" s="134">
        <f>G262</f>
        <v>85322400</v>
      </c>
      <c r="H217" s="134">
        <f t="shared" ref="H217:K217" si="106">H262</f>
        <v>88826400</v>
      </c>
      <c r="I217" s="134">
        <f t="shared" si="106"/>
        <v>92680800</v>
      </c>
      <c r="J217" s="134">
        <f t="shared" si="106"/>
        <v>99513600</v>
      </c>
      <c r="K217" s="134">
        <f t="shared" si="106"/>
        <v>111952800</v>
      </c>
    </row>
    <row r="218" spans="2:13" x14ac:dyDescent="0.3">
      <c r="B218" s="89" t="s">
        <v>78</v>
      </c>
      <c r="C218" s="89" t="s">
        <v>13</v>
      </c>
      <c r="D218" s="89"/>
      <c r="E218" s="149"/>
      <c r="F218" s="155">
        <f>F264</f>
        <v>0.13850276487211666</v>
      </c>
      <c r="G218" s="155">
        <f>G264</f>
        <v>4.0393291744460255E-2</v>
      </c>
      <c r="H218" s="155">
        <f t="shared" ref="H218:K218" si="107">H264</f>
        <v>4.1067761806981518E-2</v>
      </c>
      <c r="I218" s="155">
        <f t="shared" si="107"/>
        <v>4.3392504930966469E-2</v>
      </c>
      <c r="J218" s="155">
        <f t="shared" si="107"/>
        <v>7.3724007561436669E-2</v>
      </c>
      <c r="K218" s="155">
        <f t="shared" si="107"/>
        <v>0.125</v>
      </c>
    </row>
    <row r="219" spans="2:13" x14ac:dyDescent="0.3">
      <c r="B219" s="113" t="s">
        <v>55</v>
      </c>
      <c r="C219" s="113" t="s">
        <v>13</v>
      </c>
      <c r="D219" s="113"/>
      <c r="E219" s="156">
        <f>E213/E217</f>
        <v>0.93259038483867973</v>
      </c>
      <c r="F219" s="156">
        <f t="shared" ref="F219:K219" si="108">F213/F217</f>
        <v>0.83588041647142564</v>
      </c>
      <c r="G219" s="156">
        <f>G213/G217</f>
        <v>0.85163298196018866</v>
      </c>
      <c r="H219" s="156">
        <f t="shared" si="108"/>
        <v>0.86712027208577624</v>
      </c>
      <c r="I219" s="156">
        <f t="shared" si="108"/>
        <v>0.88092207301387138</v>
      </c>
      <c r="J219" s="156">
        <f t="shared" si="108"/>
        <v>0.86966240003837725</v>
      </c>
      <c r="K219" s="156">
        <f t="shared" si="108"/>
        <v>0.8194152391472711</v>
      </c>
    </row>
    <row r="220" spans="2:13" x14ac:dyDescent="0.3">
      <c r="B220" s="89"/>
      <c r="C220" s="89"/>
      <c r="D220" s="89"/>
      <c r="E220" s="157"/>
      <c r="F220" s="157"/>
      <c r="G220" s="136"/>
      <c r="H220" s="136"/>
      <c r="I220" s="136"/>
      <c r="J220" s="136"/>
      <c r="K220" s="136"/>
    </row>
    <row r="221" spans="2:13" x14ac:dyDescent="0.3">
      <c r="B221" s="89" t="s">
        <v>297</v>
      </c>
      <c r="C221" s="89" t="s">
        <v>13</v>
      </c>
      <c r="D221" s="89"/>
      <c r="E221" s="158"/>
      <c r="F221" s="158"/>
      <c r="G221" s="245">
        <f>Assumptions!F48</f>
        <v>4.4999999999999998E-2</v>
      </c>
      <c r="H221" s="245">
        <f>Assumptions!G48</f>
        <v>0.04</v>
      </c>
      <c r="I221" s="245">
        <f>Assumptions!H48</f>
        <v>3.5000000000000003E-2</v>
      </c>
      <c r="J221" s="245">
        <f>Assumptions!I48</f>
        <v>0.03</v>
      </c>
      <c r="K221" s="245">
        <f>Assumptions!J48</f>
        <v>0.03</v>
      </c>
    </row>
    <row r="222" spans="2:13" x14ac:dyDescent="0.3">
      <c r="B222" s="94" t="s">
        <v>298</v>
      </c>
      <c r="C222" s="94" t="s">
        <v>13</v>
      </c>
      <c r="D222" s="94"/>
      <c r="E222" s="160"/>
      <c r="F222" s="160"/>
      <c r="G222" s="161">
        <v>-0.01</v>
      </c>
      <c r="H222" s="161">
        <v>-0.01</v>
      </c>
      <c r="I222" s="161">
        <v>-0.01</v>
      </c>
      <c r="J222" s="161">
        <v>-0.01</v>
      </c>
      <c r="K222" s="161">
        <v>-0.01</v>
      </c>
    </row>
    <row r="223" spans="2:13" x14ac:dyDescent="0.3">
      <c r="B223" s="92" t="s">
        <v>299</v>
      </c>
      <c r="C223" s="92" t="s">
        <v>13</v>
      </c>
      <c r="D223" s="92"/>
      <c r="E223" s="162"/>
      <c r="F223" s="162"/>
      <c r="G223" s="163">
        <f>SUM(G221:G222)</f>
        <v>3.4999999999999996E-2</v>
      </c>
      <c r="H223" s="163">
        <f t="shared" ref="H223:K223" si="109">SUM(H221:H222)</f>
        <v>0.03</v>
      </c>
      <c r="I223" s="163">
        <f t="shared" si="109"/>
        <v>2.5000000000000001E-2</v>
      </c>
      <c r="J223" s="163">
        <f t="shared" si="109"/>
        <v>1.9999999999999997E-2</v>
      </c>
      <c r="K223" s="163">
        <f t="shared" si="109"/>
        <v>1.9999999999999997E-2</v>
      </c>
    </row>
    <row r="224" spans="2:13" ht="15" thickBot="1" x14ac:dyDescent="0.35">
      <c r="B224" s="100" t="s">
        <v>56</v>
      </c>
      <c r="C224" s="100" t="s">
        <v>62</v>
      </c>
      <c r="D224" s="100"/>
      <c r="E224" s="164">
        <v>266</v>
      </c>
      <c r="F224" s="164">
        <v>258</v>
      </c>
      <c r="G224" s="165">
        <f>F224*(1+G223)</f>
        <v>267.02999999999997</v>
      </c>
      <c r="H224" s="165">
        <f t="shared" ref="H224:K224" si="110">G224*(1+H223)</f>
        <v>275.04089999999997</v>
      </c>
      <c r="I224" s="165">
        <f t="shared" si="110"/>
        <v>281.91692249999994</v>
      </c>
      <c r="J224" s="165">
        <f t="shared" si="110"/>
        <v>287.55526094999993</v>
      </c>
      <c r="K224" s="165">
        <f t="shared" si="110"/>
        <v>293.30636616899994</v>
      </c>
    </row>
    <row r="225" spans="2:12" x14ac:dyDescent="0.3">
      <c r="B225" s="92" t="s">
        <v>65</v>
      </c>
      <c r="C225" s="92"/>
      <c r="D225" s="92"/>
      <c r="E225" s="166">
        <f t="shared" ref="E225:K225" si="111">(E224*E213) / 1000000</f>
        <v>17869.154352000001</v>
      </c>
      <c r="F225" s="166">
        <f t="shared" si="111"/>
        <v>17685.990042000001</v>
      </c>
      <c r="G225" s="166">
        <f t="shared" si="111"/>
        <v>19403.299675078197</v>
      </c>
      <c r="H225" s="166">
        <f t="shared" si="111"/>
        <v>21184.522585250379</v>
      </c>
      <c r="I225" s="166">
        <f t="shared" si="111"/>
        <v>23016.983788874535</v>
      </c>
      <c r="J225" s="166">
        <f t="shared" si="111"/>
        <v>24885.962872531149</v>
      </c>
      <c r="K225" s="166">
        <f t="shared" si="111"/>
        <v>26906.70305778068</v>
      </c>
    </row>
    <row r="226" spans="2:12" x14ac:dyDescent="0.3">
      <c r="B226" s="92"/>
      <c r="C226" s="92"/>
      <c r="D226" s="92"/>
      <c r="E226" s="167"/>
      <c r="F226" s="167"/>
      <c r="G226" s="167"/>
      <c r="H226" s="167"/>
      <c r="I226" s="167"/>
      <c r="J226" s="167"/>
      <c r="K226" s="167"/>
    </row>
    <row r="227" spans="2:12" ht="15" thickBot="1" x14ac:dyDescent="0.35">
      <c r="B227" s="100" t="s">
        <v>68</v>
      </c>
      <c r="C227" s="100" t="s">
        <v>62</v>
      </c>
      <c r="D227" s="100"/>
      <c r="E227" s="164">
        <v>62</v>
      </c>
      <c r="F227" s="164">
        <v>63</v>
      </c>
      <c r="G227" s="168">
        <f>F227*(1+G223)</f>
        <v>65.204999999999998</v>
      </c>
      <c r="H227" s="168">
        <f t="shared" ref="H227:K227" si="112">G227*(1+H223)</f>
        <v>67.161150000000006</v>
      </c>
      <c r="I227" s="168">
        <f t="shared" si="112"/>
        <v>68.840178750000007</v>
      </c>
      <c r="J227" s="168">
        <f t="shared" si="112"/>
        <v>70.216982325000004</v>
      </c>
      <c r="K227" s="168">
        <f t="shared" si="112"/>
        <v>71.621321971500009</v>
      </c>
    </row>
    <row r="228" spans="2:12" x14ac:dyDescent="0.3">
      <c r="B228" s="92" t="s">
        <v>57</v>
      </c>
      <c r="C228" s="92"/>
      <c r="D228" s="92"/>
      <c r="E228" s="166">
        <f t="shared" ref="E228:K228" si="113">(E227*E213)/1000000</f>
        <v>4164.9908640000003</v>
      </c>
      <c r="F228" s="166">
        <f t="shared" si="113"/>
        <v>4318.6719869999997</v>
      </c>
      <c r="G228" s="166">
        <f t="shared" si="113"/>
        <v>4738.0150369376997</v>
      </c>
      <c r="H228" s="166">
        <f t="shared" si="113"/>
        <v>5172.9648173285805</v>
      </c>
      <c r="I228" s="166">
        <f t="shared" si="113"/>
        <v>5620.4262740275044</v>
      </c>
      <c r="J228" s="166">
        <f t="shared" si="113"/>
        <v>6076.8048874785372</v>
      </c>
      <c r="K228" s="166">
        <f t="shared" si="113"/>
        <v>6570.2414443417956</v>
      </c>
    </row>
    <row r="229" spans="2:12" x14ac:dyDescent="0.3">
      <c r="B229" s="92"/>
      <c r="C229" s="92"/>
      <c r="D229" s="92"/>
      <c r="E229" s="167"/>
      <c r="F229" s="167"/>
      <c r="G229" s="167"/>
      <c r="H229" s="167"/>
      <c r="I229" s="167"/>
      <c r="J229" s="167"/>
      <c r="K229" s="167"/>
    </row>
    <row r="230" spans="2:12" ht="15" thickBot="1" x14ac:dyDescent="0.35">
      <c r="B230" s="100" t="s">
        <v>69</v>
      </c>
      <c r="C230" s="110"/>
      <c r="D230" s="110"/>
      <c r="E230" s="169"/>
      <c r="F230" s="170">
        <v>216.3</v>
      </c>
      <c r="G230" s="171">
        <f>F230*(1+G214)</f>
        <v>229.27800000000002</v>
      </c>
      <c r="H230" s="171">
        <f t="shared" ref="H230:K230" si="114">G230*(1+H214)</f>
        <v>243.03468000000004</v>
      </c>
      <c r="I230" s="171">
        <f t="shared" si="114"/>
        <v>257.61676080000007</v>
      </c>
      <c r="J230" s="171">
        <f t="shared" si="114"/>
        <v>273.07376644800007</v>
      </c>
      <c r="K230" s="171">
        <f t="shared" si="114"/>
        <v>289.45819243488012</v>
      </c>
    </row>
    <row r="231" spans="2:12" x14ac:dyDescent="0.3">
      <c r="B231" s="172" t="s">
        <v>70</v>
      </c>
      <c r="C231" s="172"/>
      <c r="D231" s="172"/>
      <c r="E231" s="166">
        <f>E225+E228</f>
        <v>22034.145216000001</v>
      </c>
      <c r="F231" s="166">
        <f t="shared" ref="F231:K231" si="115">F225+F228+F230</f>
        <v>22220.962028999998</v>
      </c>
      <c r="G231" s="166">
        <f t="shared" si="115"/>
        <v>24370.592712015896</v>
      </c>
      <c r="H231" s="166">
        <f t="shared" si="115"/>
        <v>26600.522082578962</v>
      </c>
      <c r="I231" s="166">
        <f t="shared" si="115"/>
        <v>28895.026823702039</v>
      </c>
      <c r="J231" s="166">
        <f t="shared" si="115"/>
        <v>31235.841526457687</v>
      </c>
      <c r="K231" s="166">
        <f t="shared" si="115"/>
        <v>33766.402694557357</v>
      </c>
    </row>
    <row r="232" spans="2:12" x14ac:dyDescent="0.3">
      <c r="B232" s="64"/>
      <c r="C232" s="64"/>
      <c r="D232" s="64"/>
      <c r="E232" s="76"/>
      <c r="F232" s="76"/>
      <c r="G232" s="77"/>
      <c r="H232" s="77"/>
      <c r="I232" s="76"/>
      <c r="J232" s="76"/>
      <c r="K232" s="76"/>
    </row>
    <row r="233" spans="2:12" x14ac:dyDescent="0.3">
      <c r="B233" s="64"/>
      <c r="C233" s="64"/>
      <c r="D233" s="64"/>
      <c r="E233" s="76"/>
      <c r="F233" s="76"/>
      <c r="G233" s="77"/>
      <c r="H233" s="77"/>
      <c r="I233" s="77"/>
      <c r="J233" s="77"/>
      <c r="K233" s="77"/>
    </row>
    <row r="234" spans="2:12" x14ac:dyDescent="0.3">
      <c r="B234" s="64"/>
      <c r="C234" s="64"/>
      <c r="D234" s="64"/>
      <c r="E234" s="76"/>
      <c r="F234" s="77"/>
      <c r="G234" s="77"/>
      <c r="H234" s="77"/>
      <c r="I234" s="77"/>
      <c r="J234" s="77"/>
      <c r="K234" s="77"/>
    </row>
    <row r="235" spans="2:12" x14ac:dyDescent="0.3">
      <c r="B235" s="65"/>
      <c r="C235" s="64"/>
      <c r="D235" s="64"/>
      <c r="E235" s="77"/>
      <c r="F235" s="77"/>
      <c r="G235" s="77"/>
      <c r="H235" s="77"/>
      <c r="I235" s="77"/>
      <c r="J235" s="77"/>
      <c r="K235" s="77"/>
    </row>
    <row r="236" spans="2:12" ht="28.95" customHeight="1" x14ac:dyDescent="0.4">
      <c r="B236" s="66" t="s">
        <v>339</v>
      </c>
      <c r="C236" s="68"/>
      <c r="D236" s="69"/>
      <c r="E236" s="69"/>
      <c r="F236" s="69"/>
      <c r="G236" s="69"/>
      <c r="H236" s="69"/>
      <c r="I236" s="69"/>
      <c r="J236" s="69"/>
      <c r="K236" s="69"/>
    </row>
    <row r="237" spans="2:12" ht="22.05" customHeight="1" x14ac:dyDescent="0.3">
      <c r="B237" s="67" t="s">
        <v>345</v>
      </c>
      <c r="C237" s="69"/>
      <c r="D237" s="69"/>
      <c r="E237" s="69"/>
      <c r="F237" s="69"/>
      <c r="G237" s="69"/>
      <c r="H237" s="69"/>
      <c r="I237" s="69"/>
      <c r="J237" s="69"/>
      <c r="K237" s="69"/>
      <c r="L237" s="5"/>
    </row>
    <row r="238" spans="2:12" x14ac:dyDescent="0.3">
      <c r="B238" s="61"/>
      <c r="C238" s="61"/>
      <c r="D238" s="61"/>
      <c r="E238" s="61"/>
      <c r="F238" s="61"/>
      <c r="G238" s="61"/>
      <c r="H238" s="61"/>
      <c r="I238" s="61"/>
      <c r="J238" s="63"/>
      <c r="K238" s="63"/>
    </row>
    <row r="239" spans="2:12" x14ac:dyDescent="0.3">
      <c r="B239" s="215" t="s">
        <v>340</v>
      </c>
      <c r="C239" s="61"/>
      <c r="D239" s="61"/>
      <c r="E239" s="61"/>
      <c r="F239" s="61"/>
      <c r="G239" s="61"/>
      <c r="H239" s="61"/>
      <c r="I239" s="61"/>
      <c r="J239" s="63"/>
      <c r="K239" s="63"/>
    </row>
    <row r="240" spans="2:12" x14ac:dyDescent="0.3">
      <c r="B240" s="63"/>
      <c r="C240" s="63"/>
      <c r="D240" s="63"/>
      <c r="E240" s="63"/>
      <c r="F240" s="63"/>
      <c r="G240" s="63"/>
      <c r="H240" s="63"/>
      <c r="I240" s="63"/>
      <c r="J240" s="63"/>
      <c r="K240" s="63"/>
    </row>
    <row r="241" spans="2:11" x14ac:dyDescent="0.3">
      <c r="B241" s="63"/>
      <c r="C241" s="63"/>
      <c r="D241" s="63"/>
      <c r="E241" s="70">
        <v>2024</v>
      </c>
      <c r="F241" s="70">
        <v>2025</v>
      </c>
      <c r="G241" s="71">
        <f>F241+1</f>
        <v>2026</v>
      </c>
      <c r="H241" s="71">
        <f t="shared" ref="H241:K241" si="116">G241+1</f>
        <v>2027</v>
      </c>
      <c r="I241" s="71">
        <f t="shared" si="116"/>
        <v>2028</v>
      </c>
      <c r="J241" s="71">
        <f t="shared" si="116"/>
        <v>2029</v>
      </c>
      <c r="K241" s="71">
        <f t="shared" si="116"/>
        <v>2030</v>
      </c>
    </row>
    <row r="242" spans="2:11" x14ac:dyDescent="0.3">
      <c r="B242" s="63"/>
      <c r="C242" s="63"/>
      <c r="D242" s="63"/>
      <c r="E242" s="213" t="s">
        <v>341</v>
      </c>
      <c r="F242" s="213"/>
      <c r="G242" s="214"/>
      <c r="H242" s="214"/>
      <c r="I242" s="214"/>
      <c r="J242" s="214"/>
      <c r="K242" s="214" t="s">
        <v>342</v>
      </c>
    </row>
    <row r="243" spans="2:11" x14ac:dyDescent="0.3">
      <c r="B243" s="63"/>
      <c r="C243" s="63"/>
      <c r="D243" s="63"/>
      <c r="E243" s="72"/>
      <c r="F243" s="72"/>
      <c r="G243" s="73"/>
      <c r="H243" s="73"/>
      <c r="I243" s="73"/>
      <c r="J243" s="73"/>
      <c r="K243" s="73"/>
    </row>
    <row r="244" spans="2:11" x14ac:dyDescent="0.3">
      <c r="B244" s="89" t="s">
        <v>94</v>
      </c>
      <c r="C244" s="89" t="s">
        <v>100</v>
      </c>
      <c r="D244" s="92"/>
      <c r="E244" s="173"/>
      <c r="F244" s="174"/>
      <c r="G244" s="246">
        <f>Assumptions!F59</f>
        <v>10</v>
      </c>
      <c r="H244" s="246">
        <f>Assumptions!G59</f>
        <v>18</v>
      </c>
      <c r="I244" s="246">
        <f>Assumptions!H59</f>
        <v>13</v>
      </c>
      <c r="J244" s="246">
        <f>Assumptions!I59</f>
        <v>35</v>
      </c>
      <c r="K244" s="246">
        <f>Assumptions!J59</f>
        <v>46</v>
      </c>
    </row>
    <row r="245" spans="2:11" x14ac:dyDescent="0.3">
      <c r="B245" s="89" t="s">
        <v>92</v>
      </c>
      <c r="C245" s="89" t="s">
        <v>100</v>
      </c>
      <c r="D245" s="89"/>
      <c r="E245" s="175"/>
      <c r="F245" s="176"/>
      <c r="G245" s="246">
        <f>-Assumptions!F58</f>
        <v>-4</v>
      </c>
      <c r="H245" s="246">
        <f>-Assumptions!G58</f>
        <v>-4</v>
      </c>
      <c r="I245" s="246">
        <f>-Assumptions!H58</f>
        <v>-4</v>
      </c>
      <c r="J245" s="246">
        <f>-Assumptions!I58</f>
        <v>-4</v>
      </c>
      <c r="K245" s="246">
        <f>-Assumptions!J58</f>
        <v>-4</v>
      </c>
    </row>
    <row r="246" spans="2:11" x14ac:dyDescent="0.3">
      <c r="B246" s="177" t="s">
        <v>91</v>
      </c>
      <c r="C246" s="177" t="s">
        <v>100</v>
      </c>
      <c r="D246" s="177"/>
      <c r="E246" s="178"/>
      <c r="F246" s="179"/>
      <c r="G246" s="179">
        <f>SUM(G244:G245)</f>
        <v>6</v>
      </c>
      <c r="H246" s="179">
        <f t="shared" ref="H246:K246" si="117">SUM(H244:H245)</f>
        <v>14</v>
      </c>
      <c r="I246" s="179">
        <f t="shared" si="117"/>
        <v>9</v>
      </c>
      <c r="J246" s="179">
        <f t="shared" si="117"/>
        <v>31</v>
      </c>
      <c r="K246" s="179">
        <f t="shared" si="117"/>
        <v>42</v>
      </c>
    </row>
    <row r="247" spans="2:11" x14ac:dyDescent="0.3">
      <c r="B247" s="92" t="s">
        <v>96</v>
      </c>
      <c r="C247" s="92" t="s">
        <v>100</v>
      </c>
      <c r="D247" s="92"/>
      <c r="E247" s="180"/>
      <c r="F247" s="321">
        <f>Assumptions!D9</f>
        <v>247</v>
      </c>
      <c r="G247" s="181">
        <f>G246+F247</f>
        <v>253</v>
      </c>
      <c r="H247" s="181">
        <f>H246+G247</f>
        <v>267</v>
      </c>
      <c r="I247" s="181">
        <f>I246+H247</f>
        <v>276</v>
      </c>
      <c r="J247" s="181">
        <f>J246+I247</f>
        <v>307</v>
      </c>
      <c r="K247" s="181">
        <f>K246+J247</f>
        <v>349</v>
      </c>
    </row>
    <row r="248" spans="2:11" x14ac:dyDescent="0.3">
      <c r="B248" s="89" t="s">
        <v>326</v>
      </c>
      <c r="C248" s="89" t="s">
        <v>13</v>
      </c>
      <c r="D248" s="89"/>
      <c r="E248" s="120"/>
      <c r="F248" s="182"/>
      <c r="G248" s="151">
        <f>(G247-F247)/F247</f>
        <v>2.4291497975708502E-2</v>
      </c>
      <c r="H248" s="151">
        <f>(H247-G247)/G247</f>
        <v>5.533596837944664E-2</v>
      </c>
      <c r="I248" s="151">
        <f>(I247-H247)/H247</f>
        <v>3.3707865168539325E-2</v>
      </c>
      <c r="J248" s="151">
        <f>(J247-I247)/I247</f>
        <v>0.11231884057971014</v>
      </c>
      <c r="K248" s="151">
        <f>(K247-J247)/J247</f>
        <v>0.13680781758957655</v>
      </c>
    </row>
    <row r="249" spans="2:11" x14ac:dyDescent="0.3">
      <c r="B249" s="92"/>
      <c r="C249" s="92"/>
      <c r="D249" s="92"/>
      <c r="E249" s="180"/>
      <c r="F249" s="181"/>
      <c r="G249" s="181"/>
      <c r="H249" s="181"/>
      <c r="I249" s="181"/>
      <c r="J249" s="181"/>
      <c r="K249" s="181"/>
    </row>
    <row r="250" spans="2:11" x14ac:dyDescent="0.3">
      <c r="B250" s="89" t="s">
        <v>97</v>
      </c>
      <c r="C250" s="92" t="s">
        <v>13</v>
      </c>
      <c r="D250" s="92"/>
      <c r="E250" s="180"/>
      <c r="F250" s="181"/>
      <c r="G250" s="243">
        <f>Assumptions!$D$14</f>
        <v>0.97499999999999998</v>
      </c>
      <c r="H250" s="243">
        <f>Assumptions!$D$14</f>
        <v>0.97499999999999998</v>
      </c>
      <c r="I250" s="243">
        <f>Assumptions!$D$14</f>
        <v>0.97499999999999998</v>
      </c>
      <c r="J250" s="243">
        <f>Assumptions!$D$14</f>
        <v>0.97499999999999998</v>
      </c>
      <c r="K250" s="243">
        <f>Assumptions!$D$14</f>
        <v>0.97499999999999998</v>
      </c>
    </row>
    <row r="251" spans="2:11" x14ac:dyDescent="0.3">
      <c r="B251" s="177" t="s">
        <v>358</v>
      </c>
      <c r="C251" s="177" t="s">
        <v>100</v>
      </c>
      <c r="D251" s="177"/>
      <c r="E251" s="178"/>
      <c r="F251" s="183">
        <v>240</v>
      </c>
      <c r="G251" s="179">
        <f>ROUND(G250*G247, 0)</f>
        <v>247</v>
      </c>
      <c r="H251" s="179">
        <f>ROUND(H250*H247, 0)</f>
        <v>260</v>
      </c>
      <c r="I251" s="179">
        <f>ROUND(I250*I247, 0)</f>
        <v>269</v>
      </c>
      <c r="J251" s="179">
        <f>ROUND(J250*J247, 0)</f>
        <v>299</v>
      </c>
      <c r="K251" s="179">
        <f>ROUND(K250*K247, 0)</f>
        <v>340</v>
      </c>
    </row>
    <row r="252" spans="2:11" x14ac:dyDescent="0.3">
      <c r="B252" s="124" t="s">
        <v>357</v>
      </c>
      <c r="C252" s="113" t="s">
        <v>13</v>
      </c>
      <c r="D252" s="113"/>
      <c r="E252" s="184"/>
      <c r="F252" s="185"/>
      <c r="G252" s="186">
        <f>(G251-F251)/F251</f>
        <v>2.9166666666666667E-2</v>
      </c>
      <c r="H252" s="186">
        <f>(H251-G251)/G251</f>
        <v>5.2631578947368418E-2</v>
      </c>
      <c r="I252" s="186">
        <f>(I251-H251)/H251</f>
        <v>3.4615384615384617E-2</v>
      </c>
      <c r="J252" s="186">
        <f>(J251-I251)/I251</f>
        <v>0.11152416356877323</v>
      </c>
      <c r="K252" s="186">
        <f>(K251-J251)/J251</f>
        <v>0.13712374581939799</v>
      </c>
    </row>
    <row r="253" spans="2:11" x14ac:dyDescent="0.3">
      <c r="B253" s="89"/>
      <c r="C253" s="92"/>
      <c r="D253" s="92"/>
      <c r="E253" s="180"/>
      <c r="F253" s="181"/>
      <c r="G253" s="151"/>
      <c r="H253" s="151"/>
      <c r="I253" s="151"/>
      <c r="J253" s="151"/>
      <c r="K253" s="151"/>
    </row>
    <row r="254" spans="2:11" x14ac:dyDescent="0.3">
      <c r="B254" s="92" t="s">
        <v>98</v>
      </c>
      <c r="C254" s="92" t="s">
        <v>100</v>
      </c>
      <c r="D254" s="92"/>
      <c r="E254" s="117"/>
      <c r="F254" s="163"/>
      <c r="G254" s="187">
        <f>AVERAGE(F251,G251)</f>
        <v>243.5</v>
      </c>
      <c r="H254" s="187">
        <f>AVERAGE(G251,H251)</f>
        <v>253.5</v>
      </c>
      <c r="I254" s="187">
        <f>AVERAGE(H251,I251)</f>
        <v>264.5</v>
      </c>
      <c r="J254" s="187">
        <f>AVERAGE(I251,J251)</f>
        <v>284</v>
      </c>
      <c r="K254" s="187">
        <f>AVERAGE(J251,K251)</f>
        <v>319.5</v>
      </c>
    </row>
    <row r="255" spans="2:11" x14ac:dyDescent="0.3">
      <c r="B255" s="92"/>
      <c r="C255" s="92"/>
      <c r="D255" s="92"/>
      <c r="E255" s="117"/>
      <c r="F255" s="163"/>
      <c r="G255" s="187"/>
      <c r="H255" s="187"/>
      <c r="I255" s="187"/>
      <c r="J255" s="187"/>
      <c r="K255" s="187"/>
    </row>
    <row r="256" spans="2:11" x14ac:dyDescent="0.3">
      <c r="B256" s="89" t="s">
        <v>313</v>
      </c>
      <c r="C256" s="89" t="s">
        <v>100</v>
      </c>
      <c r="D256" s="89"/>
      <c r="E256" s="121"/>
      <c r="F256" s="146"/>
      <c r="G256" s="326">
        <f>Assumptions!$D$11</f>
        <v>3</v>
      </c>
      <c r="H256" s="326">
        <v>3</v>
      </c>
      <c r="I256" s="326">
        <v>3</v>
      </c>
      <c r="J256" s="326">
        <v>3</v>
      </c>
      <c r="K256" s="326">
        <v>3</v>
      </c>
    </row>
    <row r="257" spans="2:11" x14ac:dyDescent="0.3">
      <c r="B257" s="89" t="s">
        <v>314</v>
      </c>
      <c r="C257" s="89" t="s">
        <v>164</v>
      </c>
      <c r="D257" s="89"/>
      <c r="E257" s="121"/>
      <c r="F257" s="146"/>
      <c r="G257" s="327">
        <f>Assumptions!$D$10</f>
        <v>365</v>
      </c>
      <c r="H257" s="327">
        <f>Assumptions!$D$10</f>
        <v>365</v>
      </c>
      <c r="I257" s="327">
        <f>Assumptions!$D$10</f>
        <v>365</v>
      </c>
      <c r="J257" s="327">
        <f>Assumptions!$D$10</f>
        <v>365</v>
      </c>
      <c r="K257" s="327">
        <f>Assumptions!$D$10</f>
        <v>365</v>
      </c>
    </row>
    <row r="258" spans="2:11" x14ac:dyDescent="0.3">
      <c r="B258" s="89" t="s">
        <v>315</v>
      </c>
      <c r="C258" s="89" t="s">
        <v>317</v>
      </c>
      <c r="D258" s="89"/>
      <c r="E258" s="121"/>
      <c r="F258" s="146"/>
      <c r="G258" s="328">
        <f>Assumptions!$D$12</f>
        <v>320</v>
      </c>
      <c r="H258" s="328">
        <v>320</v>
      </c>
      <c r="I258" s="328">
        <v>320</v>
      </c>
      <c r="J258" s="328">
        <v>320</v>
      </c>
      <c r="K258" s="328">
        <v>320</v>
      </c>
    </row>
    <row r="259" spans="2:11" x14ac:dyDescent="0.3">
      <c r="B259" s="124" t="s">
        <v>316</v>
      </c>
      <c r="C259" s="124" t="s">
        <v>321</v>
      </c>
      <c r="D259" s="124"/>
      <c r="E259" s="285"/>
      <c r="F259" s="286"/>
      <c r="G259" s="287">
        <f>G254*G256*G257*G258</f>
        <v>85322400</v>
      </c>
      <c r="H259" s="287">
        <f t="shared" ref="H259:K259" si="118">H254*H256*H257*H258</f>
        <v>88826400</v>
      </c>
      <c r="I259" s="287">
        <f t="shared" si="118"/>
        <v>92680800</v>
      </c>
      <c r="J259" s="287">
        <f t="shared" si="118"/>
        <v>99513600</v>
      </c>
      <c r="K259" s="287">
        <f t="shared" si="118"/>
        <v>111952800</v>
      </c>
    </row>
    <row r="260" spans="2:11" ht="15" thickBot="1" x14ac:dyDescent="0.35">
      <c r="B260" s="100" t="s">
        <v>318</v>
      </c>
      <c r="C260" s="100" t="s">
        <v>320</v>
      </c>
      <c r="D260" s="110"/>
      <c r="E260" s="278"/>
      <c r="F260" s="284"/>
      <c r="G260" s="325">
        <f>Assumptions!$D$13</f>
        <v>1200</v>
      </c>
      <c r="H260" s="325">
        <v>1350</v>
      </c>
      <c r="I260" s="325">
        <v>1350</v>
      </c>
      <c r="J260" s="325">
        <v>1350</v>
      </c>
      <c r="K260" s="325">
        <v>1350</v>
      </c>
    </row>
    <row r="261" spans="2:11" x14ac:dyDescent="0.3">
      <c r="B261" s="92" t="s">
        <v>319</v>
      </c>
      <c r="C261" s="92" t="s">
        <v>323</v>
      </c>
      <c r="D261" s="92"/>
      <c r="E261" s="117"/>
      <c r="F261" s="163"/>
      <c r="G261" s="283">
        <f>G260*G259</f>
        <v>102386880000</v>
      </c>
      <c r="H261" s="283">
        <f>H260*H259</f>
        <v>119915640000</v>
      </c>
      <c r="I261" s="283">
        <f>I260*I259</f>
        <v>125119080000</v>
      </c>
      <c r="J261" s="283">
        <f>J260*J259</f>
        <v>134343360000</v>
      </c>
      <c r="K261" s="283">
        <f>K260*K259</f>
        <v>151136280000</v>
      </c>
    </row>
    <row r="262" spans="2:11" x14ac:dyDescent="0.3">
      <c r="B262" s="92" t="s">
        <v>81</v>
      </c>
      <c r="C262" s="92" t="s">
        <v>321</v>
      </c>
      <c r="D262" s="92"/>
      <c r="E262" s="189">
        <f>E217</f>
        <v>72032988</v>
      </c>
      <c r="F262" s="189">
        <f>F217</f>
        <v>82009756</v>
      </c>
      <c r="G262" s="189">
        <f>G259</f>
        <v>85322400</v>
      </c>
      <c r="H262" s="189">
        <f>H259</f>
        <v>88826400</v>
      </c>
      <c r="I262" s="189">
        <f>I259</f>
        <v>92680800</v>
      </c>
      <c r="J262" s="189">
        <f>J259</f>
        <v>99513600</v>
      </c>
      <c r="K262" s="189">
        <f>K259</f>
        <v>111952800</v>
      </c>
    </row>
    <row r="263" spans="2:11" x14ac:dyDescent="0.3">
      <c r="B263" s="92"/>
      <c r="C263" s="92"/>
      <c r="D263" s="92"/>
      <c r="E263" s="189"/>
      <c r="F263" s="189"/>
      <c r="G263" s="189"/>
      <c r="H263" s="189"/>
      <c r="I263" s="189"/>
      <c r="J263" s="189"/>
      <c r="K263" s="189"/>
    </row>
    <row r="264" spans="2:11" x14ac:dyDescent="0.3">
      <c r="B264" s="89" t="s">
        <v>82</v>
      </c>
      <c r="C264" s="89" t="s">
        <v>13</v>
      </c>
      <c r="D264" s="89"/>
      <c r="E264" s="191"/>
      <c r="F264" s="192">
        <f>(F262-E262)/E262</f>
        <v>0.13850276487211666</v>
      </c>
      <c r="G264" s="146">
        <f>(G262-F262)/F262</f>
        <v>4.0393291744460255E-2</v>
      </c>
      <c r="H264" s="146">
        <f t="shared" ref="H264:K264" si="119">(H262-G262)/G262</f>
        <v>4.1067761806981518E-2</v>
      </c>
      <c r="I264" s="146">
        <f t="shared" si="119"/>
        <v>4.3392504930966469E-2</v>
      </c>
      <c r="J264" s="146">
        <f t="shared" si="119"/>
        <v>7.3724007561436669E-2</v>
      </c>
      <c r="K264" s="146">
        <f t="shared" si="119"/>
        <v>0.125</v>
      </c>
    </row>
    <row r="265" spans="2:11" x14ac:dyDescent="0.3">
      <c r="B265" s="64"/>
      <c r="C265" s="64"/>
      <c r="D265" s="64"/>
      <c r="E265" s="76"/>
      <c r="F265" s="83"/>
      <c r="G265" s="77"/>
      <c r="H265" s="77"/>
      <c r="I265" s="77"/>
      <c r="J265" s="77"/>
      <c r="K265" s="77"/>
    </row>
    <row r="266" spans="2:11" x14ac:dyDescent="0.3">
      <c r="B266" s="64"/>
      <c r="C266" s="64"/>
      <c r="D266" s="64"/>
      <c r="E266" s="76"/>
      <c r="F266" s="76"/>
      <c r="G266" s="77"/>
      <c r="H266" s="77"/>
      <c r="I266" s="77"/>
      <c r="J266" s="64"/>
      <c r="K266" s="64"/>
    </row>
    <row r="267" spans="2:11" ht="24.6" x14ac:dyDescent="0.4">
      <c r="B267" s="66" t="s">
        <v>339</v>
      </c>
      <c r="C267" s="68"/>
      <c r="D267" s="69"/>
      <c r="E267" s="69"/>
      <c r="F267" s="69"/>
      <c r="G267" s="69"/>
      <c r="H267" s="69"/>
      <c r="I267" s="69"/>
      <c r="J267" s="69"/>
      <c r="K267" s="69"/>
    </row>
    <row r="268" spans="2:11" ht="17.399999999999999" x14ac:dyDescent="0.3">
      <c r="B268" s="67" t="s">
        <v>84</v>
      </c>
      <c r="C268" s="69"/>
      <c r="D268" s="69"/>
      <c r="E268" s="69"/>
      <c r="F268" s="69"/>
      <c r="G268" s="69"/>
      <c r="H268" s="69"/>
      <c r="I268" s="69"/>
      <c r="J268" s="69"/>
      <c r="K268" s="69"/>
    </row>
    <row r="269" spans="2:11" x14ac:dyDescent="0.3">
      <c r="B269" s="61"/>
      <c r="C269" s="61"/>
      <c r="D269" s="61"/>
      <c r="E269" s="61"/>
      <c r="F269" s="61"/>
      <c r="G269" s="61"/>
      <c r="H269" s="61"/>
      <c r="I269" s="61"/>
      <c r="J269" s="63"/>
      <c r="K269" s="63"/>
    </row>
    <row r="270" spans="2:11" x14ac:dyDescent="0.3">
      <c r="B270" s="215" t="s">
        <v>340</v>
      </c>
      <c r="C270" s="61"/>
      <c r="D270" s="61"/>
      <c r="E270" s="61"/>
      <c r="F270" s="61"/>
      <c r="G270" s="61"/>
      <c r="H270" s="61"/>
      <c r="I270" s="61"/>
      <c r="J270" s="63"/>
      <c r="K270" s="63"/>
    </row>
    <row r="271" spans="2:11" x14ac:dyDescent="0.3">
      <c r="B271" s="63"/>
      <c r="C271" s="63"/>
      <c r="D271" s="63"/>
      <c r="E271" s="63"/>
      <c r="F271" s="63"/>
      <c r="G271" s="63"/>
      <c r="H271" s="63"/>
      <c r="I271" s="63"/>
      <c r="J271" s="63"/>
      <c r="K271" s="63"/>
    </row>
    <row r="272" spans="2:11" x14ac:dyDescent="0.3">
      <c r="B272" s="63"/>
      <c r="C272" s="63"/>
      <c r="D272" s="63"/>
      <c r="E272" s="70">
        <v>2024</v>
      </c>
      <c r="F272" s="70">
        <v>2025</v>
      </c>
      <c r="G272" s="71">
        <f>F272+1</f>
        <v>2026</v>
      </c>
      <c r="H272" s="71">
        <f t="shared" ref="H272:K272" si="120">G272+1</f>
        <v>2027</v>
      </c>
      <c r="I272" s="71">
        <f t="shared" si="120"/>
        <v>2028</v>
      </c>
      <c r="J272" s="71">
        <f t="shared" si="120"/>
        <v>2029</v>
      </c>
      <c r="K272" s="71">
        <f t="shared" si="120"/>
        <v>2030</v>
      </c>
    </row>
    <row r="273" spans="2:11" x14ac:dyDescent="0.3">
      <c r="B273" s="63"/>
      <c r="C273" s="63"/>
      <c r="D273" s="63"/>
      <c r="E273" s="213" t="s">
        <v>341</v>
      </c>
      <c r="F273" s="213"/>
      <c r="G273" s="214"/>
      <c r="H273" s="214"/>
      <c r="I273" s="214"/>
      <c r="J273" s="214"/>
      <c r="K273" s="214" t="s">
        <v>342</v>
      </c>
    </row>
    <row r="274" spans="2:11" x14ac:dyDescent="0.3">
      <c r="B274" s="65"/>
      <c r="C274" s="64"/>
      <c r="D274" s="64"/>
      <c r="E274" s="76"/>
      <c r="F274" s="77"/>
      <c r="G274" s="77"/>
      <c r="H274" s="77"/>
      <c r="I274" s="77"/>
      <c r="J274" s="77"/>
      <c r="K274" s="77"/>
    </row>
    <row r="275" spans="2:11" x14ac:dyDescent="0.3">
      <c r="B275" s="89" t="s">
        <v>300</v>
      </c>
      <c r="C275" s="89" t="s">
        <v>64</v>
      </c>
      <c r="D275" s="89"/>
      <c r="E275" s="175"/>
      <c r="F275" s="247">
        <f>Assumptions!E50</f>
        <v>102</v>
      </c>
      <c r="G275" s="247">
        <f>Assumptions!F50</f>
        <v>150</v>
      </c>
      <c r="H275" s="247">
        <f>Assumptions!G50</f>
        <v>110</v>
      </c>
      <c r="I275" s="247">
        <f>Assumptions!H50</f>
        <v>100</v>
      </c>
      <c r="J275" s="247">
        <f>Assumptions!I50</f>
        <v>100</v>
      </c>
      <c r="K275" s="247">
        <f>Assumptions!J50</f>
        <v>100</v>
      </c>
    </row>
    <row r="276" spans="2:11" x14ac:dyDescent="0.3">
      <c r="B276" s="89" t="s">
        <v>302</v>
      </c>
      <c r="C276" s="89" t="s">
        <v>64</v>
      </c>
      <c r="D276" s="89"/>
      <c r="E276" s="175"/>
      <c r="F276" s="248"/>
      <c r="G276" s="247">
        <f>Assumptions!F52</f>
        <v>107</v>
      </c>
      <c r="H276" s="247">
        <f>Assumptions!G52</f>
        <v>155</v>
      </c>
      <c r="I276" s="247">
        <f>Assumptions!H52</f>
        <v>115</v>
      </c>
      <c r="J276" s="247">
        <f>Assumptions!I52</f>
        <v>105</v>
      </c>
      <c r="K276" s="247">
        <f>Assumptions!J52</f>
        <v>105</v>
      </c>
    </row>
    <row r="277" spans="2:11" x14ac:dyDescent="0.3">
      <c r="B277" s="94" t="s">
        <v>301</v>
      </c>
      <c r="C277" s="94" t="s">
        <v>13</v>
      </c>
      <c r="D277" s="94"/>
      <c r="E277" s="105"/>
      <c r="F277" s="249"/>
      <c r="G277" s="250">
        <f>Assumptions!F53</f>
        <v>0.5</v>
      </c>
      <c r="H277" s="250">
        <f>Assumptions!G53</f>
        <v>0.5</v>
      </c>
      <c r="I277" s="250">
        <f>Assumptions!H53</f>
        <v>0.5</v>
      </c>
      <c r="J277" s="250">
        <f>Assumptions!I53</f>
        <v>0.5</v>
      </c>
      <c r="K277" s="250">
        <f>Assumptions!J53</f>
        <v>0.5</v>
      </c>
    </row>
    <row r="278" spans="2:11" x14ac:dyDescent="0.3">
      <c r="B278" s="113" t="s">
        <v>305</v>
      </c>
      <c r="C278" s="113"/>
      <c r="D278" s="113"/>
      <c r="E278" s="193"/>
      <c r="F278" s="194"/>
      <c r="G278" s="195">
        <f>((1-G277)*G276)+(G275*G277)</f>
        <v>128.5</v>
      </c>
      <c r="H278" s="195">
        <f t="shared" ref="H278:K278" si="121">((1-H277)*H276)+(H275*H277)</f>
        <v>132.5</v>
      </c>
      <c r="I278" s="195">
        <f t="shared" si="121"/>
        <v>107.5</v>
      </c>
      <c r="J278" s="195">
        <f t="shared" si="121"/>
        <v>102.5</v>
      </c>
      <c r="K278" s="195">
        <f t="shared" si="121"/>
        <v>102.5</v>
      </c>
    </row>
    <row r="279" spans="2:11" x14ac:dyDescent="0.3">
      <c r="B279" s="92"/>
      <c r="C279" s="92"/>
      <c r="D279" s="92"/>
      <c r="E279" s="180"/>
      <c r="F279" s="196"/>
      <c r="G279" s="196"/>
      <c r="H279" s="196"/>
      <c r="I279" s="196"/>
      <c r="J279" s="196"/>
      <c r="K279" s="196"/>
    </row>
    <row r="280" spans="2:11" x14ac:dyDescent="0.3">
      <c r="B280" s="89" t="s">
        <v>88</v>
      </c>
      <c r="C280" s="89" t="s">
        <v>13</v>
      </c>
      <c r="D280" s="89"/>
      <c r="E280" s="175"/>
      <c r="F280" s="197"/>
      <c r="G280" s="251">
        <f>Assumptions!F61</f>
        <v>0.01</v>
      </c>
      <c r="H280" s="251">
        <f>Assumptions!G61</f>
        <v>0.01</v>
      </c>
      <c r="I280" s="251">
        <f>Assumptions!H61</f>
        <v>0.01</v>
      </c>
      <c r="J280" s="251">
        <f>Assumptions!I61</f>
        <v>0.01</v>
      </c>
      <c r="K280" s="251">
        <f>Assumptions!J61</f>
        <v>0.01</v>
      </c>
    </row>
    <row r="281" spans="2:11" x14ac:dyDescent="0.3">
      <c r="B281" s="177" t="s">
        <v>359</v>
      </c>
      <c r="C281" s="177"/>
      <c r="D281" s="177"/>
      <c r="E281" s="234">
        <f>-E12</f>
        <v>8610</v>
      </c>
      <c r="F281" s="234">
        <f>-F12</f>
        <v>7691</v>
      </c>
      <c r="G281" s="234">
        <f>(G282/1000000)*G262</f>
        <v>10854.289116</v>
      </c>
      <c r="H281" s="234">
        <f>(H282/1000000)*H262</f>
        <v>11651.803020000001</v>
      </c>
      <c r="I281" s="234">
        <f>(I282/1000000)*I262</f>
        <v>9863.5541400000002</v>
      </c>
      <c r="J281" s="234">
        <f>(J282/1000000)*J262</f>
        <v>10098.14256</v>
      </c>
      <c r="K281" s="234">
        <f>(K282/1000000)*K262</f>
        <v>11360.410379999999</v>
      </c>
    </row>
    <row r="282" spans="2:11" x14ac:dyDescent="0.3">
      <c r="B282" s="124" t="s">
        <v>360</v>
      </c>
      <c r="C282" s="124" t="s">
        <v>62</v>
      </c>
      <c r="D282" s="124"/>
      <c r="E282" s="198">
        <f>(E281*1000000)/E262</f>
        <v>119.52856932715328</v>
      </c>
      <c r="F282" s="198">
        <f>(F281*1000000)/F262</f>
        <v>93.781525212683235</v>
      </c>
      <c r="G282" s="198">
        <f>G278*(1-G280)</f>
        <v>127.215</v>
      </c>
      <c r="H282" s="198">
        <f t="shared" ref="H282:K282" si="122">H278*(1-H280)</f>
        <v>131.17500000000001</v>
      </c>
      <c r="I282" s="198">
        <f t="shared" si="122"/>
        <v>106.425</v>
      </c>
      <c r="J282" s="198">
        <f t="shared" si="122"/>
        <v>101.47499999999999</v>
      </c>
      <c r="K282" s="198">
        <f t="shared" si="122"/>
        <v>101.47499999999999</v>
      </c>
    </row>
    <row r="283" spans="2:11" x14ac:dyDescent="0.3">
      <c r="B283" s="92"/>
      <c r="C283" s="92"/>
      <c r="D283" s="92"/>
      <c r="E283" s="199"/>
      <c r="F283" s="199"/>
      <c r="G283" s="199"/>
      <c r="H283" s="199"/>
      <c r="I283" s="199"/>
      <c r="J283" s="199"/>
      <c r="K283" s="199"/>
    </row>
    <row r="284" spans="2:11" x14ac:dyDescent="0.3">
      <c r="B284" s="92" t="s">
        <v>325</v>
      </c>
      <c r="C284" s="92"/>
      <c r="D284" s="92"/>
      <c r="E284" s="199"/>
      <c r="F284" s="199"/>
      <c r="G284" s="199"/>
      <c r="H284" s="199"/>
      <c r="I284" s="199"/>
      <c r="J284" s="199"/>
      <c r="K284" s="199"/>
    </row>
    <row r="285" spans="2:11" x14ac:dyDescent="0.3">
      <c r="B285" s="89"/>
      <c r="C285" s="89"/>
      <c r="D285" s="89"/>
      <c r="E285" s="120"/>
      <c r="F285" s="200"/>
      <c r="G285" s="121"/>
      <c r="H285" s="121"/>
      <c r="I285" s="121"/>
      <c r="J285" s="121"/>
      <c r="K285" s="121"/>
    </row>
    <row r="286" spans="2:11" x14ac:dyDescent="0.3">
      <c r="B286" s="94" t="s">
        <v>86</v>
      </c>
      <c r="C286" s="94"/>
      <c r="D286" s="94"/>
      <c r="E286" s="238"/>
      <c r="F286" s="238"/>
      <c r="G286" s="107">
        <f>F290</f>
        <v>2455</v>
      </c>
      <c r="H286" s="107">
        <f>G290</f>
        <v>2632.8187187500002</v>
      </c>
      <c r="I286" s="107">
        <f t="shared" ref="I286:K286" si="123">H290</f>
        <v>2867.8324317500001</v>
      </c>
      <c r="J286" s="107">
        <f t="shared" si="123"/>
        <v>3060.6776175980808</v>
      </c>
      <c r="K286" s="107">
        <f t="shared" si="123"/>
        <v>3468.9196730606054</v>
      </c>
    </row>
    <row r="287" spans="2:11" x14ac:dyDescent="0.3">
      <c r="B287" s="89" t="s">
        <v>80</v>
      </c>
      <c r="C287" s="89" t="s">
        <v>13</v>
      </c>
      <c r="D287" s="89"/>
      <c r="E287" s="120"/>
      <c r="F287" s="120"/>
      <c r="G287" s="146">
        <f>G252</f>
        <v>2.9166666666666667E-2</v>
      </c>
      <c r="H287" s="146">
        <f>H252</f>
        <v>5.2631578947368418E-2</v>
      </c>
      <c r="I287" s="146">
        <f>I252</f>
        <v>3.4615384615384617E-2</v>
      </c>
      <c r="J287" s="146">
        <f>J252</f>
        <v>0.11152416356877323</v>
      </c>
      <c r="K287" s="146">
        <f>K252</f>
        <v>0.13712374581939799</v>
      </c>
    </row>
    <row r="288" spans="2:11" x14ac:dyDescent="0.3">
      <c r="B288" s="89" t="s">
        <v>16</v>
      </c>
      <c r="C288" s="89" t="s">
        <v>13</v>
      </c>
      <c r="D288" s="89"/>
      <c r="E288" s="120"/>
      <c r="F288" s="120"/>
      <c r="G288" s="243">
        <f>Assumptions!F48</f>
        <v>4.4999999999999998E-2</v>
      </c>
      <c r="H288" s="243">
        <f>Assumptions!G48</f>
        <v>0.04</v>
      </c>
      <c r="I288" s="243">
        <f>Assumptions!H48</f>
        <v>3.5000000000000003E-2</v>
      </c>
      <c r="J288" s="243">
        <f>Assumptions!I48</f>
        <v>0.03</v>
      </c>
      <c r="K288" s="243">
        <f>Assumptions!J48</f>
        <v>0.03</v>
      </c>
    </row>
    <row r="289" spans="2:11" x14ac:dyDescent="0.3">
      <c r="B289" s="94" t="s">
        <v>89</v>
      </c>
      <c r="C289" s="94" t="s">
        <v>13</v>
      </c>
      <c r="D289" s="94"/>
      <c r="E289" s="238"/>
      <c r="F289" s="239"/>
      <c r="G289" s="240">
        <v>0.9</v>
      </c>
      <c r="H289" s="241">
        <f>G289</f>
        <v>0.9</v>
      </c>
      <c r="I289" s="241">
        <f t="shared" ref="I289:K289" si="124">H289</f>
        <v>0.9</v>
      </c>
      <c r="J289" s="241">
        <f t="shared" si="124"/>
        <v>0.9</v>
      </c>
      <c r="K289" s="241">
        <f t="shared" si="124"/>
        <v>0.9</v>
      </c>
    </row>
    <row r="290" spans="2:11" x14ac:dyDescent="0.3">
      <c r="B290" s="92" t="s">
        <v>85</v>
      </c>
      <c r="C290" s="92"/>
      <c r="D290" s="92"/>
      <c r="E290" s="180"/>
      <c r="F290" s="91">
        <f>-F11</f>
        <v>2455</v>
      </c>
      <c r="G290" s="91">
        <f>G286*(1+(G287*G289))*(1+G288)</f>
        <v>2632.8187187500002</v>
      </c>
      <c r="H290" s="91">
        <f t="shared" ref="H290:K290" si="125">H286*(1+(H287*H289))*(1+H288)</f>
        <v>2867.8324317500001</v>
      </c>
      <c r="I290" s="91">
        <f t="shared" si="125"/>
        <v>3060.6776175980808</v>
      </c>
      <c r="J290" s="91">
        <f t="shared" si="125"/>
        <v>3468.9196730606054</v>
      </c>
      <c r="K290" s="91">
        <f t="shared" si="125"/>
        <v>4013.9345208243785</v>
      </c>
    </row>
    <row r="291" spans="2:11" x14ac:dyDescent="0.3">
      <c r="B291" s="89"/>
      <c r="C291" s="89"/>
      <c r="D291" s="89"/>
      <c r="E291" s="120"/>
      <c r="F291" s="120"/>
      <c r="G291" s="121"/>
      <c r="H291" s="121"/>
      <c r="I291" s="121"/>
      <c r="J291" s="121"/>
      <c r="K291" s="121"/>
    </row>
    <row r="292" spans="2:11" x14ac:dyDescent="0.3">
      <c r="B292" s="89" t="s">
        <v>28</v>
      </c>
      <c r="C292" s="89"/>
      <c r="D292" s="89"/>
      <c r="E292" s="93">
        <f>-E13</f>
        <v>4458</v>
      </c>
      <c r="F292" s="93">
        <f>-F13</f>
        <v>3444</v>
      </c>
      <c r="G292" s="93">
        <f>G294*G254</f>
        <v>3547.9823076923076</v>
      </c>
      <c r="H292" s="93">
        <f>H294*H254</f>
        <v>3841.4375999999997</v>
      </c>
      <c r="I292" s="93">
        <f>I294*I254</f>
        <v>4148.4116519999998</v>
      </c>
      <c r="J292" s="93">
        <f>J294*J254</f>
        <v>4587.8766595199995</v>
      </c>
      <c r="K292" s="93">
        <f>K294*K254</f>
        <v>5316.2020792187996</v>
      </c>
    </row>
    <row r="293" spans="2:11" x14ac:dyDescent="0.3">
      <c r="B293" s="94" t="s">
        <v>16</v>
      </c>
      <c r="C293" s="94" t="s">
        <v>13</v>
      </c>
      <c r="D293" s="94"/>
      <c r="E293" s="97"/>
      <c r="F293" s="97"/>
      <c r="G293" s="252">
        <f>Assumptions!F48</f>
        <v>4.4999999999999998E-2</v>
      </c>
      <c r="H293" s="252">
        <f>Assumptions!G48</f>
        <v>0.04</v>
      </c>
      <c r="I293" s="252">
        <f>Assumptions!H48</f>
        <v>3.5000000000000003E-2</v>
      </c>
      <c r="J293" s="252">
        <f>Assumptions!I48</f>
        <v>0.03</v>
      </c>
      <c r="K293" s="252">
        <f>Assumptions!J48</f>
        <v>0.03</v>
      </c>
    </row>
    <row r="294" spans="2:11" x14ac:dyDescent="0.3">
      <c r="B294" s="92" t="s">
        <v>361</v>
      </c>
      <c r="C294" s="92"/>
      <c r="D294" s="92"/>
      <c r="E294" s="199"/>
      <c r="F294" s="199">
        <f>F292/G251</f>
        <v>13.943319838056681</v>
      </c>
      <c r="G294" s="199">
        <f>F294*(1+Assumptions!F48)</f>
        <v>14.57076923076923</v>
      </c>
      <c r="H294" s="199">
        <f>G294*(1+Assumptions!G48)</f>
        <v>15.153599999999999</v>
      </c>
      <c r="I294" s="199">
        <f>H294*(1+Assumptions!H48)</f>
        <v>15.683975999999998</v>
      </c>
      <c r="J294" s="199">
        <f>I294*(1+Assumptions!I48)</f>
        <v>16.154495279999999</v>
      </c>
      <c r="K294" s="199">
        <f>J294*(1+Assumptions!J48)</f>
        <v>16.639130138399999</v>
      </c>
    </row>
    <row r="295" spans="2:11" x14ac:dyDescent="0.3">
      <c r="B295" s="92"/>
      <c r="C295" s="89"/>
      <c r="D295" s="89"/>
      <c r="E295" s="89"/>
      <c r="F295" s="89"/>
      <c r="G295" s="89"/>
      <c r="H295" s="89"/>
      <c r="I295" s="89"/>
      <c r="J295" s="89"/>
      <c r="K295" s="89"/>
    </row>
    <row r="296" spans="2:11" x14ac:dyDescent="0.3">
      <c r="B296" s="89" t="s">
        <v>90</v>
      </c>
      <c r="C296" s="89"/>
      <c r="D296" s="89"/>
      <c r="E296" s="91">
        <f>-E14</f>
        <v>3666</v>
      </c>
      <c r="F296" s="91">
        <f>-F14</f>
        <v>3206</v>
      </c>
      <c r="G296" s="91">
        <f>(G298*G262)/1000000</f>
        <v>3485.598433532713</v>
      </c>
      <c r="H296" s="91">
        <f>(H298*H262)/1000000</f>
        <v>3773.893926146055</v>
      </c>
      <c r="I296" s="91">
        <f>(I298*I262)/1000000</f>
        <v>4075.4704792383773</v>
      </c>
      <c r="J296" s="91">
        <f>(J298*J262)/1000000</f>
        <v>4507.2084105361446</v>
      </c>
      <c r="K296" s="91">
        <f>(K298*K262)/1000000</f>
        <v>5222.7277457087566</v>
      </c>
    </row>
    <row r="297" spans="2:11" x14ac:dyDescent="0.3">
      <c r="B297" s="94" t="s">
        <v>16</v>
      </c>
      <c r="C297" s="94" t="s">
        <v>13</v>
      </c>
      <c r="D297" s="94"/>
      <c r="E297" s="238"/>
      <c r="F297" s="242"/>
      <c r="G297" s="252">
        <f>Assumptions!F48</f>
        <v>4.4999999999999998E-2</v>
      </c>
      <c r="H297" s="252">
        <f>Assumptions!G48</f>
        <v>0.04</v>
      </c>
      <c r="I297" s="252">
        <f>Assumptions!H48</f>
        <v>3.5000000000000003E-2</v>
      </c>
      <c r="J297" s="252">
        <f>Assumptions!I48</f>
        <v>0.03</v>
      </c>
      <c r="K297" s="252">
        <f>Assumptions!J48</f>
        <v>0.03</v>
      </c>
    </row>
    <row r="298" spans="2:11" x14ac:dyDescent="0.3">
      <c r="B298" s="92" t="s">
        <v>87</v>
      </c>
      <c r="C298" s="92" t="s">
        <v>62</v>
      </c>
      <c r="D298" s="92"/>
      <c r="E298" s="199">
        <f>(E296*1000000)/E262</f>
        <v>50.893349030585817</v>
      </c>
      <c r="F298" s="199">
        <f>(F296*1000000)/F262</f>
        <v>39.092909872820499</v>
      </c>
      <c r="G298" s="199">
        <f>F298*(1+G297)</f>
        <v>40.85209081709742</v>
      </c>
      <c r="H298" s="199">
        <f t="shared" ref="H298:K298" si="126">G298*(1+H297)</f>
        <v>42.486174449781316</v>
      </c>
      <c r="I298" s="199">
        <f t="shared" si="126"/>
        <v>43.973190555523658</v>
      </c>
      <c r="J298" s="199">
        <f t="shared" si="126"/>
        <v>45.292386272189368</v>
      </c>
      <c r="K298" s="199">
        <f t="shared" si="126"/>
        <v>46.651157860355049</v>
      </c>
    </row>
    <row r="299" spans="2:11" x14ac:dyDescent="0.3">
      <c r="B299" s="89"/>
      <c r="C299" s="89"/>
      <c r="D299" s="89"/>
      <c r="E299" s="120"/>
      <c r="F299" s="120"/>
      <c r="G299" s="121"/>
      <c r="H299" s="121"/>
      <c r="I299" s="121"/>
      <c r="J299" s="121"/>
      <c r="K299" s="121"/>
    </row>
    <row r="300" spans="2:11" x14ac:dyDescent="0.3">
      <c r="B300" s="94" t="s">
        <v>198</v>
      </c>
      <c r="C300" s="94" t="s">
        <v>13</v>
      </c>
      <c r="D300" s="94"/>
      <c r="E300" s="238"/>
      <c r="F300" s="236">
        <f>ABS(F15)/F10</f>
        <v>4.6982584042122313E-2</v>
      </c>
      <c r="G300" s="236">
        <f>F300</f>
        <v>4.6982584042122313E-2</v>
      </c>
      <c r="H300" s="236">
        <f t="shared" ref="H300:K300" si="127">G300</f>
        <v>4.6982584042122313E-2</v>
      </c>
      <c r="I300" s="236">
        <f t="shared" si="127"/>
        <v>4.6982584042122313E-2</v>
      </c>
      <c r="J300" s="236">
        <f t="shared" si="127"/>
        <v>4.6982584042122313E-2</v>
      </c>
      <c r="K300" s="236">
        <f t="shared" si="127"/>
        <v>4.6982584042122313E-2</v>
      </c>
    </row>
    <row r="301" spans="2:11" x14ac:dyDescent="0.3">
      <c r="B301" s="92" t="s">
        <v>14</v>
      </c>
      <c r="C301" s="92"/>
      <c r="D301" s="92"/>
      <c r="E301" s="180"/>
      <c r="F301" s="99">
        <f>F300*F10</f>
        <v>1044</v>
      </c>
      <c r="G301" s="99">
        <f>G300*G10</f>
        <v>1144.9934202486204</v>
      </c>
      <c r="H301" s="99">
        <f>H300*H10</f>
        <v>1249.7612643090965</v>
      </c>
      <c r="I301" s="99">
        <f>I300*I10</f>
        <v>1357.5630261439596</v>
      </c>
      <c r="J301" s="99">
        <f>J300*J10</f>
        <v>1467.5405496432124</v>
      </c>
      <c r="K301" s="99">
        <f>K300*K10</f>
        <v>1586.4328523971863</v>
      </c>
    </row>
    <row r="302" spans="2:11" x14ac:dyDescent="0.3">
      <c r="B302" s="64"/>
      <c r="C302" s="64"/>
      <c r="D302" s="64"/>
      <c r="E302" s="76"/>
      <c r="F302" s="74"/>
      <c r="G302" s="77"/>
      <c r="H302" s="77"/>
      <c r="I302" s="77"/>
      <c r="J302" s="77"/>
      <c r="K302" s="77"/>
    </row>
    <row r="303" spans="2:11" x14ac:dyDescent="0.3">
      <c r="B303" s="64"/>
      <c r="C303" s="64"/>
      <c r="D303" s="64"/>
      <c r="E303" s="76"/>
      <c r="F303" s="74"/>
      <c r="G303" s="77"/>
      <c r="H303" s="77"/>
      <c r="I303" s="77"/>
      <c r="J303" s="77"/>
      <c r="K303" s="77"/>
    </row>
    <row r="304" spans="2:11" x14ac:dyDescent="0.3">
      <c r="B304" s="64"/>
      <c r="C304" s="64"/>
      <c r="D304" s="64"/>
      <c r="E304" s="76"/>
      <c r="F304" s="76"/>
      <c r="G304" s="77"/>
      <c r="H304" s="77"/>
      <c r="I304" s="77"/>
      <c r="J304" s="77"/>
      <c r="K304" s="77"/>
    </row>
    <row r="305" spans="2:11" x14ac:dyDescent="0.3">
      <c r="B305" s="64"/>
      <c r="C305" s="64"/>
      <c r="D305" s="64"/>
      <c r="E305" s="76"/>
      <c r="F305" s="82"/>
      <c r="G305" s="82"/>
      <c r="H305" s="82"/>
      <c r="I305" s="82"/>
      <c r="J305" s="82"/>
      <c r="K305" s="82"/>
    </row>
    <row r="306" spans="2:11" ht="24.6" x14ac:dyDescent="0.4">
      <c r="B306" s="66" t="s">
        <v>339</v>
      </c>
      <c r="C306" s="68"/>
      <c r="D306" s="69"/>
      <c r="E306" s="69"/>
      <c r="F306" s="69"/>
      <c r="G306" s="69"/>
      <c r="H306" s="69"/>
      <c r="I306" s="69"/>
      <c r="J306" s="69"/>
      <c r="K306" s="69"/>
    </row>
    <row r="307" spans="2:11" ht="17.399999999999999" x14ac:dyDescent="0.3">
      <c r="B307" s="67" t="s">
        <v>346</v>
      </c>
      <c r="C307" s="69"/>
      <c r="D307" s="69"/>
      <c r="E307" s="69"/>
      <c r="F307" s="69"/>
      <c r="G307" s="69"/>
      <c r="H307" s="69"/>
      <c r="I307" s="69"/>
      <c r="J307" s="69"/>
      <c r="K307" s="69"/>
    </row>
    <row r="308" spans="2:11" x14ac:dyDescent="0.3">
      <c r="B308" s="61"/>
      <c r="C308" s="61"/>
      <c r="D308" s="61"/>
      <c r="E308" s="61"/>
      <c r="F308" s="61"/>
      <c r="G308" s="61"/>
      <c r="H308" s="61"/>
      <c r="I308" s="61"/>
      <c r="J308" s="63"/>
      <c r="K308" s="63"/>
    </row>
    <row r="309" spans="2:11" x14ac:dyDescent="0.3">
      <c r="B309" s="62"/>
      <c r="C309" s="61"/>
      <c r="D309" s="61"/>
      <c r="E309" s="61"/>
      <c r="F309" s="61"/>
      <c r="G309" s="61"/>
      <c r="H309" s="61"/>
      <c r="I309" s="61"/>
      <c r="J309" s="63"/>
      <c r="K309" s="63"/>
    </row>
    <row r="310" spans="2:11" x14ac:dyDescent="0.3">
      <c r="B310" s="215" t="s">
        <v>340</v>
      </c>
      <c r="C310" s="61"/>
      <c r="D310" s="61"/>
      <c r="E310" s="61"/>
      <c r="F310" s="61"/>
      <c r="G310" s="61"/>
      <c r="H310" s="61"/>
      <c r="I310" s="61"/>
      <c r="J310" s="63"/>
      <c r="K310" s="63"/>
    </row>
    <row r="311" spans="2:11" x14ac:dyDescent="0.3">
      <c r="B311" s="63"/>
      <c r="C311" s="63"/>
      <c r="D311" s="63"/>
      <c r="E311" s="63"/>
      <c r="F311" s="63"/>
      <c r="G311" s="63"/>
      <c r="H311" s="63"/>
      <c r="I311" s="63"/>
      <c r="J311" s="63"/>
      <c r="K311" s="63"/>
    </row>
    <row r="312" spans="2:11" x14ac:dyDescent="0.3">
      <c r="B312" s="63"/>
      <c r="C312" s="63"/>
      <c r="D312" s="63"/>
      <c r="E312" s="70">
        <v>2024</v>
      </c>
      <c r="F312" s="70">
        <v>2025</v>
      </c>
      <c r="G312" s="71">
        <f>F312+1</f>
        <v>2026</v>
      </c>
      <c r="H312" s="71">
        <f t="shared" ref="H312:K312" si="128">G312+1</f>
        <v>2027</v>
      </c>
      <c r="I312" s="71">
        <f t="shared" si="128"/>
        <v>2028</v>
      </c>
      <c r="J312" s="71">
        <f t="shared" si="128"/>
        <v>2029</v>
      </c>
      <c r="K312" s="71">
        <f t="shared" si="128"/>
        <v>2030</v>
      </c>
    </row>
    <row r="313" spans="2:11" x14ac:dyDescent="0.3">
      <c r="B313" s="63"/>
      <c r="C313" s="63"/>
      <c r="D313" s="63"/>
      <c r="E313" s="213" t="s">
        <v>341</v>
      </c>
      <c r="F313" s="213"/>
      <c r="G313" s="214"/>
      <c r="H313" s="214"/>
      <c r="I313" s="214"/>
      <c r="J313" s="214"/>
      <c r="K313" s="214" t="s">
        <v>342</v>
      </c>
    </row>
    <row r="314" spans="2:11" x14ac:dyDescent="0.3">
      <c r="B314" s="89"/>
      <c r="C314" s="89"/>
      <c r="D314" s="89"/>
      <c r="E314" s="133"/>
      <c r="F314" s="133"/>
      <c r="G314" s="143"/>
      <c r="H314" s="143"/>
      <c r="I314" s="143"/>
      <c r="J314" s="143"/>
      <c r="K314" s="143"/>
    </row>
    <row r="315" spans="2:11" x14ac:dyDescent="0.3">
      <c r="B315" s="89" t="s">
        <v>99</v>
      </c>
      <c r="C315" s="89" t="s">
        <v>100</v>
      </c>
      <c r="D315" s="89"/>
      <c r="E315" s="89"/>
      <c r="F315" s="89"/>
      <c r="G315" s="143">
        <f>G244</f>
        <v>10</v>
      </c>
      <c r="H315" s="143">
        <f>H244</f>
        <v>18</v>
      </c>
      <c r="I315" s="143">
        <f>I244</f>
        <v>13</v>
      </c>
      <c r="J315" s="143">
        <f>J244</f>
        <v>35</v>
      </c>
      <c r="K315" s="143">
        <f>K244</f>
        <v>46</v>
      </c>
    </row>
    <row r="316" spans="2:11" ht="15" thickBot="1" x14ac:dyDescent="0.35">
      <c r="B316" s="100" t="s">
        <v>101</v>
      </c>
      <c r="C316" s="100"/>
      <c r="D316" s="100"/>
      <c r="E316" s="281"/>
      <c r="F316" s="282"/>
      <c r="G316" s="264">
        <f>-PV(Assumptions!$D$20,Assumptions!$D$19,Assumptions!$D$18)</f>
        <v>147.20174102829404</v>
      </c>
      <c r="H316" s="264">
        <f>-PV(Assumptions!$D$20,Assumptions!$D$19,Assumptions!$D$18)</f>
        <v>147.20174102829404</v>
      </c>
      <c r="I316" s="264">
        <f>-PV(Assumptions!$D$20,Assumptions!$D$19,Assumptions!$D$18)</f>
        <v>147.20174102829404</v>
      </c>
      <c r="J316" s="264">
        <f>-PV(Assumptions!$D$20,Assumptions!$D$19,Assumptions!$D$18)</f>
        <v>147.20174102829404</v>
      </c>
      <c r="K316" s="264">
        <f>-PV(Assumptions!$D$20,Assumptions!$D$19,Assumptions!$D$18)</f>
        <v>147.20174102829404</v>
      </c>
    </row>
    <row r="317" spans="2:11" x14ac:dyDescent="0.3">
      <c r="B317" s="92" t="s">
        <v>102</v>
      </c>
      <c r="C317" s="92"/>
      <c r="D317" s="92"/>
      <c r="E317" s="205"/>
      <c r="F317" s="205"/>
      <c r="G317" s="109">
        <f>G316*G315</f>
        <v>1472.0174102829403</v>
      </c>
      <c r="H317" s="109">
        <f t="shared" ref="H317:K317" si="129">H316*H315</f>
        <v>2649.6313385092926</v>
      </c>
      <c r="I317" s="109">
        <f t="shared" si="129"/>
        <v>1913.6226333678226</v>
      </c>
      <c r="J317" s="109">
        <f t="shared" si="129"/>
        <v>5152.060935990291</v>
      </c>
      <c r="K317" s="109">
        <f t="shared" si="129"/>
        <v>6771.2800873015258</v>
      </c>
    </row>
    <row r="318" spans="2:11" x14ac:dyDescent="0.3">
      <c r="B318" s="92"/>
      <c r="C318" s="92"/>
      <c r="D318" s="92"/>
      <c r="E318" s="205"/>
      <c r="F318" s="205"/>
      <c r="G318" s="206"/>
      <c r="H318" s="206"/>
      <c r="I318" s="206"/>
      <c r="J318" s="206"/>
      <c r="K318" s="206"/>
    </row>
    <row r="319" spans="2:11" x14ac:dyDescent="0.3">
      <c r="B319" s="92" t="s">
        <v>123</v>
      </c>
      <c r="C319" s="92"/>
      <c r="D319" s="92"/>
      <c r="E319" s="205"/>
      <c r="F319" s="205"/>
      <c r="G319" s="206"/>
      <c r="H319" s="206"/>
      <c r="I319" s="206"/>
      <c r="J319" s="206"/>
      <c r="K319" s="206"/>
    </row>
    <row r="320" spans="2:11" x14ac:dyDescent="0.3">
      <c r="B320" s="92"/>
      <c r="C320" s="92"/>
      <c r="D320" s="92"/>
      <c r="E320" s="205"/>
      <c r="F320" s="205"/>
      <c r="G320" s="206"/>
      <c r="H320" s="206"/>
      <c r="I320" s="206"/>
      <c r="J320" s="206"/>
      <c r="K320" s="206"/>
    </row>
    <row r="321" spans="2:11" x14ac:dyDescent="0.3">
      <c r="B321" s="89" t="s">
        <v>127</v>
      </c>
      <c r="C321" s="89"/>
      <c r="D321" s="92"/>
      <c r="E321" s="205"/>
      <c r="F321" s="205"/>
      <c r="G321" s="232">
        <f>MAX(0,MIN($G$331/Assumptions!$D$26,$G$331-SUM($E$321:F321)))</f>
        <v>2000.8826020408164</v>
      </c>
      <c r="H321" s="232">
        <f>MAX(0,MIN($G$331/Assumptions!$D$26,$G$331-SUM($E$321:G321)))</f>
        <v>2000.8826020408164</v>
      </c>
      <c r="I321" s="232">
        <f>MAX(0,MIN($G$331/Assumptions!$D$26,$G$331-SUM($E$321:H321)))</f>
        <v>2000.8826020408164</v>
      </c>
      <c r="J321" s="232">
        <f>MAX(0,MIN($G$331/Assumptions!$D$26,$G$331-SUM($E$321:I321)))</f>
        <v>2000.8826020408164</v>
      </c>
      <c r="K321" s="232">
        <f>MAX(0,MIN($G$331/Assumptions!$D$26,$G$331-SUM($E$321:J321)))</f>
        <v>2000.8826020408164</v>
      </c>
    </row>
    <row r="322" spans="2:11" x14ac:dyDescent="0.3">
      <c r="B322" s="89" t="s">
        <v>128</v>
      </c>
      <c r="C322" s="89"/>
      <c r="D322" s="92"/>
      <c r="E322" s="205"/>
      <c r="F322" s="205"/>
      <c r="G322" s="232">
        <f>MAX(0,MIN(($G$317/Assumptions!$D$26)*IF(COUNT($G312:G312)=1,0.5,1),$G$317-SUM($E$322:F322)))</f>
        <v>131.43012591811967</v>
      </c>
      <c r="H322" s="232">
        <f>MAX(0,MIN(($G$317/Assumptions!$D$26)*IF(COUNT($G312:H312)=1,0.5,1),$G$317-SUM($E$322:G322)))</f>
        <v>262.86025183623934</v>
      </c>
      <c r="I322" s="232">
        <f>MAX(0,MIN(($G$317/Assumptions!$D$26)*IF(COUNT($G312:I312)=1,0.5,1),$G$317-SUM($E$322:H322)))</f>
        <v>262.86025183623934</v>
      </c>
      <c r="J322" s="232">
        <f>MAX(0,MIN(($G$317/Assumptions!$D$26)*IF(COUNT($G312:J312)=1,0.5,1),$G$317-SUM($E$322:I322)))</f>
        <v>262.86025183623934</v>
      </c>
      <c r="K322" s="232">
        <f>MAX(0,MIN(($G$317/Assumptions!$D$26)*IF(COUNT($G312:K312)=1,0.5,1),$G$317-SUM($E$322:J322)))</f>
        <v>262.86025183623934</v>
      </c>
    </row>
    <row r="323" spans="2:11" x14ac:dyDescent="0.3">
      <c r="B323" s="89" t="s">
        <v>132</v>
      </c>
      <c r="C323" s="89"/>
      <c r="D323" s="92"/>
      <c r="E323" s="205"/>
      <c r="F323" s="205"/>
      <c r="G323" s="253"/>
      <c r="H323" s="232">
        <f>MAX(0,MIN(($H$317/Assumptions!$D$26)*IF(COUNT($H$312:H$312)=1,0.5,1),$H$317-SUM($E$323:G323)))</f>
        <v>236.57422665261544</v>
      </c>
      <c r="I323" s="232">
        <f>MAX(0,MIN(($H$317/Assumptions!$D$26)*IF(COUNT($H$312:I$312)=1,0.5,1),$H$317-SUM($E$323:H323)))</f>
        <v>473.14845330523087</v>
      </c>
      <c r="J323" s="232">
        <f>MAX(0,MIN(($H$317/Assumptions!$D$26)*IF(COUNT($H$312:J$312)=1,0.5,1),$H$317-SUM($E$323:I323)))</f>
        <v>473.14845330523087</v>
      </c>
      <c r="K323" s="232">
        <f>MAX(0,MIN(($H$317/Assumptions!$D$26)*IF(COUNT($H$312:K$312)=1,0.5,1),$H$317-SUM($E$323:J323)))</f>
        <v>473.14845330523087</v>
      </c>
    </row>
    <row r="324" spans="2:11" x14ac:dyDescent="0.3">
      <c r="B324" s="89" t="s">
        <v>131</v>
      </c>
      <c r="C324" s="89"/>
      <c r="D324" s="92"/>
      <c r="E324" s="205"/>
      <c r="F324" s="205"/>
      <c r="G324" s="253"/>
      <c r="H324" s="253"/>
      <c r="I324" s="232">
        <f>MAX(0,MIN(($I$317/Assumptions!$D$26)*IF(COUNT($I$312:I$312)=1,0.5,1),$I$317-SUM($E$324:H324)))</f>
        <v>170.85916369355559</v>
      </c>
      <c r="J324" s="232">
        <f>MAX(0,MIN(($I$317/Assumptions!$D$26)*IF(COUNT($I$312:J$312)=1,0.5,1),$I$317-SUM($E$324:I324)))</f>
        <v>341.71832738711117</v>
      </c>
      <c r="K324" s="232">
        <f>MAX(0,MIN(($I$317/Assumptions!$D$26)*IF(COUNT($I$312:K$312)=1,0.5,1),$I$317-SUM($E$324:J324)))</f>
        <v>341.71832738711117</v>
      </c>
    </row>
    <row r="325" spans="2:11" x14ac:dyDescent="0.3">
      <c r="B325" s="89" t="s">
        <v>130</v>
      </c>
      <c r="C325" s="89"/>
      <c r="D325" s="92"/>
      <c r="E325" s="205"/>
      <c r="F325" s="205"/>
      <c r="G325" s="253"/>
      <c r="H325" s="253"/>
      <c r="I325" s="232"/>
      <c r="J325" s="232">
        <f>MAX(0,MIN(($J$317/Assumptions!$D$26)*IF(COUNT($J$312:J$312)=1,0.5,1),$J$317-SUM($E$325:I325)))</f>
        <v>460.00544071341886</v>
      </c>
      <c r="K325" s="232">
        <f>MAX(0,MIN(($J$317/Assumptions!$D$26)*IF(COUNT($J$312:K$312)=1,0.5,1),$J$317-SUM($E$325:J325)))</f>
        <v>920.01088142683773</v>
      </c>
    </row>
    <row r="326" spans="2:11" ht="15" thickBot="1" x14ac:dyDescent="0.35">
      <c r="B326" s="100" t="s">
        <v>129</v>
      </c>
      <c r="C326" s="100"/>
      <c r="D326" s="110"/>
      <c r="E326" s="262"/>
      <c r="F326" s="262"/>
      <c r="G326" s="280"/>
      <c r="H326" s="280"/>
      <c r="I326" s="280"/>
      <c r="J326" s="280"/>
      <c r="K326" s="264">
        <f>MAX(0,MIN(($K$317/Assumptions!$D$26)*IF(COUNT($K$312:K$312)=1,0.5,1),$K$317-SUM($E$326:J326)))</f>
        <v>604.57857922335052</v>
      </c>
    </row>
    <row r="327" spans="2:11" x14ac:dyDescent="0.3">
      <c r="B327" s="92" t="s">
        <v>123</v>
      </c>
      <c r="C327" s="92"/>
      <c r="D327" s="92"/>
      <c r="E327" s="205"/>
      <c r="F327" s="205"/>
      <c r="G327" s="109">
        <f t="shared" ref="G327:J327" si="130">SUM(G321:G326)</f>
        <v>2132.3127279589362</v>
      </c>
      <c r="H327" s="109">
        <f t="shared" si="130"/>
        <v>2500.3170805296713</v>
      </c>
      <c r="I327" s="109">
        <f t="shared" si="130"/>
        <v>2907.7504708758424</v>
      </c>
      <c r="J327" s="109">
        <f t="shared" si="130"/>
        <v>3538.6150752828166</v>
      </c>
      <c r="K327" s="109">
        <f>SUM(K321:K326)</f>
        <v>4603.1990952195865</v>
      </c>
    </row>
    <row r="328" spans="2:11" x14ac:dyDescent="0.3">
      <c r="B328" s="92"/>
      <c r="C328" s="89"/>
      <c r="D328" s="92"/>
      <c r="E328" s="205"/>
      <c r="F328" s="205"/>
      <c r="G328" s="206"/>
      <c r="H328" s="206"/>
      <c r="I328" s="206"/>
      <c r="J328" s="206"/>
      <c r="K328" s="206"/>
    </row>
    <row r="329" spans="2:11" x14ac:dyDescent="0.3">
      <c r="B329" s="92" t="s">
        <v>135</v>
      </c>
      <c r="C329" s="89"/>
      <c r="D329" s="92"/>
      <c r="E329" s="205"/>
      <c r="F329" s="205"/>
      <c r="G329" s="206"/>
      <c r="H329" s="206"/>
      <c r="I329" s="206"/>
      <c r="J329" s="206"/>
      <c r="K329" s="206"/>
    </row>
    <row r="330" spans="2:11" x14ac:dyDescent="0.3">
      <c r="B330" s="89"/>
      <c r="C330" s="89"/>
      <c r="D330" s="92"/>
      <c r="E330" s="205"/>
      <c r="F330" s="205"/>
      <c r="G330" s="206"/>
      <c r="H330" s="206"/>
      <c r="I330" s="206"/>
      <c r="J330" s="206"/>
      <c r="K330" s="207"/>
    </row>
    <row r="331" spans="2:11" x14ac:dyDescent="0.3">
      <c r="B331" s="89" t="s">
        <v>122</v>
      </c>
      <c r="C331" s="89"/>
      <c r="D331" s="89"/>
      <c r="E331" s="121"/>
      <c r="F331" s="121"/>
      <c r="G331" s="93">
        <f>F59/1000</f>
        <v>11204.942571428572</v>
      </c>
      <c r="H331" s="93">
        <f>G334</f>
        <v>10544.647253752577</v>
      </c>
      <c r="I331" s="93">
        <f t="shared" ref="I331:K331" si="131">H334</f>
        <v>10693.961511732199</v>
      </c>
      <c r="J331" s="93">
        <f t="shared" si="131"/>
        <v>9699.833674224179</v>
      </c>
      <c r="K331" s="93">
        <f t="shared" si="131"/>
        <v>11313.279534931653</v>
      </c>
    </row>
    <row r="332" spans="2:11" x14ac:dyDescent="0.3">
      <c r="B332" s="89" t="s">
        <v>125</v>
      </c>
      <c r="C332" s="89"/>
      <c r="D332" s="89"/>
      <c r="E332" s="121"/>
      <c r="F332" s="121"/>
      <c r="G332" s="207">
        <f>G317</f>
        <v>1472.0174102829403</v>
      </c>
      <c r="H332" s="207">
        <f>H317</f>
        <v>2649.6313385092926</v>
      </c>
      <c r="I332" s="207">
        <f>I317</f>
        <v>1913.6226333678226</v>
      </c>
      <c r="J332" s="207">
        <f>J317</f>
        <v>5152.060935990291</v>
      </c>
      <c r="K332" s="207">
        <f>K317</f>
        <v>6771.2800873015258</v>
      </c>
    </row>
    <row r="333" spans="2:11" ht="15" thickBot="1" x14ac:dyDescent="0.35">
      <c r="B333" s="100" t="s">
        <v>123</v>
      </c>
      <c r="C333" s="100"/>
      <c r="D333" s="100"/>
      <c r="E333" s="277"/>
      <c r="F333" s="277"/>
      <c r="G333" s="102">
        <f>-G327</f>
        <v>-2132.3127279589362</v>
      </c>
      <c r="H333" s="102">
        <f>-H327</f>
        <v>-2500.3170805296713</v>
      </c>
      <c r="I333" s="102">
        <f>-I327</f>
        <v>-2907.7504708758424</v>
      </c>
      <c r="J333" s="102">
        <f>-J327</f>
        <v>-3538.6150752828166</v>
      </c>
      <c r="K333" s="102">
        <f>-K327</f>
        <v>-4603.1990952195865</v>
      </c>
    </row>
    <row r="334" spans="2:11" x14ac:dyDescent="0.3">
      <c r="B334" s="92" t="s">
        <v>124</v>
      </c>
      <c r="C334" s="92"/>
      <c r="D334" s="92"/>
      <c r="E334" s="117"/>
      <c r="F334" s="117"/>
      <c r="G334" s="109">
        <f>+SUM(G331:G333)</f>
        <v>10544.647253752577</v>
      </c>
      <c r="H334" s="109">
        <f>+SUM(H331:H333)</f>
        <v>10693.961511732199</v>
      </c>
      <c r="I334" s="109">
        <f>+SUM(I331:I333)</f>
        <v>9699.833674224179</v>
      </c>
      <c r="J334" s="109">
        <f>+SUM(J331:J333)</f>
        <v>11313.279534931653</v>
      </c>
      <c r="K334" s="109">
        <f>+SUM(K331:K333)</f>
        <v>13481.360527013594</v>
      </c>
    </row>
    <row r="335" spans="2:11" x14ac:dyDescent="0.3">
      <c r="B335" s="92"/>
      <c r="C335" s="92"/>
      <c r="D335" s="92"/>
      <c r="E335" s="92"/>
      <c r="F335" s="117"/>
      <c r="G335" s="117"/>
      <c r="H335" s="117"/>
      <c r="I335" s="117"/>
      <c r="J335" s="117"/>
      <c r="K335" s="117"/>
    </row>
    <row r="336" spans="2:11" x14ac:dyDescent="0.3">
      <c r="B336" s="92" t="s">
        <v>327</v>
      </c>
      <c r="C336" s="92"/>
      <c r="D336" s="92"/>
      <c r="E336" s="92"/>
      <c r="F336" s="117"/>
      <c r="G336" s="117"/>
      <c r="H336" s="117"/>
      <c r="I336" s="117"/>
      <c r="J336" s="117"/>
      <c r="K336" s="117"/>
    </row>
    <row r="337" spans="2:11" x14ac:dyDescent="0.3">
      <c r="B337" s="92"/>
      <c r="C337" s="92"/>
      <c r="D337" s="92"/>
      <c r="E337" s="92"/>
      <c r="F337" s="117"/>
      <c r="G337" s="117"/>
      <c r="H337" s="117"/>
      <c r="I337" s="117"/>
      <c r="J337" s="117"/>
      <c r="K337" s="117"/>
    </row>
    <row r="338" spans="2:11" x14ac:dyDescent="0.3">
      <c r="B338" s="89" t="s">
        <v>328</v>
      </c>
      <c r="C338" s="89"/>
      <c r="D338" s="89"/>
      <c r="E338" s="89"/>
      <c r="F338" s="121"/>
      <c r="G338" s="93">
        <f>F340</f>
        <v>3220</v>
      </c>
      <c r="H338" s="93">
        <f t="shared" ref="H338:K338" si="132">G340</f>
        <v>3298.2186234817814</v>
      </c>
      <c r="I338" s="93">
        <f t="shared" si="132"/>
        <v>3480.7287449392711</v>
      </c>
      <c r="J338" s="93">
        <f t="shared" si="132"/>
        <v>3598.0566801619434</v>
      </c>
      <c r="K338" s="93">
        <f t="shared" si="132"/>
        <v>4002.1862348178142</v>
      </c>
    </row>
    <row r="339" spans="2:11" ht="15" thickBot="1" x14ac:dyDescent="0.35">
      <c r="B339" s="100" t="s">
        <v>330</v>
      </c>
      <c r="C339" s="100" t="s">
        <v>13</v>
      </c>
      <c r="D339" s="100"/>
      <c r="E339" s="100"/>
      <c r="F339" s="277"/>
      <c r="G339" s="279">
        <f>G248</f>
        <v>2.4291497975708502E-2</v>
      </c>
      <c r="H339" s="279">
        <f>H248</f>
        <v>5.533596837944664E-2</v>
      </c>
      <c r="I339" s="279">
        <f>I248</f>
        <v>3.3707865168539325E-2</v>
      </c>
      <c r="J339" s="279">
        <f>J248</f>
        <v>0.11231884057971014</v>
      </c>
      <c r="K339" s="279">
        <f>K248</f>
        <v>0.13680781758957655</v>
      </c>
    </row>
    <row r="340" spans="2:11" x14ac:dyDescent="0.3">
      <c r="B340" s="92" t="s">
        <v>329</v>
      </c>
      <c r="C340" s="92"/>
      <c r="D340" s="92"/>
      <c r="E340" s="92"/>
      <c r="F340" s="109">
        <v>3220</v>
      </c>
      <c r="G340" s="109">
        <f>G338*(1+G339)</f>
        <v>3298.2186234817814</v>
      </c>
      <c r="H340" s="109">
        <f t="shared" ref="H340:K340" si="133">H338*(1+H339)</f>
        <v>3480.7287449392711</v>
      </c>
      <c r="I340" s="109">
        <f t="shared" si="133"/>
        <v>3598.0566801619434</v>
      </c>
      <c r="J340" s="109">
        <f t="shared" si="133"/>
        <v>4002.1862348178142</v>
      </c>
      <c r="K340" s="109">
        <f t="shared" si="133"/>
        <v>4549.7165991902839</v>
      </c>
    </row>
    <row r="341" spans="2:11" x14ac:dyDescent="0.3">
      <c r="B341" s="92"/>
      <c r="C341" s="92"/>
      <c r="D341" s="92"/>
      <c r="E341" s="92"/>
      <c r="F341" s="109"/>
      <c r="G341" s="109"/>
      <c r="H341" s="109"/>
      <c r="I341" s="109"/>
      <c r="J341" s="109"/>
      <c r="K341" s="109"/>
    </row>
    <row r="342" spans="2:11" x14ac:dyDescent="0.3">
      <c r="B342" s="89" t="s">
        <v>252</v>
      </c>
      <c r="C342" s="89"/>
      <c r="D342" s="92"/>
      <c r="E342" s="92"/>
      <c r="F342" s="117"/>
      <c r="G342" s="93">
        <f>G340</f>
        <v>3298.2186234817814</v>
      </c>
      <c r="H342" s="93">
        <f t="shared" ref="H342:K342" si="134">H340</f>
        <v>3480.7287449392711</v>
      </c>
      <c r="I342" s="93">
        <f t="shared" si="134"/>
        <v>3598.0566801619434</v>
      </c>
      <c r="J342" s="93">
        <f t="shared" si="134"/>
        <v>4002.1862348178142</v>
      </c>
      <c r="K342" s="93">
        <f t="shared" si="134"/>
        <v>4549.7165991902839</v>
      </c>
    </row>
    <row r="343" spans="2:11" ht="15" thickBot="1" x14ac:dyDescent="0.35">
      <c r="B343" s="100" t="s">
        <v>254</v>
      </c>
      <c r="C343" s="100"/>
      <c r="D343" s="110"/>
      <c r="E343" s="110"/>
      <c r="F343" s="278"/>
      <c r="G343" s="264">
        <f>-G348*Assumptions!$D$20</f>
        <v>-827.63847983193273</v>
      </c>
      <c r="H343" s="264">
        <f>-H348*Assumptions!$D$20</f>
        <v>-767.7247158299183</v>
      </c>
      <c r="I343" s="264">
        <f>-I348*Assumptions!$D$20</f>
        <v>-763.9223543939147</v>
      </c>
      <c r="J343" s="264">
        <f>-J348*Assumptions!$D$20</f>
        <v>-708.69165284990231</v>
      </c>
      <c r="K343" s="264">
        <f>-K348*Assumptions!$D$20</f>
        <v>-820.20563409124509</v>
      </c>
    </row>
    <row r="344" spans="2:11" x14ac:dyDescent="0.3">
      <c r="B344" s="92" t="s">
        <v>253</v>
      </c>
      <c r="C344" s="92"/>
      <c r="D344" s="92"/>
      <c r="E344" s="92"/>
      <c r="F344" s="117"/>
      <c r="G344" s="109">
        <f>SUM(G342:G343)</f>
        <v>2470.5801436498487</v>
      </c>
      <c r="H344" s="109">
        <f t="shared" ref="H344:K344" si="135">SUM(H342:H343)</f>
        <v>2713.0040291093528</v>
      </c>
      <c r="I344" s="109">
        <f t="shared" si="135"/>
        <v>2834.1343257680287</v>
      </c>
      <c r="J344" s="109">
        <f t="shared" si="135"/>
        <v>3293.4945819679119</v>
      </c>
      <c r="K344" s="109">
        <f t="shared" si="135"/>
        <v>3729.5109650990389</v>
      </c>
    </row>
    <row r="345" spans="2:11" x14ac:dyDescent="0.3">
      <c r="B345" s="89"/>
      <c r="C345" s="89"/>
      <c r="D345" s="89"/>
      <c r="E345" s="121"/>
      <c r="F345" s="121"/>
      <c r="G345" s="121"/>
      <c r="H345" s="121"/>
      <c r="I345" s="121"/>
      <c r="J345" s="121"/>
      <c r="K345" s="121"/>
    </row>
    <row r="346" spans="2:11" x14ac:dyDescent="0.3">
      <c r="B346" s="92" t="s">
        <v>133</v>
      </c>
      <c r="C346" s="89"/>
      <c r="D346" s="89"/>
      <c r="E346" s="121"/>
      <c r="F346" s="121"/>
      <c r="G346" s="121"/>
      <c r="H346" s="121"/>
      <c r="I346" s="121"/>
      <c r="J346" s="121"/>
      <c r="K346" s="121"/>
    </row>
    <row r="347" spans="2:11" x14ac:dyDescent="0.3">
      <c r="B347" s="92"/>
      <c r="C347" s="89"/>
      <c r="D347" s="89"/>
      <c r="E347" s="121"/>
      <c r="F347" s="121"/>
      <c r="G347" s="121"/>
      <c r="H347" s="121"/>
      <c r="I347" s="121"/>
      <c r="J347" s="121"/>
      <c r="K347" s="121"/>
    </row>
    <row r="348" spans="2:11" x14ac:dyDescent="0.3">
      <c r="B348" s="89" t="s">
        <v>136</v>
      </c>
      <c r="C348" s="89"/>
      <c r="D348" s="89"/>
      <c r="E348" s="121"/>
      <c r="F348" s="121"/>
      <c r="G348" s="93">
        <f>(F99+F88)/1000</f>
        <v>13793.974663865545</v>
      </c>
      <c r="H348" s="93">
        <f>G351</f>
        <v>12795.411930498638</v>
      </c>
      <c r="I348" s="93">
        <f t="shared" ref="I348:K348" si="136">H351</f>
        <v>12732.039239898579</v>
      </c>
      <c r="J348" s="93">
        <f t="shared" si="136"/>
        <v>11811.527547498372</v>
      </c>
      <c r="K348" s="93">
        <f t="shared" si="136"/>
        <v>13670.093901520751</v>
      </c>
    </row>
    <row r="349" spans="2:11" x14ac:dyDescent="0.3">
      <c r="B349" s="89" t="s">
        <v>134</v>
      </c>
      <c r="C349" s="89"/>
      <c r="D349" s="89"/>
      <c r="E349" s="120"/>
      <c r="F349" s="120"/>
      <c r="G349" s="93">
        <f>G317</f>
        <v>1472.0174102829403</v>
      </c>
      <c r="H349" s="93">
        <f>H317</f>
        <v>2649.6313385092926</v>
      </c>
      <c r="I349" s="93">
        <f>I317</f>
        <v>1913.6226333678226</v>
      </c>
      <c r="J349" s="93">
        <f>J317</f>
        <v>5152.060935990291</v>
      </c>
      <c r="K349" s="93">
        <f>K317</f>
        <v>6771.2800873015258</v>
      </c>
    </row>
    <row r="350" spans="2:11" ht="15" thickBot="1" x14ac:dyDescent="0.35">
      <c r="B350" s="100" t="s">
        <v>251</v>
      </c>
      <c r="C350" s="100"/>
      <c r="D350" s="100"/>
      <c r="E350" s="274"/>
      <c r="F350" s="274"/>
      <c r="G350" s="102">
        <f>-G344</f>
        <v>-2470.5801436498487</v>
      </c>
      <c r="H350" s="102">
        <f t="shared" ref="H350:K350" si="137">-H344</f>
        <v>-2713.0040291093528</v>
      </c>
      <c r="I350" s="102">
        <f t="shared" si="137"/>
        <v>-2834.1343257680287</v>
      </c>
      <c r="J350" s="102">
        <f t="shared" si="137"/>
        <v>-3293.4945819679119</v>
      </c>
      <c r="K350" s="102">
        <f t="shared" si="137"/>
        <v>-3729.5109650990389</v>
      </c>
    </row>
    <row r="351" spans="2:11" x14ac:dyDescent="0.3">
      <c r="B351" s="92" t="s">
        <v>137</v>
      </c>
      <c r="C351" s="92"/>
      <c r="D351" s="92"/>
      <c r="E351" s="117"/>
      <c r="F351" s="117"/>
      <c r="G351" s="109">
        <f>SUM(G348:G350)</f>
        <v>12795.411930498638</v>
      </c>
      <c r="H351" s="109">
        <f>SUM(H348:H350)</f>
        <v>12732.039239898579</v>
      </c>
      <c r="I351" s="109">
        <f>SUM(I348:I350)</f>
        <v>11811.527547498372</v>
      </c>
      <c r="J351" s="109">
        <f>SUM(J348:J350)</f>
        <v>13670.093901520751</v>
      </c>
      <c r="K351" s="109">
        <f>SUM(K348:K350)</f>
        <v>16711.863023723239</v>
      </c>
    </row>
    <row r="352" spans="2:11" x14ac:dyDescent="0.3">
      <c r="B352" s="92"/>
      <c r="C352" s="92"/>
      <c r="D352" s="92"/>
      <c r="E352" s="117"/>
      <c r="F352" s="117"/>
      <c r="G352" s="109"/>
      <c r="H352" s="109"/>
      <c r="I352" s="109"/>
      <c r="J352" s="109"/>
      <c r="K352" s="109"/>
    </row>
    <row r="353" spans="2:11" x14ac:dyDescent="0.3">
      <c r="B353" s="92" t="s">
        <v>205</v>
      </c>
      <c r="C353" s="92"/>
      <c r="D353" s="92"/>
      <c r="E353" s="117"/>
      <c r="F353" s="117"/>
      <c r="G353" s="109">
        <f>-H350</f>
        <v>2713.0040291093528</v>
      </c>
      <c r="H353" s="109">
        <f>-I350</f>
        <v>2834.1343257680287</v>
      </c>
      <c r="I353" s="109">
        <f>-J350</f>
        <v>3293.4945819679119</v>
      </c>
      <c r="J353" s="109">
        <f>-K350</f>
        <v>3729.5109650990389</v>
      </c>
      <c r="K353" s="109">
        <f>J353</f>
        <v>3729.5109650990389</v>
      </c>
    </row>
    <row r="354" spans="2:11" x14ac:dyDescent="0.3">
      <c r="B354" s="92" t="s">
        <v>206</v>
      </c>
      <c r="C354" s="92"/>
      <c r="D354" s="92"/>
      <c r="E354" s="117"/>
      <c r="F354" s="117"/>
      <c r="G354" s="109">
        <f>G351-G353</f>
        <v>10082.407901389284</v>
      </c>
      <c r="H354" s="109">
        <f t="shared" ref="H354:K354" si="138">H351-H353</f>
        <v>9897.9049141305495</v>
      </c>
      <c r="I354" s="109">
        <f t="shared" si="138"/>
        <v>8518.0329655304595</v>
      </c>
      <c r="J354" s="109">
        <f t="shared" si="138"/>
        <v>9940.5829364217134</v>
      </c>
      <c r="K354" s="109">
        <f t="shared" si="138"/>
        <v>12982.352058624201</v>
      </c>
    </row>
    <row r="355" spans="2:11" x14ac:dyDescent="0.3">
      <c r="B355" s="64"/>
      <c r="C355" s="64"/>
      <c r="D355" s="64"/>
      <c r="E355" s="77"/>
      <c r="F355" s="77"/>
      <c r="G355" s="77"/>
      <c r="H355" s="77"/>
      <c r="I355" s="77"/>
      <c r="J355" s="77"/>
      <c r="K355" s="77"/>
    </row>
    <row r="356" spans="2:11" x14ac:dyDescent="0.3">
      <c r="B356" s="64"/>
      <c r="C356" s="64"/>
      <c r="D356" s="64"/>
      <c r="E356" s="77"/>
      <c r="F356" s="77"/>
      <c r="G356" s="77"/>
      <c r="H356" s="77"/>
      <c r="I356" s="77"/>
      <c r="J356" s="77"/>
      <c r="K356" s="77"/>
    </row>
    <row r="357" spans="2:11" ht="24.6" x14ac:dyDescent="0.4">
      <c r="B357" s="66" t="s">
        <v>339</v>
      </c>
      <c r="C357" s="68"/>
      <c r="D357" s="69"/>
      <c r="E357" s="69"/>
      <c r="F357" s="69"/>
      <c r="G357" s="69"/>
      <c r="H357" s="69"/>
      <c r="I357" s="69"/>
      <c r="J357" s="69"/>
      <c r="K357" s="69"/>
    </row>
    <row r="358" spans="2:11" ht="17.399999999999999" x14ac:dyDescent="0.3">
      <c r="B358" s="67" t="s">
        <v>347</v>
      </c>
      <c r="C358" s="69"/>
      <c r="D358" s="69"/>
      <c r="E358" s="69"/>
      <c r="F358" s="69"/>
      <c r="G358" s="69"/>
      <c r="H358" s="69"/>
      <c r="I358" s="69"/>
      <c r="J358" s="69"/>
      <c r="K358" s="69"/>
    </row>
    <row r="359" spans="2:11" x14ac:dyDescent="0.3">
      <c r="B359" s="61"/>
      <c r="C359" s="61"/>
      <c r="D359" s="61"/>
      <c r="E359" s="61"/>
      <c r="F359" s="61"/>
      <c r="G359" s="61"/>
      <c r="H359" s="61"/>
      <c r="I359" s="61"/>
      <c r="J359" s="63"/>
      <c r="K359" s="63"/>
    </row>
    <row r="360" spans="2:11" x14ac:dyDescent="0.3">
      <c r="B360" s="215" t="s">
        <v>340</v>
      </c>
      <c r="C360" s="61"/>
      <c r="D360" s="61"/>
      <c r="E360" s="61"/>
      <c r="F360" s="61"/>
      <c r="G360" s="61"/>
      <c r="H360" s="61"/>
      <c r="I360" s="61"/>
      <c r="J360" s="63"/>
      <c r="K360" s="63"/>
    </row>
    <row r="361" spans="2:11" x14ac:dyDescent="0.3">
      <c r="B361" s="63"/>
      <c r="C361" s="63"/>
      <c r="D361" s="63"/>
      <c r="E361" s="63"/>
      <c r="F361" s="63"/>
      <c r="G361" s="63"/>
      <c r="H361" s="63"/>
      <c r="I361" s="63"/>
      <c r="J361" s="63"/>
      <c r="K361" s="63"/>
    </row>
    <row r="362" spans="2:11" x14ac:dyDescent="0.3">
      <c r="B362" s="63"/>
      <c r="C362" s="63"/>
      <c r="D362" s="63"/>
      <c r="E362" s="70">
        <v>2024</v>
      </c>
      <c r="F362" s="70">
        <v>2025</v>
      </c>
      <c r="G362" s="71">
        <f>F362+1</f>
        <v>2026</v>
      </c>
      <c r="H362" s="71">
        <f t="shared" ref="H362:K362" si="139">G362+1</f>
        <v>2027</v>
      </c>
      <c r="I362" s="71">
        <f t="shared" si="139"/>
        <v>2028</v>
      </c>
      <c r="J362" s="71">
        <f t="shared" si="139"/>
        <v>2029</v>
      </c>
      <c r="K362" s="71">
        <f t="shared" si="139"/>
        <v>2030</v>
      </c>
    </row>
    <row r="363" spans="2:11" x14ac:dyDescent="0.3">
      <c r="B363" s="63"/>
      <c r="C363" s="63"/>
      <c r="D363" s="63"/>
      <c r="E363" s="213" t="s">
        <v>341</v>
      </c>
      <c r="F363" s="213"/>
      <c r="G363" s="214"/>
      <c r="H363" s="214"/>
      <c r="I363" s="214"/>
      <c r="J363" s="214"/>
      <c r="K363" s="214" t="s">
        <v>342</v>
      </c>
    </row>
    <row r="364" spans="2:11" x14ac:dyDescent="0.3">
      <c r="B364" s="92" t="s">
        <v>138</v>
      </c>
      <c r="C364" s="92"/>
      <c r="D364" s="92"/>
      <c r="E364" s="117"/>
      <c r="F364" s="117"/>
      <c r="G364" s="117"/>
      <c r="H364" s="117"/>
      <c r="I364" s="117"/>
      <c r="J364" s="117"/>
      <c r="K364" s="117"/>
    </row>
    <row r="365" spans="2:11" x14ac:dyDescent="0.3">
      <c r="B365" s="92"/>
      <c r="C365" s="92"/>
      <c r="D365" s="92"/>
      <c r="E365" s="117"/>
      <c r="F365" s="117"/>
      <c r="G365" s="117"/>
      <c r="H365" s="117"/>
      <c r="I365" s="117"/>
      <c r="J365" s="117"/>
      <c r="K365" s="117"/>
    </row>
    <row r="366" spans="2:11" x14ac:dyDescent="0.3">
      <c r="B366" s="89" t="s">
        <v>139</v>
      </c>
      <c r="C366" s="92"/>
      <c r="D366" s="92"/>
      <c r="E366" s="208"/>
      <c r="F366" s="208"/>
      <c r="G366" s="117"/>
      <c r="H366" s="117"/>
      <c r="I366" s="117"/>
      <c r="J366" s="117"/>
      <c r="K366" s="117"/>
    </row>
    <row r="367" spans="2:11" ht="15" thickBot="1" x14ac:dyDescent="0.35">
      <c r="B367" s="100" t="s">
        <v>140</v>
      </c>
      <c r="C367" s="100"/>
      <c r="D367" s="100"/>
      <c r="E367" s="276"/>
      <c r="F367" s="276"/>
      <c r="G367" s="277"/>
      <c r="H367" s="277"/>
      <c r="I367" s="277"/>
      <c r="J367" s="277"/>
      <c r="K367" s="277"/>
    </row>
    <row r="368" spans="2:11" x14ac:dyDescent="0.3">
      <c r="B368" s="92" t="s">
        <v>141</v>
      </c>
      <c r="C368" s="89"/>
      <c r="D368" s="89"/>
      <c r="E368" s="90">
        <v>404.6</v>
      </c>
      <c r="F368" s="90">
        <v>163.1</v>
      </c>
      <c r="G368" s="232">
        <f>AVERAGE(E368,F368)*(1+Assumptions!F63)</f>
        <v>298.04250000000002</v>
      </c>
      <c r="H368" s="232">
        <f>G368*(1+Assumptions!F63)</f>
        <v>312.94462500000003</v>
      </c>
      <c r="I368" s="232">
        <f>H368*(1+Assumptions!G63)</f>
        <v>328.59185625000003</v>
      </c>
      <c r="J368" s="232">
        <f>I368*(1+Assumptions!H63)</f>
        <v>345.02144906250004</v>
      </c>
      <c r="K368" s="232">
        <f>J368*(1+Assumptions!I63)</f>
        <v>362.27252151562504</v>
      </c>
    </row>
    <row r="369" spans="2:11" x14ac:dyDescent="0.3">
      <c r="B369" s="89"/>
      <c r="C369" s="89"/>
      <c r="D369" s="89"/>
      <c r="E369" s="120"/>
      <c r="F369" s="120"/>
      <c r="G369" s="121"/>
      <c r="H369" s="121"/>
      <c r="I369" s="121"/>
      <c r="J369" s="121"/>
      <c r="K369" s="121"/>
    </row>
    <row r="370" spans="2:11" x14ac:dyDescent="0.3">
      <c r="B370" s="92" t="s">
        <v>126</v>
      </c>
      <c r="C370" s="89"/>
      <c r="D370" s="89"/>
      <c r="E370" s="120"/>
      <c r="F370" s="120"/>
      <c r="G370" s="121"/>
      <c r="H370" s="121"/>
      <c r="I370" s="121"/>
      <c r="J370" s="121"/>
      <c r="K370" s="121"/>
    </row>
    <row r="371" spans="2:11" x14ac:dyDescent="0.3">
      <c r="B371" s="92"/>
      <c r="C371" s="92"/>
      <c r="D371" s="92"/>
      <c r="E371" s="117"/>
      <c r="F371" s="117"/>
      <c r="G371" s="117"/>
      <c r="H371" s="117"/>
      <c r="I371" s="117"/>
      <c r="J371" s="117"/>
      <c r="K371" s="117"/>
    </row>
    <row r="372" spans="2:11" x14ac:dyDescent="0.3">
      <c r="B372" s="89" t="s">
        <v>142</v>
      </c>
      <c r="C372" s="92"/>
      <c r="D372" s="92"/>
      <c r="E372" s="117"/>
      <c r="F372" s="117"/>
      <c r="G372" s="232">
        <f>MIN($F$385/Assumptions!$D$24, ($F$385 - SUM($F372:F372)))</f>
        <v>172.31424129651859</v>
      </c>
      <c r="H372" s="232">
        <f>MIN($F$385/Assumptions!$D$24, ($F$385 - SUM($F372:G372)))</f>
        <v>172.31424129651859</v>
      </c>
      <c r="I372" s="232">
        <f>MIN($F$385/Assumptions!$D$24, ($F$385 - SUM($F372:H372)))</f>
        <v>172.31424129651859</v>
      </c>
      <c r="J372" s="232">
        <f>MIN($F$385/Assumptions!$D$24, ($F$385 - SUM($F372:I372)))</f>
        <v>172.31424129651859</v>
      </c>
      <c r="K372" s="232">
        <f>MIN($F$385/Assumptions!$D$24, ($F$385 - SUM($F372:J372)))</f>
        <v>172.31424129651859</v>
      </c>
    </row>
    <row r="373" spans="2:11" x14ac:dyDescent="0.3">
      <c r="B373" s="89" t="s">
        <v>143</v>
      </c>
      <c r="C373" s="92"/>
      <c r="D373" s="92"/>
      <c r="E373" s="117"/>
      <c r="F373" s="117"/>
      <c r="G373" s="232">
        <f>MIN(($G$368/Assumptions!$D$24)*0.5,($G$368-SUM($F373:F373)))</f>
        <v>21.28875</v>
      </c>
      <c r="H373" s="232">
        <f>MIN(($G$368/Assumptions!$D$24),($G$368-SUM($F373:G373)))</f>
        <v>42.577500000000001</v>
      </c>
      <c r="I373" s="232">
        <f>MIN(($G$368/Assumptions!$D$24),($G$368-SUM($F373:H373)))</f>
        <v>42.577500000000001</v>
      </c>
      <c r="J373" s="232">
        <f>MIN(($G$368/Assumptions!$D$24),($G$368-SUM($F373:I373)))</f>
        <v>42.577500000000001</v>
      </c>
      <c r="K373" s="232">
        <f>MIN(($G$368/Assumptions!$D$24),($G$368-SUM($F373:J373)))</f>
        <v>42.577500000000001</v>
      </c>
    </row>
    <row r="374" spans="2:11" x14ac:dyDescent="0.3">
      <c r="B374" s="89" t="s">
        <v>144</v>
      </c>
      <c r="C374" s="89"/>
      <c r="D374" s="89"/>
      <c r="E374" s="120"/>
      <c r="F374" s="120"/>
      <c r="G374" s="232"/>
      <c r="H374" s="232">
        <f>MIN(($H$368/Assumptions!$D$24)*0.5,($H$368-SUM($F374:G374)))</f>
        <v>22.353187500000001</v>
      </c>
      <c r="I374" s="232">
        <f>MIN(($H$368/Assumptions!$D$24),($H$368-SUM($F374:H374)))</f>
        <v>44.706375000000001</v>
      </c>
      <c r="J374" s="232">
        <f>MIN(($H$368/Assumptions!$D$24),($H$368-SUM($F374:I374)))</f>
        <v>44.706375000000001</v>
      </c>
      <c r="K374" s="232">
        <f>MIN(($H$368/Assumptions!$D$24),($H$368-SUM($F374:J374)))</f>
        <v>44.706375000000001</v>
      </c>
    </row>
    <row r="375" spans="2:11" x14ac:dyDescent="0.3">
      <c r="B375" s="89" t="s">
        <v>145</v>
      </c>
      <c r="C375" s="89"/>
      <c r="D375" s="89"/>
      <c r="E375" s="120"/>
      <c r="F375" s="200"/>
      <c r="G375" s="232"/>
      <c r="H375" s="232"/>
      <c r="I375" s="232">
        <f>MIN(($I$368/Assumptions!$D$24)*0.5,($I$368-SUM($F375:H375)))</f>
        <v>23.470846875000003</v>
      </c>
      <c r="J375" s="232">
        <f>MIN(($I$368/Assumptions!$D$24),($I$368-SUM($F375:I375)))</f>
        <v>46.941693750000006</v>
      </c>
      <c r="K375" s="232">
        <f>MIN(($I$368/Assumptions!$D$24),($I$368-SUM($F375:J375)))</f>
        <v>46.941693750000006</v>
      </c>
    </row>
    <row r="376" spans="2:11" x14ac:dyDescent="0.3">
      <c r="B376" s="89" t="s">
        <v>146</v>
      </c>
      <c r="C376" s="89"/>
      <c r="D376" s="89"/>
      <c r="E376" s="120"/>
      <c r="F376" s="200"/>
      <c r="G376" s="232"/>
      <c r="H376" s="232"/>
      <c r="I376" s="232"/>
      <c r="J376" s="232">
        <f>MIN(($J$368/Assumptions!$D$24)*0.5,($J$368-SUM($F376:I376)))</f>
        <v>24.644389218750003</v>
      </c>
      <c r="K376" s="232">
        <f>MIN(($J$368/Assumptions!$D$24),($J$368-SUM($F376:J376)))</f>
        <v>49.288778437500007</v>
      </c>
    </row>
    <row r="377" spans="2:11" ht="15" thickBot="1" x14ac:dyDescent="0.35">
      <c r="B377" s="100" t="s">
        <v>147</v>
      </c>
      <c r="C377" s="100"/>
      <c r="D377" s="100"/>
      <c r="E377" s="274"/>
      <c r="F377" s="275"/>
      <c r="G377" s="264"/>
      <c r="H377" s="264"/>
      <c r="I377" s="264"/>
      <c r="J377" s="264"/>
      <c r="K377" s="264">
        <f>MIN(($K$368/Assumptions!$D$24)*0.5,($K$368-SUM($F377:J377)))</f>
        <v>25.876608679687504</v>
      </c>
    </row>
    <row r="378" spans="2:11" x14ac:dyDescent="0.3">
      <c r="B378" s="92" t="s">
        <v>148</v>
      </c>
      <c r="C378" s="92"/>
      <c r="D378" s="92"/>
      <c r="E378" s="117"/>
      <c r="F378" s="117"/>
      <c r="G378" s="99">
        <f>SUM(G372:G377)</f>
        <v>193.60299129651858</v>
      </c>
      <c r="H378" s="99">
        <f t="shared" ref="H378:J378" si="140">SUM(H372:H377)</f>
        <v>237.24492879651859</v>
      </c>
      <c r="I378" s="99">
        <f t="shared" si="140"/>
        <v>283.06896317151859</v>
      </c>
      <c r="J378" s="99">
        <f t="shared" si="140"/>
        <v>331.1841992652686</v>
      </c>
      <c r="K378" s="99">
        <f>SUM(K372:K377)</f>
        <v>381.70519716370609</v>
      </c>
    </row>
    <row r="379" spans="2:11" x14ac:dyDescent="0.3">
      <c r="B379" s="92"/>
      <c r="C379" s="92"/>
      <c r="D379" s="92"/>
      <c r="E379" s="117"/>
      <c r="F379" s="117"/>
      <c r="G379" s="117"/>
      <c r="H379" s="117"/>
      <c r="I379" s="117"/>
      <c r="J379" s="117"/>
      <c r="K379" s="117"/>
    </row>
    <row r="380" spans="2:11" x14ac:dyDescent="0.3">
      <c r="B380" s="92" t="s">
        <v>149</v>
      </c>
      <c r="C380" s="89"/>
      <c r="D380" s="89"/>
      <c r="E380" s="89"/>
      <c r="F380" s="89"/>
      <c r="G380" s="89"/>
      <c r="H380" s="89"/>
      <c r="I380" s="89"/>
      <c r="J380" s="89"/>
      <c r="K380" s="89"/>
    </row>
    <row r="381" spans="2:11" x14ac:dyDescent="0.3">
      <c r="B381" s="89"/>
      <c r="C381" s="89"/>
      <c r="D381" s="89"/>
      <c r="E381" s="89"/>
      <c r="F381" s="89"/>
      <c r="G381" s="89"/>
      <c r="H381" s="89"/>
      <c r="I381" s="89"/>
      <c r="J381" s="89"/>
      <c r="K381" s="89"/>
    </row>
    <row r="382" spans="2:11" x14ac:dyDescent="0.3">
      <c r="B382" s="92" t="s">
        <v>150</v>
      </c>
      <c r="C382" s="89"/>
      <c r="D382" s="89"/>
      <c r="E382" s="89"/>
      <c r="F382" s="89"/>
      <c r="G382" s="91">
        <f>F385</f>
        <v>1206.1996890756302</v>
      </c>
      <c r="H382" s="91">
        <f>G385</f>
        <v>1310.6391977791116</v>
      </c>
      <c r="I382" s="91">
        <f t="shared" ref="I382:K382" si="141">H385</f>
        <v>1386.3388939825932</v>
      </c>
      <c r="J382" s="91">
        <f t="shared" si="141"/>
        <v>1431.8617870610747</v>
      </c>
      <c r="K382" s="91">
        <f t="shared" si="141"/>
        <v>1445.699036858306</v>
      </c>
    </row>
    <row r="383" spans="2:11" x14ac:dyDescent="0.3">
      <c r="B383" s="202" t="s">
        <v>151</v>
      </c>
      <c r="C383" s="202"/>
      <c r="D383" s="202"/>
      <c r="E383" s="202"/>
      <c r="F383" s="202"/>
      <c r="G383" s="203">
        <f>G368</f>
        <v>298.04250000000002</v>
      </c>
      <c r="H383" s="209">
        <f t="shared" ref="H383:K383" si="142">H368</f>
        <v>312.94462500000003</v>
      </c>
      <c r="I383" s="209">
        <f t="shared" si="142"/>
        <v>328.59185625000003</v>
      </c>
      <c r="J383" s="209">
        <f t="shared" si="142"/>
        <v>345.02144906250004</v>
      </c>
      <c r="K383" s="209">
        <f t="shared" si="142"/>
        <v>362.27252151562504</v>
      </c>
    </row>
    <row r="384" spans="2:11" ht="15" thickBot="1" x14ac:dyDescent="0.35">
      <c r="B384" s="100" t="s">
        <v>126</v>
      </c>
      <c r="C384" s="100"/>
      <c r="D384" s="100"/>
      <c r="E384" s="100"/>
      <c r="F384" s="100"/>
      <c r="G384" s="273">
        <f>-G378</f>
        <v>-193.60299129651858</v>
      </c>
      <c r="H384" s="273">
        <f t="shared" ref="H384:K384" si="143">-H378</f>
        <v>-237.24492879651859</v>
      </c>
      <c r="I384" s="273">
        <f t="shared" si="143"/>
        <v>-283.06896317151859</v>
      </c>
      <c r="J384" s="273">
        <f t="shared" si="143"/>
        <v>-331.1841992652686</v>
      </c>
      <c r="K384" s="273">
        <f t="shared" si="143"/>
        <v>-381.70519716370609</v>
      </c>
    </row>
    <row r="385" spans="2:11" x14ac:dyDescent="0.3">
      <c r="B385" s="92" t="s">
        <v>152</v>
      </c>
      <c r="C385" s="92"/>
      <c r="D385" s="92"/>
      <c r="E385" s="92"/>
      <c r="F385" s="99">
        <f>F58/1000</f>
        <v>1206.1996890756302</v>
      </c>
      <c r="G385" s="99">
        <f>SUM(G382:G384)</f>
        <v>1310.6391977791116</v>
      </c>
      <c r="H385" s="99">
        <f t="shared" ref="H385:K385" si="144">SUM(H382:H384)</f>
        <v>1386.3388939825932</v>
      </c>
      <c r="I385" s="99">
        <f t="shared" si="144"/>
        <v>1431.8617870610747</v>
      </c>
      <c r="J385" s="99">
        <f t="shared" si="144"/>
        <v>1445.699036858306</v>
      </c>
      <c r="K385" s="99">
        <f t="shared" si="144"/>
        <v>1426.2663612102251</v>
      </c>
    </row>
    <row r="386" spans="2:11" x14ac:dyDescent="0.3">
      <c r="B386" s="65"/>
      <c r="C386" s="65"/>
      <c r="D386" s="65"/>
      <c r="E386" s="65"/>
      <c r="F386" s="75"/>
      <c r="G386" s="75"/>
      <c r="H386" s="75"/>
      <c r="I386" s="75"/>
      <c r="J386" s="75"/>
      <c r="K386" s="75"/>
    </row>
    <row r="387" spans="2:11" x14ac:dyDescent="0.3">
      <c r="B387" s="65"/>
      <c r="C387" s="65"/>
      <c r="D387" s="65"/>
      <c r="E387" s="65"/>
      <c r="F387" s="75"/>
      <c r="G387" s="75"/>
      <c r="H387" s="75"/>
      <c r="I387" s="75"/>
      <c r="J387" s="75"/>
      <c r="K387" s="75"/>
    </row>
    <row r="388" spans="2:11" ht="24.6" x14ac:dyDescent="0.4">
      <c r="B388" s="66" t="s">
        <v>339</v>
      </c>
      <c r="C388" s="68"/>
      <c r="D388" s="69"/>
      <c r="E388" s="69"/>
      <c r="F388" s="69"/>
      <c r="G388" s="69"/>
      <c r="H388" s="69"/>
      <c r="I388" s="69"/>
      <c r="J388" s="69"/>
      <c r="K388" s="69"/>
    </row>
    <row r="389" spans="2:11" ht="17.399999999999999" x14ac:dyDescent="0.3">
      <c r="B389" s="67" t="s">
        <v>348</v>
      </c>
      <c r="C389" s="69"/>
      <c r="D389" s="69"/>
      <c r="E389" s="69"/>
      <c r="F389" s="69"/>
      <c r="G389" s="69"/>
      <c r="H389" s="69"/>
      <c r="I389" s="69"/>
      <c r="J389" s="69"/>
      <c r="K389" s="69"/>
    </row>
    <row r="390" spans="2:11" x14ac:dyDescent="0.3">
      <c r="B390" s="61"/>
      <c r="C390" s="61"/>
      <c r="D390" s="61"/>
      <c r="E390" s="61"/>
      <c r="F390" s="61"/>
      <c r="G390" s="61"/>
      <c r="H390" s="61"/>
      <c r="I390" s="61"/>
      <c r="J390" s="63"/>
      <c r="K390" s="63"/>
    </row>
    <row r="391" spans="2:11" x14ac:dyDescent="0.3">
      <c r="B391" s="215" t="s">
        <v>340</v>
      </c>
      <c r="C391" s="61"/>
      <c r="D391" s="61"/>
      <c r="E391" s="61"/>
      <c r="F391" s="61"/>
      <c r="G391" s="61"/>
      <c r="H391" s="61"/>
      <c r="I391" s="61"/>
      <c r="J391" s="63"/>
      <c r="K391" s="63"/>
    </row>
    <row r="392" spans="2:11" x14ac:dyDescent="0.3">
      <c r="B392" s="63"/>
      <c r="C392" s="63"/>
      <c r="D392" s="63"/>
      <c r="E392" s="63"/>
      <c r="F392" s="63"/>
      <c r="G392" s="63"/>
      <c r="H392" s="63"/>
      <c r="I392" s="63"/>
      <c r="J392" s="63"/>
      <c r="K392" s="63"/>
    </row>
    <row r="393" spans="2:11" x14ac:dyDescent="0.3">
      <c r="B393" s="63"/>
      <c r="C393" s="63"/>
      <c r="D393" s="63"/>
      <c r="E393" s="70">
        <v>2024</v>
      </c>
      <c r="F393" s="70">
        <v>2025</v>
      </c>
      <c r="G393" s="71">
        <f>F393+1</f>
        <v>2026</v>
      </c>
      <c r="H393" s="71">
        <f t="shared" ref="H393:K393" si="145">G393+1</f>
        <v>2027</v>
      </c>
      <c r="I393" s="71">
        <f t="shared" si="145"/>
        <v>2028</v>
      </c>
      <c r="J393" s="71">
        <f t="shared" si="145"/>
        <v>2029</v>
      </c>
      <c r="K393" s="71">
        <f t="shared" si="145"/>
        <v>2030</v>
      </c>
    </row>
    <row r="394" spans="2:11" x14ac:dyDescent="0.3">
      <c r="B394" s="63"/>
      <c r="C394" s="63"/>
      <c r="D394" s="63"/>
      <c r="E394" s="213" t="s">
        <v>341</v>
      </c>
      <c r="F394" s="213"/>
      <c r="G394" s="214"/>
      <c r="H394" s="214"/>
      <c r="I394" s="214"/>
      <c r="J394" s="214"/>
      <c r="K394" s="214" t="s">
        <v>342</v>
      </c>
    </row>
    <row r="395" spans="2:11" x14ac:dyDescent="0.3">
      <c r="B395" s="92" t="s">
        <v>211</v>
      </c>
      <c r="C395" s="92"/>
      <c r="D395" s="92"/>
      <c r="E395" s="92"/>
      <c r="F395" s="99"/>
      <c r="G395" s="99"/>
      <c r="H395" s="99"/>
      <c r="I395" s="99"/>
      <c r="J395" s="99"/>
      <c r="K395" s="99"/>
    </row>
    <row r="396" spans="2:11" x14ac:dyDescent="0.3">
      <c r="B396" s="92"/>
      <c r="C396" s="92"/>
      <c r="D396" s="92"/>
      <c r="E396" s="92"/>
      <c r="F396" s="99"/>
      <c r="G396" s="99"/>
      <c r="H396" s="99"/>
      <c r="I396" s="99"/>
      <c r="J396" s="99"/>
      <c r="K396" s="99"/>
    </row>
    <row r="397" spans="2:11" x14ac:dyDescent="0.3">
      <c r="B397" s="89" t="s">
        <v>211</v>
      </c>
      <c r="C397" s="89"/>
      <c r="D397" s="89"/>
      <c r="E397" s="125"/>
      <c r="F397" s="93">
        <f>F63/1000</f>
        <v>13953.159</v>
      </c>
      <c r="G397" s="93">
        <f>F63/1000</f>
        <v>13953.159</v>
      </c>
      <c r="H397" s="93">
        <f>G422</f>
        <v>13740.583573073112</v>
      </c>
      <c r="I397" s="93">
        <f t="shared" ref="I397:K397" si="146">H422</f>
        <v>13525.618448377476</v>
      </c>
      <c r="J397" s="93">
        <f t="shared" si="146"/>
        <v>13307.051278400408</v>
      </c>
      <c r="K397" s="93">
        <f t="shared" si="146"/>
        <v>13083.491143062696</v>
      </c>
    </row>
    <row r="398" spans="2:11" ht="15" thickBot="1" x14ac:dyDescent="0.35">
      <c r="B398" s="100" t="s">
        <v>212</v>
      </c>
      <c r="C398" s="100"/>
      <c r="D398" s="100"/>
      <c r="E398" s="127"/>
      <c r="F398" s="101">
        <v>10091</v>
      </c>
      <c r="G398" s="102">
        <f>F398</f>
        <v>10091</v>
      </c>
      <c r="H398" s="102">
        <f t="shared" ref="H398:K398" si="147">G398</f>
        <v>10091</v>
      </c>
      <c r="I398" s="102">
        <f t="shared" si="147"/>
        <v>10091</v>
      </c>
      <c r="J398" s="102">
        <f t="shared" si="147"/>
        <v>10091</v>
      </c>
      <c r="K398" s="102">
        <f t="shared" si="147"/>
        <v>10091</v>
      </c>
    </row>
    <row r="399" spans="2:11" x14ac:dyDescent="0.3">
      <c r="B399" s="92" t="s">
        <v>216</v>
      </c>
      <c r="C399" s="92"/>
      <c r="D399" s="92"/>
      <c r="E399" s="125"/>
      <c r="F399" s="109">
        <f>F397-F398</f>
        <v>3862.1589999999997</v>
      </c>
      <c r="G399" s="109">
        <f t="shared" ref="G399:K399" si="148">G397-G398</f>
        <v>3862.1589999999997</v>
      </c>
      <c r="H399" s="109">
        <f t="shared" si="148"/>
        <v>3649.5835730731123</v>
      </c>
      <c r="I399" s="109">
        <f t="shared" si="148"/>
        <v>3434.6184483774759</v>
      </c>
      <c r="J399" s="109">
        <f t="shared" si="148"/>
        <v>3216.0512784004077</v>
      </c>
      <c r="K399" s="109">
        <f t="shared" si="148"/>
        <v>2992.4911430626962</v>
      </c>
    </row>
    <row r="400" spans="2:11" x14ac:dyDescent="0.3">
      <c r="B400" s="89"/>
      <c r="C400" s="89"/>
      <c r="D400" s="89"/>
      <c r="E400" s="125"/>
      <c r="F400" s="125"/>
      <c r="G400" s="126"/>
      <c r="H400" s="126"/>
      <c r="I400" s="126"/>
      <c r="J400" s="126"/>
      <c r="K400" s="126"/>
    </row>
    <row r="401" spans="2:11" x14ac:dyDescent="0.3">
      <c r="B401" s="92" t="s">
        <v>204</v>
      </c>
      <c r="C401" s="89"/>
      <c r="D401" s="89"/>
      <c r="E401" s="125"/>
      <c r="F401" s="125"/>
      <c r="G401" s="126"/>
      <c r="H401" s="126"/>
      <c r="I401" s="126"/>
      <c r="J401" s="126"/>
      <c r="K401" s="126"/>
    </row>
    <row r="402" spans="2:11" x14ac:dyDescent="0.3">
      <c r="B402" s="92"/>
      <c r="C402" s="89"/>
      <c r="D402" s="89"/>
      <c r="E402" s="125"/>
      <c r="F402" s="125"/>
      <c r="G402" s="126"/>
      <c r="H402" s="126"/>
      <c r="I402" s="126"/>
      <c r="J402" s="126"/>
      <c r="K402" s="126"/>
    </row>
    <row r="403" spans="2:11" x14ac:dyDescent="0.3">
      <c r="B403" s="89" t="s">
        <v>26</v>
      </c>
      <c r="C403" s="89"/>
      <c r="D403" s="89"/>
      <c r="E403" s="210"/>
      <c r="F403" s="93"/>
      <c r="G403" s="93">
        <f>G10</f>
        <v>24370.592712015896</v>
      </c>
      <c r="H403" s="93">
        <f>H10</f>
        <v>26600.522082578962</v>
      </c>
      <c r="I403" s="93">
        <f>I10</f>
        <v>28895.026823702039</v>
      </c>
      <c r="J403" s="93">
        <f>J10</f>
        <v>31235.841526457687</v>
      </c>
      <c r="K403" s="93">
        <f>K10</f>
        <v>33766.402694557357</v>
      </c>
    </row>
    <row r="404" spans="2:11" ht="15" thickBot="1" x14ac:dyDescent="0.35">
      <c r="B404" s="100" t="s">
        <v>215</v>
      </c>
      <c r="C404" s="100"/>
      <c r="D404" s="100"/>
      <c r="E404" s="269"/>
      <c r="F404" s="270"/>
      <c r="G404" s="271">
        <f>Assumptions!$D$27</f>
        <v>7.4999999999999997E-3</v>
      </c>
      <c r="H404" s="271">
        <f>Assumptions!$D$27</f>
        <v>7.4999999999999997E-3</v>
      </c>
      <c r="I404" s="271">
        <f>Assumptions!$D$27</f>
        <v>7.4999999999999997E-3</v>
      </c>
      <c r="J404" s="271">
        <f>Assumptions!$D$27</f>
        <v>7.4999999999999997E-3</v>
      </c>
      <c r="K404" s="271">
        <f>Assumptions!$D$27</f>
        <v>7.4999999999999997E-3</v>
      </c>
    </row>
    <row r="405" spans="2:11" x14ac:dyDescent="0.3">
      <c r="B405" s="92" t="s">
        <v>204</v>
      </c>
      <c r="C405" s="92"/>
      <c r="D405" s="92"/>
      <c r="E405" s="125"/>
      <c r="F405" s="109"/>
      <c r="G405" s="109">
        <f t="shared" ref="G405:K405" si="149">G404*G403</f>
        <v>182.77944534011922</v>
      </c>
      <c r="H405" s="109">
        <f t="shared" si="149"/>
        <v>199.50391561934219</v>
      </c>
      <c r="I405" s="109">
        <f t="shared" si="149"/>
        <v>216.7127011777653</v>
      </c>
      <c r="J405" s="109">
        <f t="shared" si="149"/>
        <v>234.26881144843264</v>
      </c>
      <c r="K405" s="109">
        <f t="shared" si="149"/>
        <v>253.24802020918017</v>
      </c>
    </row>
    <row r="406" spans="2:11" x14ac:dyDescent="0.3">
      <c r="B406" s="89"/>
      <c r="C406" s="89"/>
      <c r="D406" s="89"/>
      <c r="E406" s="125"/>
      <c r="F406" s="125"/>
      <c r="G406" s="126"/>
      <c r="H406" s="126"/>
      <c r="I406" s="126"/>
      <c r="J406" s="126"/>
      <c r="K406" s="126"/>
    </row>
    <row r="407" spans="2:11" x14ac:dyDescent="0.3">
      <c r="B407" s="92" t="s">
        <v>202</v>
      </c>
      <c r="C407" s="89"/>
      <c r="D407" s="89"/>
      <c r="E407" s="125"/>
      <c r="F407" s="125"/>
      <c r="G407" s="126"/>
      <c r="H407" s="126"/>
      <c r="I407" s="126"/>
      <c r="J407" s="126"/>
      <c r="K407" s="126"/>
    </row>
    <row r="408" spans="2:11" x14ac:dyDescent="0.3">
      <c r="B408" s="89"/>
      <c r="C408" s="89"/>
      <c r="D408" s="89"/>
      <c r="E408" s="125"/>
      <c r="F408" s="125"/>
      <c r="G408" s="126"/>
      <c r="H408" s="126"/>
      <c r="I408" s="126"/>
      <c r="J408" s="126"/>
      <c r="K408" s="126"/>
    </row>
    <row r="409" spans="2:11" x14ac:dyDescent="0.3">
      <c r="B409" s="89" t="s">
        <v>203</v>
      </c>
      <c r="C409" s="89"/>
      <c r="D409" s="89"/>
      <c r="E409" s="125"/>
      <c r="F409" s="93"/>
      <c r="G409" s="232">
        <f>MIN($G$399/Assumptions!$D25,($G$399-SUM($E$409:F409)))</f>
        <v>386.21589999999998</v>
      </c>
      <c r="H409" s="232">
        <f>MIN($G$399/Assumptions!$D25,($G$399-SUM($E$409:G409)))</f>
        <v>386.21589999999998</v>
      </c>
      <c r="I409" s="232">
        <f>MIN($G$399/Assumptions!$D25,($G$399-SUM($E$409:H409)))</f>
        <v>386.21589999999998</v>
      </c>
      <c r="J409" s="232">
        <f>MIN($G$399/Assumptions!$D25,($G$399-SUM($E$409:I409)))</f>
        <v>386.21589999999998</v>
      </c>
      <c r="K409" s="232">
        <f>MIN($G$399/Assumptions!$D25,($G$399-SUM($E$409:J409)))</f>
        <v>386.21589999999998</v>
      </c>
    </row>
    <row r="410" spans="2:11" x14ac:dyDescent="0.3">
      <c r="B410" s="89" t="s">
        <v>143</v>
      </c>
      <c r="C410" s="89"/>
      <c r="D410" s="89"/>
      <c r="E410" s="125"/>
      <c r="F410" s="125"/>
      <c r="G410" s="232">
        <f>MIN($G$405/Assumptions!$D25,($G$405-SUM(F$410:F410))) * 0.5</f>
        <v>9.1389722670059612</v>
      </c>
      <c r="H410" s="232">
        <f>MIN($G$405/Assumptions!$D25,($G$405-SUM(G$410:G410)))</f>
        <v>18.277944534011922</v>
      </c>
      <c r="I410" s="232">
        <f>MIN($G$405/Assumptions!$D25,($G$405-SUM(H$410:H410)))</f>
        <v>18.277944534011922</v>
      </c>
      <c r="J410" s="232">
        <f>MIN($G$405/Assumptions!$D25,($G$405-SUM(I$410:I410)))</f>
        <v>18.277944534011922</v>
      </c>
      <c r="K410" s="232">
        <f>MIN($G$405/Assumptions!$D25,($G$405-SUM(J$410:J410)))</f>
        <v>18.277944534011922</v>
      </c>
    </row>
    <row r="411" spans="2:11" x14ac:dyDescent="0.3">
      <c r="B411" s="89" t="s">
        <v>144</v>
      </c>
      <c r="C411" s="89"/>
      <c r="D411" s="89"/>
      <c r="E411" s="125"/>
      <c r="F411" s="125"/>
      <c r="G411" s="233"/>
      <c r="H411" s="232">
        <f>MIN($H$405/Assumptions!$D25,($H$405-SUM(G$411:G411))) * 0.5</f>
        <v>9.975195780967109</v>
      </c>
      <c r="I411" s="232">
        <f>MIN($H$405/Assumptions!$D25,($H$405-SUM(H$411:H411)))</f>
        <v>19.950391561934218</v>
      </c>
      <c r="J411" s="232">
        <f>MIN($H$405/Assumptions!$D25,($H$405-SUM(I$411:I411)))</f>
        <v>19.950391561934218</v>
      </c>
      <c r="K411" s="232">
        <f>MIN($H$405/Assumptions!$D25,($H$405-SUM(J$411:J411)))</f>
        <v>19.950391561934218</v>
      </c>
    </row>
    <row r="412" spans="2:11" x14ac:dyDescent="0.3">
      <c r="B412" s="89" t="s">
        <v>145</v>
      </c>
      <c r="C412" s="89"/>
      <c r="D412" s="89"/>
      <c r="E412" s="125"/>
      <c r="F412" s="125"/>
      <c r="G412" s="233"/>
      <c r="H412" s="233"/>
      <c r="I412" s="232">
        <f>MIN($I$405/Assumptions!$D25,($I$405-SUM(H$412:H412))) * 0.5</f>
        <v>10.835635058888265</v>
      </c>
      <c r="J412" s="232">
        <f>MIN($I$405/Assumptions!$D25,($I$405-SUM(I$412:I412)))</f>
        <v>21.67127011777653</v>
      </c>
      <c r="K412" s="232">
        <f>MIN($I$405/Assumptions!$D25,($I$405-SUM(J$412:J412)))</f>
        <v>21.67127011777653</v>
      </c>
    </row>
    <row r="413" spans="2:11" x14ac:dyDescent="0.3">
      <c r="B413" s="89" t="s">
        <v>146</v>
      </c>
      <c r="C413" s="89"/>
      <c r="D413" s="89"/>
      <c r="E413" s="125"/>
      <c r="F413" s="125"/>
      <c r="G413" s="233"/>
      <c r="H413" s="233"/>
      <c r="I413" s="233"/>
      <c r="J413" s="232">
        <f>MIN($J$405/Assumptions!$D25,($J$405-SUM(I$413:I413))) * 0.5</f>
        <v>11.713440572421632</v>
      </c>
      <c r="K413" s="232">
        <f>MIN($J$405/Assumptions!$D25,($J$405-SUM(J$413:J413)))</f>
        <v>23.426881144843264</v>
      </c>
    </row>
    <row r="414" spans="2:11" ht="15" thickBot="1" x14ac:dyDescent="0.35">
      <c r="B414" s="100" t="s">
        <v>147</v>
      </c>
      <c r="C414" s="100"/>
      <c r="D414" s="100"/>
      <c r="E414" s="127"/>
      <c r="F414" s="127"/>
      <c r="G414" s="263"/>
      <c r="H414" s="263"/>
      <c r="I414" s="263"/>
      <c r="J414" s="263"/>
      <c r="K414" s="264">
        <f>MIN($K$405/Assumptions!$D25,($K$405-SUM(J$414:J414))) * 0.5</f>
        <v>12.662401010459009</v>
      </c>
    </row>
    <row r="415" spans="2:11" x14ac:dyDescent="0.3">
      <c r="B415" s="92" t="s">
        <v>202</v>
      </c>
      <c r="C415" s="92"/>
      <c r="D415" s="92"/>
      <c r="E415" s="125"/>
      <c r="F415" s="125"/>
      <c r="G415" s="93">
        <f t="shared" ref="G415:J415" si="150">SUM(G409:G414)</f>
        <v>395.35487226700593</v>
      </c>
      <c r="H415" s="93">
        <f t="shared" si="150"/>
        <v>414.469040314979</v>
      </c>
      <c r="I415" s="93">
        <f t="shared" si="150"/>
        <v>435.27987115483438</v>
      </c>
      <c r="J415" s="93">
        <f t="shared" si="150"/>
        <v>457.82894678614429</v>
      </c>
      <c r="K415" s="93">
        <f>SUM(K409:K414)</f>
        <v>482.20478836902493</v>
      </c>
    </row>
    <row r="416" spans="2:11" x14ac:dyDescent="0.3">
      <c r="B416" s="89"/>
      <c r="C416" s="89"/>
      <c r="D416" s="89"/>
      <c r="E416" s="125"/>
      <c r="F416" s="125"/>
      <c r="G416" s="126"/>
      <c r="H416" s="126"/>
      <c r="I416" s="126"/>
      <c r="J416" s="126"/>
      <c r="K416" s="126"/>
    </row>
    <row r="417" spans="2:11" x14ac:dyDescent="0.3">
      <c r="B417" s="89"/>
      <c r="C417" s="89"/>
      <c r="D417" s="89"/>
      <c r="E417" s="125"/>
      <c r="F417" s="125"/>
      <c r="G417" s="126"/>
      <c r="H417" s="126"/>
      <c r="I417" s="126"/>
      <c r="J417" s="126"/>
      <c r="K417" s="126"/>
    </row>
    <row r="418" spans="2:11" x14ac:dyDescent="0.3">
      <c r="B418" s="94" t="s">
        <v>199</v>
      </c>
      <c r="C418" s="94"/>
      <c r="D418" s="94"/>
      <c r="E418" s="235"/>
      <c r="F418" s="235"/>
      <c r="G418" s="122">
        <f>F421</f>
        <v>3862.1589999999997</v>
      </c>
      <c r="H418" s="122">
        <f>G421</f>
        <v>3649.5835730731133</v>
      </c>
      <c r="I418" s="122">
        <f t="shared" ref="I418:K418" si="151">H421</f>
        <v>3434.6184483774764</v>
      </c>
      <c r="J418" s="122">
        <f t="shared" si="151"/>
        <v>3216.0512784004072</v>
      </c>
      <c r="K418" s="122">
        <f t="shared" si="151"/>
        <v>2992.4911430626958</v>
      </c>
    </row>
    <row r="419" spans="2:11" x14ac:dyDescent="0.3">
      <c r="B419" s="89" t="s">
        <v>200</v>
      </c>
      <c r="C419" s="89"/>
      <c r="D419" s="89"/>
      <c r="E419" s="125"/>
      <c r="F419" s="125"/>
      <c r="G419" s="93">
        <f>G405</f>
        <v>182.77944534011922</v>
      </c>
      <c r="H419" s="93">
        <f t="shared" ref="H419:K419" si="152">H405</f>
        <v>199.50391561934219</v>
      </c>
      <c r="I419" s="93">
        <f t="shared" si="152"/>
        <v>216.7127011777653</v>
      </c>
      <c r="J419" s="93">
        <f t="shared" si="152"/>
        <v>234.26881144843264</v>
      </c>
      <c r="K419" s="93">
        <f t="shared" si="152"/>
        <v>253.24802020918017</v>
      </c>
    </row>
    <row r="420" spans="2:11" x14ac:dyDescent="0.3">
      <c r="B420" s="89" t="s">
        <v>201</v>
      </c>
      <c r="C420" s="89"/>
      <c r="D420" s="89"/>
      <c r="E420" s="125"/>
      <c r="F420" s="125"/>
      <c r="G420" s="93">
        <f>-G415</f>
        <v>-395.35487226700593</v>
      </c>
      <c r="H420" s="93">
        <f t="shared" ref="H420:K420" si="153">-H415</f>
        <v>-414.469040314979</v>
      </c>
      <c r="I420" s="93">
        <f t="shared" si="153"/>
        <v>-435.27987115483438</v>
      </c>
      <c r="J420" s="93">
        <f t="shared" si="153"/>
        <v>-457.82894678614429</v>
      </c>
      <c r="K420" s="93">
        <f t="shared" si="153"/>
        <v>-482.20478836902493</v>
      </c>
    </row>
    <row r="421" spans="2:11" ht="15" thickBot="1" x14ac:dyDescent="0.35">
      <c r="B421" s="266" t="s">
        <v>213</v>
      </c>
      <c r="C421" s="266"/>
      <c r="D421" s="266"/>
      <c r="E421" s="267"/>
      <c r="F421" s="268">
        <f>F399</f>
        <v>3862.1589999999997</v>
      </c>
      <c r="G421" s="268">
        <f>SUM(G418:G420)</f>
        <v>3649.5835730731133</v>
      </c>
      <c r="H421" s="268">
        <f>SUM(H418:H420)</f>
        <v>3434.6184483774764</v>
      </c>
      <c r="I421" s="268">
        <f>SUM(I418:I420)</f>
        <v>3216.0512784004072</v>
      </c>
      <c r="J421" s="268">
        <f>SUM(J418:J420)</f>
        <v>2992.4911430626958</v>
      </c>
      <c r="K421" s="268">
        <f>SUM(K418:K420)</f>
        <v>2763.5343749028511</v>
      </c>
    </row>
    <row r="422" spans="2:11" x14ac:dyDescent="0.3">
      <c r="B422" s="92" t="s">
        <v>214</v>
      </c>
      <c r="C422" s="92"/>
      <c r="D422" s="92"/>
      <c r="E422" s="125"/>
      <c r="F422" s="99"/>
      <c r="G422" s="99">
        <f>G421+G398</f>
        <v>13740.583573073112</v>
      </c>
      <c r="H422" s="99">
        <f>H421+H398</f>
        <v>13525.618448377476</v>
      </c>
      <c r="I422" s="99">
        <f>I421+I398</f>
        <v>13307.051278400408</v>
      </c>
      <c r="J422" s="99">
        <f>J421+J398</f>
        <v>13083.491143062696</v>
      </c>
      <c r="K422" s="99">
        <f>K421+K398</f>
        <v>12854.534374902851</v>
      </c>
    </row>
    <row r="423" spans="2:11" x14ac:dyDescent="0.3">
      <c r="B423" s="64"/>
      <c r="C423" s="64"/>
      <c r="D423" s="64"/>
      <c r="E423" s="79"/>
      <c r="F423" s="79"/>
      <c r="G423" s="80"/>
      <c r="H423" s="80"/>
      <c r="I423" s="80"/>
      <c r="J423" s="80"/>
      <c r="K423" s="80"/>
    </row>
    <row r="424" spans="2:11" x14ac:dyDescent="0.3">
      <c r="B424" s="65"/>
      <c r="C424" s="65"/>
      <c r="D424" s="64"/>
      <c r="E424" s="64"/>
      <c r="F424" s="64"/>
      <c r="G424" s="84"/>
      <c r="H424" s="84"/>
      <c r="I424" s="84"/>
      <c r="J424" s="84"/>
      <c r="K424" s="84"/>
    </row>
    <row r="425" spans="2:11" ht="24.6" x14ac:dyDescent="0.4">
      <c r="B425" s="66" t="s">
        <v>339</v>
      </c>
      <c r="C425" s="68"/>
      <c r="D425" s="69"/>
      <c r="E425" s="69"/>
      <c r="F425" s="69"/>
      <c r="G425" s="69"/>
      <c r="H425" s="69"/>
      <c r="I425" s="69"/>
      <c r="J425" s="69"/>
      <c r="K425" s="69"/>
    </row>
    <row r="426" spans="2:11" ht="17.399999999999999" x14ac:dyDescent="0.3">
      <c r="B426" s="67" t="s">
        <v>349</v>
      </c>
      <c r="C426" s="69"/>
      <c r="D426" s="69"/>
      <c r="E426" s="69"/>
      <c r="F426" s="69"/>
      <c r="G426" s="69"/>
      <c r="H426" s="69"/>
      <c r="I426" s="69"/>
      <c r="J426" s="69"/>
      <c r="K426" s="69"/>
    </row>
    <row r="427" spans="2:11" x14ac:dyDescent="0.3">
      <c r="B427" s="61"/>
      <c r="C427" s="61"/>
      <c r="D427" s="61"/>
      <c r="E427" s="61"/>
      <c r="F427" s="61"/>
      <c r="G427" s="61"/>
      <c r="H427" s="61"/>
      <c r="I427" s="61"/>
      <c r="J427" s="63"/>
      <c r="K427" s="63"/>
    </row>
    <row r="428" spans="2:11" x14ac:dyDescent="0.3">
      <c r="B428" s="215" t="s">
        <v>340</v>
      </c>
      <c r="C428" s="61"/>
      <c r="D428" s="61"/>
      <c r="E428" s="61"/>
      <c r="F428" s="61"/>
      <c r="G428" s="61"/>
      <c r="H428" s="61"/>
      <c r="I428" s="61"/>
      <c r="J428" s="63"/>
      <c r="K428" s="63"/>
    </row>
    <row r="429" spans="2:11" x14ac:dyDescent="0.3">
      <c r="B429" s="63"/>
      <c r="C429" s="63"/>
      <c r="D429" s="63"/>
      <c r="E429" s="63"/>
      <c r="F429" s="63"/>
      <c r="G429" s="63"/>
      <c r="H429" s="63"/>
      <c r="I429" s="63"/>
      <c r="J429" s="63"/>
      <c r="K429" s="63"/>
    </row>
    <row r="430" spans="2:11" x14ac:dyDescent="0.3">
      <c r="B430" s="63"/>
      <c r="C430" s="63"/>
      <c r="D430" s="63"/>
      <c r="E430" s="70">
        <v>2024</v>
      </c>
      <c r="F430" s="70">
        <v>2025</v>
      </c>
      <c r="G430" s="71">
        <f>F430+1</f>
        <v>2026</v>
      </c>
      <c r="H430" s="71">
        <f t="shared" ref="H430:K430" si="154">G430+1</f>
        <v>2027</v>
      </c>
      <c r="I430" s="71">
        <f t="shared" si="154"/>
        <v>2028</v>
      </c>
      <c r="J430" s="71">
        <f t="shared" si="154"/>
        <v>2029</v>
      </c>
      <c r="K430" s="71">
        <f t="shared" si="154"/>
        <v>2030</v>
      </c>
    </row>
    <row r="431" spans="2:11" x14ac:dyDescent="0.3">
      <c r="B431" s="63"/>
      <c r="C431" s="63"/>
      <c r="D431" s="63"/>
      <c r="E431" s="213" t="s">
        <v>341</v>
      </c>
      <c r="F431" s="213"/>
      <c r="G431" s="214"/>
      <c r="H431" s="214"/>
      <c r="I431" s="214"/>
      <c r="J431" s="214"/>
      <c r="K431" s="214" t="s">
        <v>342</v>
      </c>
    </row>
    <row r="432" spans="2:11" x14ac:dyDescent="0.3">
      <c r="B432" s="63"/>
      <c r="C432" s="63"/>
      <c r="D432" s="63"/>
      <c r="E432" s="72"/>
      <c r="F432" s="72"/>
      <c r="G432" s="73"/>
      <c r="H432" s="73"/>
      <c r="I432" s="73"/>
      <c r="J432" s="73"/>
      <c r="K432" s="73"/>
    </row>
    <row r="433" spans="2:11" x14ac:dyDescent="0.3">
      <c r="B433" s="92" t="s">
        <v>155</v>
      </c>
      <c r="C433" s="92"/>
      <c r="D433" s="89"/>
      <c r="E433" s="89"/>
      <c r="F433" s="89"/>
      <c r="G433" s="91">
        <f>F436</f>
        <v>10731.018890756308</v>
      </c>
      <c r="H433" s="91">
        <f>G436</f>
        <v>10538.058229579838</v>
      </c>
      <c r="I433" s="91">
        <f t="shared" ref="I433:K433" si="155">H436</f>
        <v>10359.351191544543</v>
      </c>
      <c r="J433" s="91">
        <f t="shared" si="155"/>
        <v>10195.148899840484</v>
      </c>
      <c r="K433" s="91">
        <f t="shared" si="155"/>
        <v>10051.318688346068</v>
      </c>
    </row>
    <row r="434" spans="2:11" x14ac:dyDescent="0.3">
      <c r="B434" s="124" t="s">
        <v>159</v>
      </c>
      <c r="C434" s="113"/>
      <c r="D434" s="124"/>
      <c r="E434" s="254"/>
      <c r="F434" s="254"/>
      <c r="G434" s="255">
        <f>G254*Assumptions!$D$28</f>
        <v>182.625</v>
      </c>
      <c r="H434" s="255">
        <f>H254*Assumptions!$D$28</f>
        <v>190.125</v>
      </c>
      <c r="I434" s="255">
        <f>I254*Assumptions!$D$28</f>
        <v>198.375</v>
      </c>
      <c r="J434" s="255">
        <f>J254*Assumptions!$D$28</f>
        <v>213</v>
      </c>
      <c r="K434" s="255">
        <f>K254*Assumptions!$D$28</f>
        <v>239.625</v>
      </c>
    </row>
    <row r="435" spans="2:11" ht="15" thickBot="1" x14ac:dyDescent="0.35">
      <c r="B435" s="100" t="s">
        <v>157</v>
      </c>
      <c r="C435" s="110"/>
      <c r="D435" s="100"/>
      <c r="E435" s="272"/>
      <c r="F435" s="272"/>
      <c r="G435" s="264">
        <f>-G433*Assumptions!$D$29</f>
        <v>-375.58566117647081</v>
      </c>
      <c r="H435" s="264">
        <f>-H433*Assumptions!$D$29</f>
        <v>-368.83203803529437</v>
      </c>
      <c r="I435" s="264">
        <f>-I433*Assumptions!$D$29</f>
        <v>-362.57729170405906</v>
      </c>
      <c r="J435" s="264">
        <f>-J433*Assumptions!$D$29</f>
        <v>-356.83021149441697</v>
      </c>
      <c r="K435" s="264">
        <f>-K433*Assumptions!$D$29</f>
        <v>-351.79615409211237</v>
      </c>
    </row>
    <row r="436" spans="2:11" x14ac:dyDescent="0.3">
      <c r="B436" s="92" t="s">
        <v>158</v>
      </c>
      <c r="C436" s="92"/>
      <c r="D436" s="89"/>
      <c r="E436" s="89"/>
      <c r="F436" s="91">
        <f>(F85+F93)/1000</f>
        <v>10731.018890756308</v>
      </c>
      <c r="G436" s="91">
        <f>SUM(G433:G435)</f>
        <v>10538.058229579838</v>
      </c>
      <c r="H436" s="91">
        <f>SUM(H433:H435)</f>
        <v>10359.351191544543</v>
      </c>
      <c r="I436" s="91">
        <f>SUM(I433:I435)</f>
        <v>10195.148899840484</v>
      </c>
      <c r="J436" s="91">
        <f>SUM(J433:J435)</f>
        <v>10051.318688346068</v>
      </c>
      <c r="K436" s="91">
        <f>SUM(K433:K435)</f>
        <v>9939.1475342539561</v>
      </c>
    </row>
    <row r="437" spans="2:11" x14ac:dyDescent="0.3">
      <c r="B437" s="92"/>
      <c r="C437" s="92"/>
      <c r="D437" s="89"/>
      <c r="E437" s="89"/>
      <c r="F437" s="89"/>
      <c r="G437" s="205"/>
      <c r="H437" s="205"/>
      <c r="I437" s="205"/>
      <c r="J437" s="205"/>
      <c r="K437" s="205"/>
    </row>
    <row r="438" spans="2:11" x14ac:dyDescent="0.3">
      <c r="B438" s="256" t="s">
        <v>210</v>
      </c>
      <c r="C438" s="113"/>
      <c r="D438" s="124"/>
      <c r="E438" s="124"/>
      <c r="F438" s="257">
        <f>(F93/1000)/F436</f>
        <v>0.32964965943133839</v>
      </c>
      <c r="G438" s="205"/>
      <c r="H438" s="205"/>
      <c r="I438" s="205"/>
      <c r="J438" s="205"/>
      <c r="K438" s="205"/>
    </row>
    <row r="439" spans="2:11" x14ac:dyDescent="0.3">
      <c r="B439" s="258" t="s">
        <v>209</v>
      </c>
      <c r="C439" s="95"/>
      <c r="D439" s="94"/>
      <c r="E439" s="94"/>
      <c r="F439" s="259">
        <f>1-F438</f>
        <v>0.67035034056866161</v>
      </c>
      <c r="G439" s="205"/>
      <c r="H439" s="205"/>
      <c r="I439" s="205"/>
      <c r="J439" s="205"/>
      <c r="K439" s="205"/>
    </row>
    <row r="440" spans="2:11" ht="15" thickBot="1" x14ac:dyDescent="0.35">
      <c r="B440" s="110"/>
      <c r="C440" s="110"/>
      <c r="D440" s="100"/>
      <c r="E440" s="100"/>
      <c r="F440" s="261"/>
      <c r="G440" s="262"/>
      <c r="H440" s="262"/>
      <c r="I440" s="262"/>
      <c r="J440" s="262"/>
      <c r="K440" s="262"/>
    </row>
    <row r="441" spans="2:11" x14ac:dyDescent="0.3">
      <c r="B441" s="92" t="s">
        <v>207</v>
      </c>
      <c r="C441" s="92"/>
      <c r="D441" s="89"/>
      <c r="E441" s="89"/>
      <c r="F441" s="260"/>
      <c r="G441" s="91">
        <f>$F$438*G436</f>
        <v>3473.8673064486061</v>
      </c>
      <c r="H441" s="91">
        <f t="shared" ref="H441:K441" si="156">$F$438*H436</f>
        <v>3414.9565922222882</v>
      </c>
      <c r="I441" s="91">
        <f t="shared" si="156"/>
        <v>3360.8273626841997</v>
      </c>
      <c r="J441" s="91">
        <f t="shared" si="156"/>
        <v>3313.4137824491281</v>
      </c>
      <c r="K441" s="91">
        <f t="shared" si="156"/>
        <v>3276.4365997046434</v>
      </c>
    </row>
    <row r="442" spans="2:11" x14ac:dyDescent="0.3">
      <c r="B442" s="92" t="s">
        <v>208</v>
      </c>
      <c r="C442" s="92"/>
      <c r="D442" s="89"/>
      <c r="E442" s="89"/>
      <c r="F442" s="260"/>
      <c r="G442" s="91">
        <f>G436-G441</f>
        <v>7064.1909231312311</v>
      </c>
      <c r="H442" s="91">
        <f t="shared" ref="H442:K442" si="157">H436-H441</f>
        <v>6944.3945993222551</v>
      </c>
      <c r="I442" s="91">
        <f t="shared" si="157"/>
        <v>6834.3215371562837</v>
      </c>
      <c r="J442" s="91">
        <f t="shared" si="157"/>
        <v>6737.9049058969395</v>
      </c>
      <c r="K442" s="91">
        <f t="shared" si="157"/>
        <v>6662.7109345493127</v>
      </c>
    </row>
    <row r="443" spans="2:11" x14ac:dyDescent="0.3">
      <c r="B443" s="65"/>
      <c r="C443" s="65"/>
      <c r="D443" s="64"/>
      <c r="E443" s="64"/>
      <c r="F443" s="85"/>
      <c r="G443" s="74"/>
      <c r="H443" s="74"/>
      <c r="I443" s="74"/>
      <c r="J443" s="74"/>
      <c r="K443" s="74"/>
    </row>
    <row r="444" spans="2:11" x14ac:dyDescent="0.3">
      <c r="B444" s="65"/>
      <c r="C444" s="65"/>
      <c r="D444" s="64"/>
      <c r="E444" s="64"/>
      <c r="F444" s="64"/>
      <c r="G444" s="84"/>
      <c r="H444" s="84"/>
      <c r="I444" s="84"/>
      <c r="J444" s="84"/>
      <c r="K444" s="84"/>
    </row>
    <row r="445" spans="2:11" ht="24.6" x14ac:dyDescent="0.4">
      <c r="B445" s="66" t="s">
        <v>339</v>
      </c>
      <c r="C445" s="68"/>
      <c r="D445" s="69"/>
      <c r="E445" s="69"/>
      <c r="F445" s="69"/>
      <c r="G445" s="69"/>
      <c r="H445" s="69"/>
      <c r="I445" s="69"/>
      <c r="J445" s="69"/>
      <c r="K445" s="69"/>
    </row>
    <row r="446" spans="2:11" ht="17.399999999999999" x14ac:dyDescent="0.3">
      <c r="B446" s="67" t="s">
        <v>160</v>
      </c>
      <c r="C446" s="69"/>
      <c r="D446" s="69"/>
      <c r="E446" s="69"/>
      <c r="F446" s="69"/>
      <c r="G446" s="69"/>
      <c r="H446" s="69"/>
      <c r="I446" s="69"/>
      <c r="J446" s="69"/>
      <c r="K446" s="69"/>
    </row>
    <row r="447" spans="2:11" x14ac:dyDescent="0.3">
      <c r="B447" s="61"/>
      <c r="C447" s="61"/>
      <c r="D447" s="61"/>
      <c r="E447" s="61"/>
      <c r="F447" s="61"/>
      <c r="G447" s="61"/>
      <c r="H447" s="61"/>
      <c r="I447" s="61"/>
      <c r="J447" s="63"/>
      <c r="K447" s="63"/>
    </row>
    <row r="448" spans="2:11" x14ac:dyDescent="0.3">
      <c r="B448" s="215" t="s">
        <v>340</v>
      </c>
      <c r="C448" s="61"/>
      <c r="D448" s="61"/>
      <c r="E448" s="61"/>
      <c r="F448" s="61"/>
      <c r="G448" s="61"/>
      <c r="H448" s="61"/>
      <c r="I448" s="61"/>
      <c r="J448" s="63"/>
      <c r="K448" s="63"/>
    </row>
    <row r="449" spans="2:11" x14ac:dyDescent="0.3">
      <c r="B449" s="63"/>
      <c r="C449" s="63"/>
      <c r="D449" s="63"/>
      <c r="E449" s="63"/>
      <c r="F449" s="63"/>
      <c r="G449" s="63"/>
      <c r="H449" s="63"/>
      <c r="I449" s="63"/>
      <c r="J449" s="63"/>
      <c r="K449" s="63"/>
    </row>
    <row r="450" spans="2:11" x14ac:dyDescent="0.3">
      <c r="B450" s="63"/>
      <c r="C450" s="63"/>
      <c r="D450" s="63"/>
      <c r="E450" s="70">
        <v>2024</v>
      </c>
      <c r="F450" s="70">
        <v>2025</v>
      </c>
      <c r="G450" s="71">
        <f>F450+1</f>
        <v>2026</v>
      </c>
      <c r="H450" s="71">
        <f t="shared" ref="H450:K450" si="158">G450+1</f>
        <v>2027</v>
      </c>
      <c r="I450" s="71">
        <f t="shared" si="158"/>
        <v>2028</v>
      </c>
      <c r="J450" s="71">
        <f t="shared" si="158"/>
        <v>2029</v>
      </c>
      <c r="K450" s="71">
        <f t="shared" si="158"/>
        <v>2030</v>
      </c>
    </row>
    <row r="451" spans="2:11" x14ac:dyDescent="0.3">
      <c r="B451" s="63"/>
      <c r="C451" s="63"/>
      <c r="D451" s="63"/>
      <c r="E451" s="213" t="s">
        <v>341</v>
      </c>
      <c r="F451" s="213"/>
      <c r="G451" s="214"/>
      <c r="H451" s="214"/>
      <c r="I451" s="214"/>
      <c r="J451" s="214"/>
      <c r="K451" s="214" t="s">
        <v>342</v>
      </c>
    </row>
    <row r="452" spans="2:11" x14ac:dyDescent="0.3">
      <c r="B452" s="92" t="s">
        <v>161</v>
      </c>
      <c r="C452" s="92"/>
      <c r="D452" s="89"/>
      <c r="E452" s="89"/>
      <c r="F452" s="89"/>
      <c r="G452" s="205"/>
      <c r="H452" s="205"/>
      <c r="I452" s="205"/>
      <c r="J452" s="205"/>
      <c r="K452" s="205"/>
    </row>
    <row r="453" spans="2:11" x14ac:dyDescent="0.3">
      <c r="B453" s="92"/>
      <c r="C453" s="92"/>
      <c r="D453" s="89"/>
      <c r="E453" s="89"/>
      <c r="F453" s="89"/>
      <c r="G453" s="205"/>
      <c r="H453" s="205"/>
      <c r="I453" s="205"/>
      <c r="J453" s="205"/>
      <c r="K453" s="205"/>
    </row>
    <row r="454" spans="2:11" x14ac:dyDescent="0.3">
      <c r="B454" s="89" t="s">
        <v>26</v>
      </c>
      <c r="C454" s="89" t="s">
        <v>66</v>
      </c>
      <c r="D454" s="89"/>
      <c r="E454" s="89"/>
      <c r="F454" s="91">
        <f>F10</f>
        <v>22221</v>
      </c>
      <c r="G454" s="91">
        <f>G10</f>
        <v>24370.592712015896</v>
      </c>
      <c r="H454" s="91">
        <f>H10</f>
        <v>26600.522082578962</v>
      </c>
      <c r="I454" s="91">
        <f>I10</f>
        <v>28895.026823702039</v>
      </c>
      <c r="J454" s="91">
        <f>J10</f>
        <v>31235.841526457687</v>
      </c>
      <c r="K454" s="91">
        <f>K10</f>
        <v>33766.402694557357</v>
      </c>
    </row>
    <row r="455" spans="2:11" x14ac:dyDescent="0.3">
      <c r="B455" s="89" t="s">
        <v>331</v>
      </c>
      <c r="C455" s="89" t="s">
        <v>66</v>
      </c>
      <c r="D455" s="89"/>
      <c r="E455" s="89"/>
      <c r="F455" s="91">
        <f>-SUM(F12:F15)</f>
        <v>15385</v>
      </c>
      <c r="G455" s="91">
        <f>-SUM(G12:G15)</f>
        <v>19032.863277473643</v>
      </c>
      <c r="H455" s="91">
        <f>-SUM(H12:H15)</f>
        <v>20516.895810455153</v>
      </c>
      <c r="I455" s="91">
        <f>-SUM(I12:I15)</f>
        <v>19444.999297382335</v>
      </c>
      <c r="J455" s="91">
        <f>-SUM(J12:J15)</f>
        <v>20660.768179699357</v>
      </c>
      <c r="K455" s="91">
        <f>-SUM(K12:K15)</f>
        <v>23485.773057324739</v>
      </c>
    </row>
    <row r="456" spans="2:11" x14ac:dyDescent="0.3">
      <c r="B456" s="89"/>
      <c r="C456" s="89"/>
      <c r="D456" s="89"/>
      <c r="E456" s="89"/>
      <c r="F456" s="89"/>
      <c r="G456" s="89"/>
      <c r="H456" s="89"/>
      <c r="I456" s="89"/>
      <c r="J456" s="89"/>
      <c r="K456" s="89"/>
    </row>
    <row r="457" spans="2:11" x14ac:dyDescent="0.3">
      <c r="B457" s="92" t="s">
        <v>162</v>
      </c>
      <c r="C457" s="89"/>
      <c r="D457" s="89"/>
      <c r="E457" s="89"/>
      <c r="F457" s="89"/>
      <c r="G457" s="121"/>
      <c r="H457" s="121"/>
      <c r="I457" s="121"/>
      <c r="J457" s="121"/>
      <c r="K457" s="121"/>
    </row>
    <row r="458" spans="2:11" x14ac:dyDescent="0.3">
      <c r="B458" s="92"/>
      <c r="C458" s="89"/>
      <c r="D458" s="89"/>
      <c r="E458" s="89"/>
      <c r="F458" s="89"/>
      <c r="G458" s="121"/>
      <c r="H458" s="121"/>
      <c r="I458" s="121"/>
      <c r="J458" s="121"/>
      <c r="K458" s="121"/>
    </row>
    <row r="459" spans="2:11" x14ac:dyDescent="0.3">
      <c r="B459" s="89" t="s">
        <v>163</v>
      </c>
      <c r="C459" s="89" t="s">
        <v>164</v>
      </c>
      <c r="D459" s="89"/>
      <c r="E459" s="89"/>
      <c r="F459" s="226">
        <f>(F460/F454)*Assumptions!D10</f>
        <v>24.451730278988872</v>
      </c>
      <c r="G459" s="212">
        <f>F459</f>
        <v>24.451730278988872</v>
      </c>
      <c r="H459" s="212">
        <f t="shared" ref="H459:K459" si="159">G459</f>
        <v>24.451730278988872</v>
      </c>
      <c r="I459" s="212">
        <f t="shared" si="159"/>
        <v>24.451730278988872</v>
      </c>
      <c r="J459" s="212">
        <f t="shared" si="159"/>
        <v>24.451730278988872</v>
      </c>
      <c r="K459" s="212">
        <f t="shared" si="159"/>
        <v>24.451730278988872</v>
      </c>
    </row>
    <row r="460" spans="2:11" x14ac:dyDescent="0.3">
      <c r="B460" s="89" t="s">
        <v>106</v>
      </c>
      <c r="C460" s="89" t="s">
        <v>66</v>
      </c>
      <c r="D460" s="89"/>
      <c r="E460" s="89"/>
      <c r="F460" s="91">
        <f>F72/1000</f>
        <v>1488.6079411764706</v>
      </c>
      <c r="G460" s="91">
        <f>(G459/Assumptions!D10)*Model!G454</f>
        <v>1632.6113965296017</v>
      </c>
      <c r="H460" s="91">
        <f>(H459/Assumptions!D10)*Model!H454</f>
        <v>1781.9966883383786</v>
      </c>
      <c r="I460" s="91">
        <f>(I459/Assumptions!D10)*Model!I454</f>
        <v>1935.7079514994819</v>
      </c>
      <c r="J460" s="91">
        <f>(J459/Assumptions!D10)*Model!J454</f>
        <v>2092.521567238859</v>
      </c>
      <c r="K460" s="91">
        <f>(K459/Assumptions!D10)*Model!K454</f>
        <v>2262.0464963809304</v>
      </c>
    </row>
    <row r="461" spans="2:11" x14ac:dyDescent="0.3">
      <c r="B461" s="89"/>
      <c r="C461" s="89"/>
      <c r="D461" s="89"/>
      <c r="E461" s="89"/>
      <c r="F461" s="89"/>
      <c r="G461" s="89"/>
      <c r="H461" s="89"/>
      <c r="I461" s="89"/>
      <c r="J461" s="89"/>
      <c r="K461" s="89"/>
    </row>
    <row r="462" spans="2:11" x14ac:dyDescent="0.3">
      <c r="B462" s="92" t="s">
        <v>166</v>
      </c>
      <c r="C462" s="89"/>
      <c r="D462" s="89"/>
      <c r="E462" s="89"/>
      <c r="F462" s="89"/>
      <c r="G462" s="121"/>
      <c r="H462" s="121"/>
      <c r="I462" s="121"/>
      <c r="J462" s="121"/>
      <c r="K462" s="121"/>
    </row>
    <row r="463" spans="2:11" x14ac:dyDescent="0.3">
      <c r="B463" s="89"/>
      <c r="C463" s="89"/>
      <c r="D463" s="89"/>
      <c r="E463" s="89"/>
      <c r="F463" s="89"/>
      <c r="G463" s="146"/>
      <c r="H463" s="146"/>
      <c r="I463" s="146"/>
      <c r="J463" s="146"/>
      <c r="K463" s="146"/>
    </row>
    <row r="464" spans="2:11" x14ac:dyDescent="0.3">
      <c r="B464" s="89" t="s">
        <v>167</v>
      </c>
      <c r="C464" s="89" t="s">
        <v>164</v>
      </c>
      <c r="D464" s="89"/>
      <c r="E464" s="89"/>
      <c r="F464" s="226">
        <f>(F465/F455)*Assumptions!D10</f>
        <v>4.2516059022894179</v>
      </c>
      <c r="G464" s="211">
        <f>F464</f>
        <v>4.2516059022894179</v>
      </c>
      <c r="H464" s="211">
        <f t="shared" ref="H464:K464" si="160">G464</f>
        <v>4.2516059022894179</v>
      </c>
      <c r="I464" s="211">
        <f t="shared" si="160"/>
        <v>4.2516059022894179</v>
      </c>
      <c r="J464" s="211">
        <f t="shared" si="160"/>
        <v>4.2516059022894179</v>
      </c>
      <c r="K464" s="211">
        <f t="shared" si="160"/>
        <v>4.2516059022894179</v>
      </c>
    </row>
    <row r="465" spans="2:11" x14ac:dyDescent="0.3">
      <c r="B465" s="89" t="s">
        <v>166</v>
      </c>
      <c r="C465" s="89" t="s">
        <v>66</v>
      </c>
      <c r="D465" s="89"/>
      <c r="E465" s="89"/>
      <c r="F465" s="143">
        <f>F71/1000</f>
        <v>179.20810084033616</v>
      </c>
      <c r="G465" s="143">
        <f>(G464/Assumptions!D10)*G455</f>
        <v>221.6992708163684</v>
      </c>
      <c r="H465" s="143">
        <f>(H464/Assumptions!D10)*H455</f>
        <v>238.98563102572101</v>
      </c>
      <c r="I465" s="143">
        <f>(I464/Assumptions!D10)*I455</f>
        <v>226.49992817195707</v>
      </c>
      <c r="J465" s="143">
        <f>(J464/Assumptions!D10)*J455</f>
        <v>240.66149024285804</v>
      </c>
      <c r="K465" s="143">
        <f>(K464/Assumptions!D10)*K455</f>
        <v>273.56781191877167</v>
      </c>
    </row>
    <row r="466" spans="2:11" x14ac:dyDescent="0.3">
      <c r="B466" s="89"/>
      <c r="C466" s="89"/>
      <c r="D466" s="89"/>
      <c r="E466" s="89"/>
      <c r="F466" s="89"/>
      <c r="G466" s="121"/>
      <c r="H466" s="121"/>
      <c r="I466" s="121"/>
      <c r="J466" s="121"/>
      <c r="K466" s="121"/>
    </row>
    <row r="467" spans="2:11" x14ac:dyDescent="0.3">
      <c r="B467" s="92" t="s">
        <v>168</v>
      </c>
      <c r="C467" s="89"/>
      <c r="D467" s="89"/>
      <c r="E467" s="89"/>
      <c r="F467" s="89"/>
      <c r="G467" s="146"/>
      <c r="H467" s="146"/>
      <c r="I467" s="146"/>
      <c r="J467" s="146"/>
      <c r="K467" s="146"/>
    </row>
    <row r="468" spans="2:11" x14ac:dyDescent="0.3">
      <c r="B468" s="92"/>
      <c r="C468" s="92"/>
      <c r="D468" s="89"/>
      <c r="E468" s="89"/>
      <c r="F468" s="89"/>
      <c r="G468" s="205"/>
      <c r="H468" s="205"/>
      <c r="I468" s="205"/>
      <c r="J468" s="205"/>
      <c r="K468" s="205"/>
    </row>
    <row r="469" spans="2:11" x14ac:dyDescent="0.3">
      <c r="B469" s="89" t="s">
        <v>169</v>
      </c>
      <c r="C469" s="89" t="s">
        <v>164</v>
      </c>
      <c r="D469" s="89"/>
      <c r="E469" s="89"/>
      <c r="F469" s="226">
        <f>(F470/F455)*Assumptions!D10</f>
        <v>179.67354613382565</v>
      </c>
      <c r="G469" s="211">
        <f>F469</f>
        <v>179.67354613382565</v>
      </c>
      <c r="H469" s="211">
        <f t="shared" ref="H469:K469" si="161">G469</f>
        <v>179.67354613382565</v>
      </c>
      <c r="I469" s="211">
        <f t="shared" si="161"/>
        <v>179.67354613382565</v>
      </c>
      <c r="J469" s="211">
        <f t="shared" si="161"/>
        <v>179.67354613382565</v>
      </c>
      <c r="K469" s="211">
        <f t="shared" si="161"/>
        <v>179.67354613382565</v>
      </c>
    </row>
    <row r="470" spans="2:11" x14ac:dyDescent="0.3">
      <c r="B470" s="89" t="s">
        <v>47</v>
      </c>
      <c r="C470" s="89" t="s">
        <v>66</v>
      </c>
      <c r="D470" s="89"/>
      <c r="E470" s="89"/>
      <c r="F470" s="91">
        <f>F92/1000</f>
        <v>7573.3630336134456</v>
      </c>
      <c r="G470" s="91">
        <f>(G469/Assumptions!D10)*G455</f>
        <v>9369.0466798464568</v>
      </c>
      <c r="H470" s="91">
        <f>(H469/Assumptions!D10)*H455</f>
        <v>10099.571029925228</v>
      </c>
      <c r="I470" s="91">
        <f>(I469/Assumptions!D10)*I455</f>
        <v>9571.923228302554</v>
      </c>
      <c r="J470" s="91">
        <f>(J469/Assumptions!D10)*J455</f>
        <v>10170.393108754766</v>
      </c>
      <c r="K470" s="91">
        <f>(K469/Assumptions!D10)*K455</f>
        <v>11561.019531243277</v>
      </c>
    </row>
    <row r="471" spans="2:11" x14ac:dyDescent="0.3">
      <c r="B471" s="89"/>
      <c r="C471" s="89"/>
      <c r="D471" s="89"/>
      <c r="E471" s="89"/>
      <c r="F471" s="89"/>
      <c r="G471" s="146"/>
      <c r="H471" s="146"/>
      <c r="I471" s="146"/>
      <c r="J471" s="146"/>
      <c r="K471" s="146"/>
    </row>
    <row r="472" spans="2:11" x14ac:dyDescent="0.3">
      <c r="B472" s="92" t="s">
        <v>46</v>
      </c>
      <c r="C472" s="92"/>
      <c r="D472" s="89"/>
      <c r="E472" s="89"/>
      <c r="F472" s="89"/>
      <c r="G472" s="205"/>
      <c r="H472" s="205"/>
      <c r="I472" s="205"/>
      <c r="J472" s="205"/>
      <c r="K472" s="205"/>
    </row>
    <row r="473" spans="2:11" x14ac:dyDescent="0.3">
      <c r="B473" s="92"/>
      <c r="C473" s="92"/>
      <c r="D473" s="89"/>
      <c r="E473" s="89"/>
      <c r="F473" s="89"/>
      <c r="G473" s="205"/>
      <c r="H473" s="205"/>
      <c r="I473" s="205"/>
      <c r="J473" s="205"/>
      <c r="K473" s="205"/>
    </row>
    <row r="474" spans="2:11" x14ac:dyDescent="0.3">
      <c r="B474" s="89" t="s">
        <v>170</v>
      </c>
      <c r="C474" s="89" t="s">
        <v>164</v>
      </c>
      <c r="D474" s="89"/>
      <c r="E474" s="89"/>
      <c r="F474" s="226">
        <f>(F475/F454)*Assumptions!D10</f>
        <v>39.862126380186204</v>
      </c>
      <c r="G474" s="211">
        <f>F474</f>
        <v>39.862126380186204</v>
      </c>
      <c r="H474" s="211">
        <f t="shared" ref="H474:K474" si="162">G474</f>
        <v>39.862126380186204</v>
      </c>
      <c r="I474" s="211">
        <f t="shared" si="162"/>
        <v>39.862126380186204</v>
      </c>
      <c r="J474" s="211">
        <f t="shared" si="162"/>
        <v>39.862126380186204</v>
      </c>
      <c r="K474" s="211">
        <f t="shared" si="162"/>
        <v>39.862126380186204</v>
      </c>
    </row>
    <row r="475" spans="2:11" x14ac:dyDescent="0.3">
      <c r="B475" s="89" t="s">
        <v>46</v>
      </c>
      <c r="C475" s="89" t="s">
        <v>66</v>
      </c>
      <c r="D475" s="89"/>
      <c r="E475" s="89"/>
      <c r="F475" s="91">
        <f>F94/1000</f>
        <v>2426.784411764706</v>
      </c>
      <c r="G475" s="91">
        <f>(G474/Assumptions!D10)*Model!G454</f>
        <v>2661.5442373874589</v>
      </c>
      <c r="H475" s="91">
        <f>(H474/Assumptions!D10)*Model!H454</f>
        <v>2905.0777343416344</v>
      </c>
      <c r="I475" s="91">
        <f>(I474/Assumptions!D10)*Model!I454</f>
        <v>3155.6635917952904</v>
      </c>
      <c r="J475" s="91">
        <f>(J474/Assumptions!D10)*Model!J454</f>
        <v>3411.3070206003417</v>
      </c>
      <c r="K475" s="91">
        <f>(K474/Assumptions!D10)*Model!K454</f>
        <v>3687.6729085334391</v>
      </c>
    </row>
    <row r="476" spans="2:11" x14ac:dyDescent="0.3">
      <c r="B476" s="92"/>
      <c r="C476" s="92"/>
      <c r="D476" s="89"/>
      <c r="E476" s="89"/>
      <c r="F476" s="89"/>
      <c r="G476" s="205"/>
      <c r="H476" s="205"/>
      <c r="I476" s="205"/>
      <c r="J476" s="205"/>
      <c r="K476" s="205"/>
    </row>
    <row r="477" spans="2:11" x14ac:dyDescent="0.3">
      <c r="B477" s="92" t="s">
        <v>171</v>
      </c>
      <c r="C477" s="92"/>
      <c r="D477" s="89"/>
      <c r="E477" s="89"/>
      <c r="F477" s="89"/>
      <c r="G477" s="205"/>
      <c r="H477" s="205"/>
      <c r="I477" s="205"/>
      <c r="J477" s="205"/>
      <c r="K477" s="205"/>
    </row>
    <row r="478" spans="2:11" x14ac:dyDescent="0.3">
      <c r="B478" s="92"/>
      <c r="C478" s="92"/>
      <c r="D478" s="89"/>
      <c r="E478" s="89"/>
      <c r="F478" s="89"/>
      <c r="G478" s="205"/>
      <c r="H478" s="205"/>
      <c r="I478" s="205"/>
      <c r="J478" s="205"/>
      <c r="K478" s="205"/>
    </row>
    <row r="479" spans="2:11" x14ac:dyDescent="0.3">
      <c r="B479" s="89" t="s">
        <v>171</v>
      </c>
      <c r="C479" s="89" t="s">
        <v>66</v>
      </c>
      <c r="D479" s="89"/>
      <c r="E479" s="89"/>
      <c r="F479" s="91">
        <f>-(F470-F460-F465+F475)</f>
        <v>-8332.3314033613442</v>
      </c>
      <c r="G479" s="91">
        <f>-(G470-G460-G465+G475)</f>
        <v>-10176.280249887946</v>
      </c>
      <c r="H479" s="91">
        <f t="shared" ref="H479:K479" si="163">-(H470-H460-H465+H475)</f>
        <v>-10983.666444902763</v>
      </c>
      <c r="I479" s="91">
        <f t="shared" si="163"/>
        <v>-10565.378940426404</v>
      </c>
      <c r="J479" s="91">
        <f t="shared" si="163"/>
        <v>-11248.517071873392</v>
      </c>
      <c r="K479" s="91">
        <f t="shared" si="163"/>
        <v>-12713.078131477014</v>
      </c>
    </row>
    <row r="480" spans="2:11" x14ac:dyDescent="0.3">
      <c r="B480" s="89" t="s">
        <v>172</v>
      </c>
      <c r="C480" s="89" t="s">
        <v>66</v>
      </c>
      <c r="D480" s="89"/>
      <c r="E480" s="89"/>
      <c r="F480" s="89"/>
      <c r="G480" s="91">
        <f>G479-F479</f>
        <v>-1843.9488465266022</v>
      </c>
      <c r="H480" s="91">
        <f t="shared" ref="H480:K480" si="164">H479-G479</f>
        <v>-807.38619501481662</v>
      </c>
      <c r="I480" s="91">
        <f t="shared" si="164"/>
        <v>418.28750447635866</v>
      </c>
      <c r="J480" s="91">
        <f t="shared" si="164"/>
        <v>-683.13813144698724</v>
      </c>
      <c r="K480" s="91">
        <f t="shared" si="164"/>
        <v>-1464.5610596036222</v>
      </c>
    </row>
    <row r="481" spans="2:11" x14ac:dyDescent="0.3">
      <c r="B481" s="64"/>
      <c r="C481" s="64"/>
      <c r="D481" s="64"/>
      <c r="E481" s="64"/>
      <c r="F481" s="64"/>
      <c r="G481" s="77"/>
      <c r="H481" s="77"/>
      <c r="I481" s="77"/>
      <c r="J481" s="77"/>
      <c r="K481" s="77"/>
    </row>
    <row r="482" spans="2:11" x14ac:dyDescent="0.3">
      <c r="B482" s="64"/>
      <c r="C482" s="64"/>
      <c r="D482" s="64"/>
      <c r="E482" s="64"/>
      <c r="F482" s="64"/>
      <c r="G482" s="82"/>
      <c r="H482" s="82"/>
      <c r="I482" s="82"/>
      <c r="J482" s="82"/>
      <c r="K482" s="82"/>
    </row>
    <row r="483" spans="2:11" ht="24.6" x14ac:dyDescent="0.4">
      <c r="B483" s="66" t="s">
        <v>339</v>
      </c>
      <c r="C483" s="68"/>
      <c r="D483" s="69"/>
      <c r="E483" s="69"/>
      <c r="F483" s="69"/>
      <c r="G483" s="69"/>
      <c r="H483" s="69"/>
      <c r="I483" s="69"/>
      <c r="J483" s="69"/>
      <c r="K483" s="69"/>
    </row>
    <row r="484" spans="2:11" ht="17.399999999999999" x14ac:dyDescent="0.3">
      <c r="B484" s="67" t="s">
        <v>173</v>
      </c>
      <c r="C484" s="69"/>
      <c r="D484" s="69"/>
      <c r="E484" s="69"/>
      <c r="F484" s="69"/>
      <c r="G484" s="69"/>
      <c r="H484" s="69"/>
      <c r="I484" s="69"/>
      <c r="J484" s="69"/>
      <c r="K484" s="69"/>
    </row>
    <row r="485" spans="2:11" x14ac:dyDescent="0.3">
      <c r="B485" s="61"/>
      <c r="C485" s="61"/>
      <c r="D485" s="61"/>
      <c r="E485" s="61"/>
      <c r="F485" s="61"/>
      <c r="G485" s="61"/>
      <c r="H485" s="61"/>
      <c r="I485" s="61"/>
      <c r="J485" s="63"/>
      <c r="K485" s="63"/>
    </row>
    <row r="486" spans="2:11" x14ac:dyDescent="0.3">
      <c r="B486" s="215" t="s">
        <v>340</v>
      </c>
      <c r="C486" s="61"/>
      <c r="D486" s="61"/>
      <c r="E486" s="61"/>
      <c r="F486" s="61"/>
      <c r="G486" s="61"/>
      <c r="H486" s="61"/>
      <c r="I486" s="61"/>
      <c r="J486" s="63"/>
      <c r="K486" s="63"/>
    </row>
    <row r="487" spans="2:11" x14ac:dyDescent="0.3">
      <c r="B487" s="63"/>
      <c r="C487" s="63"/>
      <c r="D487" s="63"/>
      <c r="E487" s="63"/>
      <c r="F487" s="63"/>
      <c r="G487" s="63"/>
      <c r="H487" s="63"/>
      <c r="I487" s="63"/>
      <c r="J487" s="63"/>
      <c r="K487" s="63"/>
    </row>
    <row r="488" spans="2:11" x14ac:dyDescent="0.3">
      <c r="B488" s="63"/>
      <c r="C488" s="63"/>
      <c r="D488" s="63"/>
      <c r="E488" s="70">
        <v>2024</v>
      </c>
      <c r="F488" s="70">
        <v>2025</v>
      </c>
      <c r="G488" s="71">
        <f>F488+1</f>
        <v>2026</v>
      </c>
      <c r="H488" s="71">
        <f t="shared" ref="H488:K488" si="165">G488+1</f>
        <v>2027</v>
      </c>
      <c r="I488" s="71">
        <f t="shared" si="165"/>
        <v>2028</v>
      </c>
      <c r="J488" s="71">
        <f t="shared" si="165"/>
        <v>2029</v>
      </c>
      <c r="K488" s="71">
        <f t="shared" si="165"/>
        <v>2030</v>
      </c>
    </row>
    <row r="489" spans="2:11" x14ac:dyDescent="0.3">
      <c r="B489" s="63"/>
      <c r="C489" s="63"/>
      <c r="D489" s="63"/>
      <c r="E489" s="213" t="s">
        <v>341</v>
      </c>
      <c r="F489" s="213"/>
      <c r="G489" s="214"/>
      <c r="H489" s="214"/>
      <c r="I489" s="214"/>
      <c r="J489" s="214"/>
      <c r="K489" s="214" t="s">
        <v>342</v>
      </c>
    </row>
    <row r="490" spans="2:11" x14ac:dyDescent="0.3">
      <c r="B490" s="92" t="s">
        <v>113</v>
      </c>
      <c r="C490" s="92"/>
      <c r="D490" s="89"/>
      <c r="E490" s="89"/>
      <c r="F490" s="89"/>
      <c r="G490" s="205"/>
      <c r="H490" s="205"/>
      <c r="I490" s="205"/>
      <c r="J490" s="205"/>
      <c r="K490" s="205"/>
    </row>
    <row r="491" spans="2:11" x14ac:dyDescent="0.3">
      <c r="B491" s="89"/>
      <c r="C491" s="89"/>
      <c r="D491" s="89"/>
      <c r="E491" s="89"/>
      <c r="F491" s="89"/>
      <c r="G491" s="216"/>
      <c r="H491" s="216"/>
      <c r="I491" s="216"/>
      <c r="J491" s="216"/>
      <c r="K491" s="216"/>
    </row>
    <row r="492" spans="2:11" x14ac:dyDescent="0.3">
      <c r="B492" s="92" t="s">
        <v>174</v>
      </c>
      <c r="C492" s="89"/>
      <c r="D492" s="89"/>
      <c r="E492" s="89"/>
      <c r="F492" s="89"/>
      <c r="G492" s="91">
        <f>F495</f>
        <v>3228.819</v>
      </c>
      <c r="H492" s="91">
        <f t="shared" ref="H492:K492" si="166">G495</f>
        <v>3228.819</v>
      </c>
      <c r="I492" s="91">
        <f t="shared" si="166"/>
        <v>3228.819</v>
      </c>
      <c r="J492" s="91">
        <f t="shared" si="166"/>
        <v>3228.819</v>
      </c>
      <c r="K492" s="91">
        <f t="shared" si="166"/>
        <v>3228.819</v>
      </c>
    </row>
    <row r="493" spans="2:11" x14ac:dyDescent="0.3">
      <c r="B493" s="202" t="s">
        <v>175</v>
      </c>
      <c r="C493" s="202"/>
      <c r="D493" s="202"/>
      <c r="E493" s="202"/>
      <c r="F493" s="202"/>
      <c r="G493" s="227">
        <f>Assumptions!F70</f>
        <v>0</v>
      </c>
      <c r="H493" s="227">
        <f>Assumptions!G70</f>
        <v>0</v>
      </c>
      <c r="I493" s="227">
        <f>Assumptions!H70</f>
        <v>0</v>
      </c>
      <c r="J493" s="227">
        <f>Assumptions!I70</f>
        <v>0</v>
      </c>
      <c r="K493" s="227">
        <f>Assumptions!J70</f>
        <v>0</v>
      </c>
    </row>
    <row r="494" spans="2:11" x14ac:dyDescent="0.3">
      <c r="B494" s="89" t="s">
        <v>176</v>
      </c>
      <c r="C494" s="89"/>
      <c r="D494" s="89"/>
      <c r="E494" s="89"/>
      <c r="F494" s="89"/>
      <c r="G494" s="228">
        <f>Assumptions!F72</f>
        <v>0</v>
      </c>
      <c r="H494" s="228">
        <f>Assumptions!G72</f>
        <v>0</v>
      </c>
      <c r="I494" s="228">
        <f>Assumptions!H72</f>
        <v>0</v>
      </c>
      <c r="J494" s="228">
        <f>Assumptions!I72</f>
        <v>0</v>
      </c>
      <c r="K494" s="228">
        <f>Assumptions!J72</f>
        <v>0</v>
      </c>
    </row>
    <row r="495" spans="2:11" x14ac:dyDescent="0.3">
      <c r="B495" s="188" t="s">
        <v>177</v>
      </c>
      <c r="C495" s="202"/>
      <c r="D495" s="202"/>
      <c r="E495" s="202"/>
      <c r="F495" s="203">
        <f>(F86+F97)/1000</f>
        <v>3228.819</v>
      </c>
      <c r="G495" s="91">
        <f>SUM(G492:G494)</f>
        <v>3228.819</v>
      </c>
      <c r="H495" s="91">
        <f>SUM(H492:H494)</f>
        <v>3228.819</v>
      </c>
      <c r="I495" s="91">
        <f>SUM(I492:I494)</f>
        <v>3228.819</v>
      </c>
      <c r="J495" s="91">
        <f>SUM(J492:J494)</f>
        <v>3228.819</v>
      </c>
      <c r="K495" s="91">
        <f>SUM(K492:K494)</f>
        <v>3228.819</v>
      </c>
    </row>
    <row r="496" spans="2:11" x14ac:dyDescent="0.3">
      <c r="B496" s="92"/>
      <c r="C496" s="89"/>
      <c r="D496" s="89"/>
      <c r="E496" s="89"/>
      <c r="F496" s="89"/>
      <c r="G496" s="205"/>
      <c r="H496" s="205"/>
      <c r="I496" s="205"/>
      <c r="J496" s="205"/>
      <c r="K496" s="205"/>
    </row>
    <row r="497" spans="2:11" x14ac:dyDescent="0.3">
      <c r="B497" s="92" t="s">
        <v>178</v>
      </c>
      <c r="C497" s="89"/>
      <c r="D497" s="89"/>
      <c r="E497" s="89"/>
      <c r="F497" s="89"/>
      <c r="G497" s="89"/>
      <c r="H497" s="89"/>
      <c r="I497" s="89"/>
      <c r="J497" s="89"/>
      <c r="K497" s="89"/>
    </row>
    <row r="498" spans="2:11" x14ac:dyDescent="0.3">
      <c r="B498" s="89"/>
      <c r="C498" s="89"/>
      <c r="D498" s="89"/>
      <c r="E498" s="133"/>
      <c r="F498" s="133"/>
      <c r="G498" s="126"/>
      <c r="H498" s="126"/>
      <c r="I498" s="126"/>
      <c r="J498" s="126"/>
      <c r="K498" s="126"/>
    </row>
    <row r="499" spans="2:11" x14ac:dyDescent="0.3">
      <c r="B499" s="92" t="s">
        <v>179</v>
      </c>
      <c r="C499" s="89"/>
      <c r="D499" s="89"/>
      <c r="E499" s="89"/>
      <c r="F499" s="89"/>
      <c r="G499" s="91">
        <f>F502</f>
        <v>1226.2529999999999</v>
      </c>
      <c r="H499" s="91">
        <f t="shared" ref="H499:K499" si="167">G502</f>
        <v>1226.2529999999999</v>
      </c>
      <c r="I499" s="91">
        <f t="shared" si="167"/>
        <v>1226.2529999999999</v>
      </c>
      <c r="J499" s="91">
        <f t="shared" si="167"/>
        <v>1226.2529999999999</v>
      </c>
      <c r="K499" s="91">
        <f t="shared" si="167"/>
        <v>1226.2529999999999</v>
      </c>
    </row>
    <row r="500" spans="2:11" x14ac:dyDescent="0.3">
      <c r="B500" s="202" t="s">
        <v>181</v>
      </c>
      <c r="C500" s="202"/>
      <c r="D500" s="202"/>
      <c r="E500" s="202"/>
      <c r="F500" s="202"/>
      <c r="G500" s="227">
        <f>Assumptions!F71</f>
        <v>0</v>
      </c>
      <c r="H500" s="227">
        <f>Assumptions!G71</f>
        <v>0</v>
      </c>
      <c r="I500" s="227">
        <f>Assumptions!H71</f>
        <v>0</v>
      </c>
      <c r="J500" s="227">
        <f>Assumptions!I71</f>
        <v>0</v>
      </c>
      <c r="K500" s="227">
        <f>Assumptions!J71</f>
        <v>0</v>
      </c>
    </row>
    <row r="501" spans="2:11" x14ac:dyDescent="0.3">
      <c r="B501" s="89" t="s">
        <v>176</v>
      </c>
      <c r="C501" s="89"/>
      <c r="D501" s="89"/>
      <c r="E501" s="89"/>
      <c r="F501" s="89"/>
      <c r="G501" s="229">
        <f>Assumptions!F73</f>
        <v>0</v>
      </c>
      <c r="H501" s="229">
        <f>Assumptions!G73</f>
        <v>0</v>
      </c>
      <c r="I501" s="229">
        <f>Assumptions!H73</f>
        <v>0</v>
      </c>
      <c r="J501" s="229">
        <f>Assumptions!I73</f>
        <v>0</v>
      </c>
      <c r="K501" s="229">
        <f>Assumptions!J73</f>
        <v>0</v>
      </c>
    </row>
    <row r="502" spans="2:11" x14ac:dyDescent="0.3">
      <c r="B502" s="188" t="s">
        <v>180</v>
      </c>
      <c r="C502" s="188"/>
      <c r="D502" s="188"/>
      <c r="E502" s="188"/>
      <c r="F502" s="204">
        <f>(F98+F87)/1000</f>
        <v>1226.2529999999999</v>
      </c>
      <c r="G502" s="204">
        <f>SUM(G499:G501)</f>
        <v>1226.2529999999999</v>
      </c>
      <c r="H502" s="204">
        <f>SUM(H499:H501)</f>
        <v>1226.2529999999999</v>
      </c>
      <c r="I502" s="204">
        <f>SUM(I499:I501)</f>
        <v>1226.2529999999999</v>
      </c>
      <c r="J502" s="204">
        <f>SUM(J499:J501)</f>
        <v>1226.2529999999999</v>
      </c>
      <c r="K502" s="204">
        <f>SUM(K499:K501)</f>
        <v>1226.2529999999999</v>
      </c>
    </row>
    <row r="503" spans="2:11" x14ac:dyDescent="0.3">
      <c r="B503" s="89"/>
      <c r="C503" s="89"/>
      <c r="D503" s="89"/>
      <c r="E503" s="89"/>
      <c r="F503" s="89"/>
      <c r="G503" s="89"/>
      <c r="H503" s="89"/>
      <c r="I503" s="89"/>
      <c r="J503" s="89"/>
      <c r="K503" s="89"/>
    </row>
    <row r="504" spans="2:11" x14ac:dyDescent="0.3">
      <c r="B504" s="92" t="s">
        <v>182</v>
      </c>
      <c r="C504" s="89"/>
      <c r="D504" s="89"/>
      <c r="E504" s="89"/>
      <c r="F504" s="89"/>
      <c r="G504" s="121"/>
      <c r="H504" s="121"/>
      <c r="I504" s="121"/>
      <c r="J504" s="121"/>
      <c r="K504" s="121"/>
    </row>
    <row r="505" spans="2:11" x14ac:dyDescent="0.3">
      <c r="B505" s="92"/>
      <c r="C505" s="89"/>
      <c r="D505" s="89"/>
      <c r="E505" s="89"/>
      <c r="F505" s="89"/>
      <c r="G505" s="217"/>
      <c r="H505" s="217"/>
      <c r="I505" s="217"/>
      <c r="J505" s="89"/>
      <c r="K505" s="89"/>
    </row>
    <row r="506" spans="2:11" x14ac:dyDescent="0.3">
      <c r="B506" s="89" t="s">
        <v>183</v>
      </c>
      <c r="C506" s="89"/>
      <c r="D506" s="89"/>
      <c r="E506" s="89"/>
      <c r="F506" s="89"/>
      <c r="G506" s="91">
        <f>AVERAGE(G492,G495)</f>
        <v>3228.819</v>
      </c>
      <c r="H506" s="91">
        <f>AVERAGE(H492,H495)</f>
        <v>3228.819</v>
      </c>
      <c r="I506" s="91">
        <f>AVERAGE(I492,I495)</f>
        <v>3228.819</v>
      </c>
      <c r="J506" s="91">
        <f>AVERAGE(J492,J495)</f>
        <v>3228.819</v>
      </c>
      <c r="K506" s="91">
        <f>AVERAGE(K492,K495)</f>
        <v>3228.819</v>
      </c>
    </row>
    <row r="507" spans="2:11" x14ac:dyDescent="0.3">
      <c r="B507" s="89" t="s">
        <v>184</v>
      </c>
      <c r="C507" s="89"/>
      <c r="D507" s="89"/>
      <c r="E507" s="89"/>
      <c r="F507" s="89"/>
      <c r="G507" s="230">
        <f>Assumptions!F67</f>
        <v>0.05</v>
      </c>
      <c r="H507" s="230">
        <f>Assumptions!G67</f>
        <v>0.05</v>
      </c>
      <c r="I507" s="230">
        <f>Assumptions!H67</f>
        <v>0.05</v>
      </c>
      <c r="J507" s="230">
        <f>Assumptions!I67</f>
        <v>0.05</v>
      </c>
      <c r="K507" s="230">
        <f>Assumptions!J67</f>
        <v>0.05</v>
      </c>
    </row>
    <row r="508" spans="2:11" x14ac:dyDescent="0.3">
      <c r="B508" s="188" t="s">
        <v>185</v>
      </c>
      <c r="C508" s="202"/>
      <c r="D508" s="202"/>
      <c r="E508" s="202"/>
      <c r="F508" s="202"/>
      <c r="G508" s="204">
        <f>G507*G506</f>
        <v>161.44095000000002</v>
      </c>
      <c r="H508" s="204">
        <f t="shared" ref="H508:K508" si="168">H507*H506</f>
        <v>161.44095000000002</v>
      </c>
      <c r="I508" s="204">
        <f t="shared" si="168"/>
        <v>161.44095000000002</v>
      </c>
      <c r="J508" s="204">
        <f t="shared" si="168"/>
        <v>161.44095000000002</v>
      </c>
      <c r="K508" s="204">
        <f t="shared" si="168"/>
        <v>161.44095000000002</v>
      </c>
    </row>
    <row r="509" spans="2:11" x14ac:dyDescent="0.3">
      <c r="B509" s="92"/>
      <c r="C509" s="92"/>
      <c r="D509" s="89"/>
      <c r="E509" s="89"/>
      <c r="F509" s="89"/>
      <c r="G509" s="205"/>
      <c r="H509" s="205"/>
      <c r="I509" s="205"/>
      <c r="J509" s="205"/>
      <c r="K509" s="205"/>
    </row>
    <row r="510" spans="2:11" x14ac:dyDescent="0.3">
      <c r="B510" s="89" t="s">
        <v>188</v>
      </c>
      <c r="C510" s="89"/>
      <c r="D510" s="89"/>
      <c r="E510" s="89"/>
      <c r="F510" s="89"/>
      <c r="G510" s="91">
        <f>AVERAGE(G499,G502)</f>
        <v>1226.2529999999999</v>
      </c>
      <c r="H510" s="91">
        <f>AVERAGE(H499,H502)</f>
        <v>1226.2529999999999</v>
      </c>
      <c r="I510" s="91">
        <f>AVERAGE(I499,I502)</f>
        <v>1226.2529999999999</v>
      </c>
      <c r="J510" s="91">
        <f>AVERAGE(J499,J502)</f>
        <v>1226.2529999999999</v>
      </c>
      <c r="K510" s="91">
        <f>AVERAGE(K499,K502)</f>
        <v>1226.2529999999999</v>
      </c>
    </row>
    <row r="511" spans="2:11" x14ac:dyDescent="0.3">
      <c r="B511" s="89" t="s">
        <v>189</v>
      </c>
      <c r="C511" s="92"/>
      <c r="D511" s="89"/>
      <c r="E511" s="89"/>
      <c r="F511" s="89"/>
      <c r="G511" s="230">
        <f>Assumptions!F68</f>
        <v>0.05</v>
      </c>
      <c r="H511" s="230">
        <f>Assumptions!G68</f>
        <v>0.05</v>
      </c>
      <c r="I511" s="230">
        <f>Assumptions!H68</f>
        <v>0.05</v>
      </c>
      <c r="J511" s="230">
        <f>Assumptions!I68</f>
        <v>0.05</v>
      </c>
      <c r="K511" s="230">
        <f>Assumptions!J68</f>
        <v>0.05</v>
      </c>
    </row>
    <row r="512" spans="2:11" x14ac:dyDescent="0.3">
      <c r="B512" s="188" t="s">
        <v>190</v>
      </c>
      <c r="C512" s="202"/>
      <c r="D512" s="202"/>
      <c r="E512" s="202"/>
      <c r="F512" s="202"/>
      <c r="G512" s="204">
        <f>G511*G510</f>
        <v>61.312649999999998</v>
      </c>
      <c r="H512" s="204">
        <f t="shared" ref="H512:K512" si="169">H511*H510</f>
        <v>61.312649999999998</v>
      </c>
      <c r="I512" s="204">
        <f t="shared" si="169"/>
        <v>61.312649999999998</v>
      </c>
      <c r="J512" s="204">
        <f t="shared" si="169"/>
        <v>61.312649999999998</v>
      </c>
      <c r="K512" s="204">
        <f t="shared" si="169"/>
        <v>61.312649999999998</v>
      </c>
    </row>
    <row r="513" spans="2:11" x14ac:dyDescent="0.3">
      <c r="B513" s="92"/>
      <c r="C513" s="92"/>
      <c r="D513" s="89"/>
      <c r="E513" s="89"/>
      <c r="F513" s="89"/>
      <c r="G513" s="205"/>
      <c r="H513" s="205"/>
      <c r="I513" s="205"/>
      <c r="J513" s="205"/>
      <c r="K513" s="205"/>
    </row>
    <row r="514" spans="2:11" x14ac:dyDescent="0.3">
      <c r="B514" s="92" t="s">
        <v>191</v>
      </c>
      <c r="C514" s="92"/>
      <c r="D514" s="89"/>
      <c r="E514" s="89"/>
      <c r="F514" s="89"/>
      <c r="G514" s="99">
        <f>G512+G508</f>
        <v>222.75360000000001</v>
      </c>
      <c r="H514" s="99">
        <f t="shared" ref="H514:K514" si="170">H512+H508</f>
        <v>222.75360000000001</v>
      </c>
      <c r="I514" s="99">
        <f t="shared" si="170"/>
        <v>222.75360000000001</v>
      </c>
      <c r="J514" s="99">
        <f t="shared" si="170"/>
        <v>222.75360000000001</v>
      </c>
      <c r="K514" s="99">
        <f t="shared" si="170"/>
        <v>222.75360000000001</v>
      </c>
    </row>
    <row r="515" spans="2:11" x14ac:dyDescent="0.3">
      <c r="B515" s="92"/>
      <c r="C515" s="92"/>
      <c r="D515" s="89"/>
      <c r="E515" s="89"/>
      <c r="F515" s="89"/>
      <c r="G515" s="99"/>
      <c r="H515" s="99"/>
      <c r="I515" s="99"/>
      <c r="J515" s="99"/>
      <c r="K515" s="99"/>
    </row>
    <row r="516" spans="2:11" x14ac:dyDescent="0.3">
      <c r="B516" s="92" t="s">
        <v>337</v>
      </c>
      <c r="C516" s="92"/>
      <c r="D516" s="89"/>
      <c r="E516" s="89"/>
      <c r="F516" s="89"/>
      <c r="G516" s="99"/>
      <c r="H516" s="99"/>
      <c r="I516" s="99"/>
      <c r="J516" s="99"/>
      <c r="K516" s="99"/>
    </row>
    <row r="517" spans="2:11" x14ac:dyDescent="0.3">
      <c r="B517" s="92"/>
      <c r="C517" s="92"/>
      <c r="D517" s="89"/>
      <c r="E517" s="89"/>
      <c r="F517" s="89"/>
      <c r="G517" s="99"/>
      <c r="H517" s="99"/>
      <c r="I517" s="99"/>
      <c r="J517" s="99"/>
      <c r="K517" s="99"/>
    </row>
    <row r="518" spans="2:11" x14ac:dyDescent="0.3">
      <c r="B518" s="89" t="s">
        <v>110</v>
      </c>
      <c r="C518" s="89"/>
      <c r="D518" s="89"/>
      <c r="E518" s="89"/>
      <c r="F518" s="89"/>
      <c r="G518" s="91">
        <f>F78/1000</f>
        <v>2247.8859579831928</v>
      </c>
      <c r="H518" s="91">
        <f>G78/1000</f>
        <v>2858.4272690431749</v>
      </c>
      <c r="I518" s="91">
        <f>H78/1000</f>
        <v>2761.7221989091872</v>
      </c>
      <c r="J518" s="91">
        <f>I78/1000</f>
        <v>3002.9725400287257</v>
      </c>
      <c r="K518" s="91">
        <f>J78/1000</f>
        <v>4077.9406513657782</v>
      </c>
    </row>
    <row r="519" spans="2:11" x14ac:dyDescent="0.3">
      <c r="B519" s="190" t="s">
        <v>338</v>
      </c>
      <c r="C519" s="190"/>
      <c r="D519" s="190"/>
      <c r="E519" s="190"/>
      <c r="F519" s="190"/>
      <c r="G519" s="231">
        <f>Assumptions!F69</f>
        <v>0.03</v>
      </c>
      <c r="H519" s="231">
        <f>Assumptions!G69</f>
        <v>0.03</v>
      </c>
      <c r="I519" s="231">
        <f>Assumptions!H69</f>
        <v>0.03</v>
      </c>
      <c r="J519" s="231">
        <f>Assumptions!I69</f>
        <v>0.03</v>
      </c>
      <c r="K519" s="231">
        <f>Assumptions!J69</f>
        <v>0.03</v>
      </c>
    </row>
    <row r="520" spans="2:11" x14ac:dyDescent="0.3">
      <c r="B520" s="92" t="s">
        <v>32</v>
      </c>
      <c r="C520" s="92"/>
      <c r="D520" s="89"/>
      <c r="E520" s="89"/>
      <c r="F520" s="89"/>
      <c r="G520" s="99">
        <f>G519*G518</f>
        <v>67.436578739495786</v>
      </c>
      <c r="H520" s="99">
        <f t="shared" ref="H520:K520" si="171">H519*H518</f>
        <v>85.752818071295238</v>
      </c>
      <c r="I520" s="99">
        <f t="shared" si="171"/>
        <v>82.851665967275608</v>
      </c>
      <c r="J520" s="99">
        <f t="shared" si="171"/>
        <v>90.089176200861772</v>
      </c>
      <c r="K520" s="99">
        <f t="shared" si="171"/>
        <v>122.33821954097334</v>
      </c>
    </row>
    <row r="521" spans="2:11" x14ac:dyDescent="0.3">
      <c r="B521" s="92"/>
      <c r="C521" s="92"/>
      <c r="D521" s="89"/>
      <c r="E521" s="89"/>
      <c r="F521" s="89"/>
      <c r="G521" s="99"/>
      <c r="H521" s="99"/>
      <c r="I521" s="99"/>
      <c r="J521" s="99"/>
      <c r="K521" s="99"/>
    </row>
    <row r="522" spans="2:11" x14ac:dyDescent="0.3">
      <c r="B522" s="92" t="s">
        <v>232</v>
      </c>
      <c r="C522" s="92"/>
      <c r="D522" s="89"/>
      <c r="E522" s="89"/>
      <c r="F522" s="89"/>
      <c r="G522" s="99"/>
      <c r="H522" s="99"/>
      <c r="I522" s="99"/>
      <c r="J522" s="99"/>
      <c r="K522" s="99"/>
    </row>
    <row r="523" spans="2:11" x14ac:dyDescent="0.3">
      <c r="B523" s="92"/>
      <c r="C523" s="92"/>
      <c r="D523" s="89"/>
      <c r="E523" s="89"/>
      <c r="F523" s="89"/>
      <c r="G523" s="99"/>
      <c r="H523" s="99"/>
      <c r="I523" s="99"/>
      <c r="J523" s="99"/>
      <c r="K523" s="99"/>
    </row>
    <row r="524" spans="2:11" x14ac:dyDescent="0.3">
      <c r="B524" s="92" t="s">
        <v>230</v>
      </c>
      <c r="C524" s="92"/>
      <c r="D524" s="89"/>
      <c r="E524" s="89"/>
      <c r="F524" s="146">
        <f>F97/(F495 * 1000)</f>
        <v>0.2142445891206661</v>
      </c>
      <c r="G524" s="146">
        <f>F524</f>
        <v>0.2142445891206661</v>
      </c>
      <c r="H524" s="146">
        <f t="shared" ref="H524:K524" si="172">G524</f>
        <v>0.2142445891206661</v>
      </c>
      <c r="I524" s="146">
        <f t="shared" si="172"/>
        <v>0.2142445891206661</v>
      </c>
      <c r="J524" s="146">
        <f t="shared" si="172"/>
        <v>0.2142445891206661</v>
      </c>
      <c r="K524" s="146">
        <f t="shared" si="172"/>
        <v>0.2142445891206661</v>
      </c>
    </row>
    <row r="525" spans="2:11" x14ac:dyDescent="0.3">
      <c r="B525" s="92" t="s">
        <v>231</v>
      </c>
      <c r="C525" s="92"/>
      <c r="D525" s="89"/>
      <c r="E525" s="89"/>
      <c r="F525" s="218">
        <f>1-F524</f>
        <v>0.78575541087933387</v>
      </c>
      <c r="G525" s="146">
        <f t="shared" ref="G525:K525" si="173">1-G524</f>
        <v>0.78575541087933387</v>
      </c>
      <c r="H525" s="146">
        <f t="shared" si="173"/>
        <v>0.78575541087933387</v>
      </c>
      <c r="I525" s="146">
        <f t="shared" si="173"/>
        <v>0.78575541087933387</v>
      </c>
      <c r="J525" s="146">
        <f t="shared" si="173"/>
        <v>0.78575541087933387</v>
      </c>
      <c r="K525" s="146">
        <f t="shared" si="173"/>
        <v>0.78575541087933387</v>
      </c>
    </row>
    <row r="526" spans="2:11" x14ac:dyDescent="0.3">
      <c r="B526" s="92"/>
      <c r="C526" s="92"/>
      <c r="D526" s="89"/>
      <c r="E526" s="89"/>
      <c r="F526" s="89"/>
      <c r="G526" s="219"/>
      <c r="H526" s="219"/>
      <c r="I526" s="219"/>
      <c r="J526" s="219"/>
      <c r="K526" s="219"/>
    </row>
    <row r="527" spans="2:11" x14ac:dyDescent="0.3">
      <c r="B527" s="92" t="s">
        <v>233</v>
      </c>
      <c r="C527" s="92"/>
      <c r="D527" s="89"/>
      <c r="E527" s="89"/>
      <c r="F527" s="89"/>
      <c r="G527" s="91">
        <f>G524*G495</f>
        <v>691.75699999999995</v>
      </c>
      <c r="H527" s="91">
        <f>H524*H495</f>
        <v>691.75699999999995</v>
      </c>
      <c r="I527" s="91">
        <f>I524*I495</f>
        <v>691.75699999999995</v>
      </c>
      <c r="J527" s="91">
        <f>J524*J495</f>
        <v>691.75699999999995</v>
      </c>
      <c r="K527" s="91">
        <f>K524*K495</f>
        <v>691.75699999999995</v>
      </c>
    </row>
    <row r="528" spans="2:11" x14ac:dyDescent="0.3">
      <c r="B528" s="92" t="s">
        <v>234</v>
      </c>
      <c r="C528" s="92"/>
      <c r="D528" s="89"/>
      <c r="E528" s="89"/>
      <c r="F528" s="89"/>
      <c r="G528" s="91">
        <f>G495*G525</f>
        <v>2537.0619999999999</v>
      </c>
      <c r="H528" s="91">
        <f>H495*H525</f>
        <v>2537.0619999999999</v>
      </c>
      <c r="I528" s="91">
        <f>I495*I525</f>
        <v>2537.0619999999999</v>
      </c>
      <c r="J528" s="91">
        <f>J495*J525</f>
        <v>2537.0619999999999</v>
      </c>
      <c r="K528" s="91">
        <f>K495*K525</f>
        <v>2537.0619999999999</v>
      </c>
    </row>
    <row r="529" spans="2:11" x14ac:dyDescent="0.3">
      <c r="B529" s="92"/>
      <c r="C529" s="92"/>
      <c r="D529" s="89"/>
      <c r="E529" s="89"/>
      <c r="F529" s="89"/>
      <c r="G529" s="219"/>
      <c r="H529" s="219"/>
      <c r="I529" s="219"/>
      <c r="J529" s="219"/>
      <c r="K529" s="219"/>
    </row>
    <row r="530" spans="2:11" x14ac:dyDescent="0.3">
      <c r="B530" s="92" t="s">
        <v>235</v>
      </c>
      <c r="C530" s="92"/>
      <c r="D530" s="89"/>
      <c r="E530" s="89"/>
      <c r="F530" s="89"/>
      <c r="G530" s="219"/>
      <c r="H530" s="219"/>
      <c r="I530" s="219"/>
      <c r="J530" s="219"/>
      <c r="K530" s="219"/>
    </row>
    <row r="531" spans="2:11" x14ac:dyDescent="0.3">
      <c r="B531" s="92"/>
      <c r="C531" s="92"/>
      <c r="D531" s="89"/>
      <c r="E531" s="89"/>
      <c r="F531" s="89"/>
      <c r="G531" s="219"/>
      <c r="H531" s="219"/>
      <c r="I531" s="219"/>
      <c r="J531" s="219"/>
      <c r="K531" s="219"/>
    </row>
    <row r="532" spans="2:11" x14ac:dyDescent="0.3">
      <c r="B532" s="92" t="s">
        <v>230</v>
      </c>
      <c r="C532" s="92"/>
      <c r="D532" s="89"/>
      <c r="E532" s="89"/>
      <c r="F532" s="159">
        <f>(F98/1000)/F502</f>
        <v>0.24124874719980299</v>
      </c>
      <c r="G532" s="159">
        <f>F532</f>
        <v>0.24124874719980299</v>
      </c>
      <c r="H532" s="159">
        <f t="shared" ref="H532:K532" si="174">G532</f>
        <v>0.24124874719980299</v>
      </c>
      <c r="I532" s="159">
        <f t="shared" si="174"/>
        <v>0.24124874719980299</v>
      </c>
      <c r="J532" s="159">
        <f t="shared" si="174"/>
        <v>0.24124874719980299</v>
      </c>
      <c r="K532" s="159">
        <f t="shared" si="174"/>
        <v>0.24124874719980299</v>
      </c>
    </row>
    <row r="533" spans="2:11" x14ac:dyDescent="0.3">
      <c r="B533" s="92" t="s">
        <v>231</v>
      </c>
      <c r="C533" s="92"/>
      <c r="D533" s="89"/>
      <c r="E533" s="89"/>
      <c r="F533" s="159">
        <f>1-F532</f>
        <v>0.75875125280019695</v>
      </c>
      <c r="G533" s="159">
        <f t="shared" ref="G533:K533" si="175">F533</f>
        <v>0.75875125280019695</v>
      </c>
      <c r="H533" s="159">
        <f t="shared" si="175"/>
        <v>0.75875125280019695</v>
      </c>
      <c r="I533" s="159">
        <f t="shared" si="175"/>
        <v>0.75875125280019695</v>
      </c>
      <c r="J533" s="159">
        <f t="shared" si="175"/>
        <v>0.75875125280019695</v>
      </c>
      <c r="K533" s="159">
        <f t="shared" si="175"/>
        <v>0.75875125280019695</v>
      </c>
    </row>
    <row r="534" spans="2:11" x14ac:dyDescent="0.3">
      <c r="B534" s="92"/>
      <c r="C534" s="92"/>
      <c r="D534" s="89"/>
      <c r="E534" s="89"/>
      <c r="F534" s="89"/>
      <c r="G534" s="219"/>
      <c r="H534" s="219"/>
      <c r="I534" s="219"/>
      <c r="J534" s="219"/>
      <c r="K534" s="219"/>
    </row>
    <row r="535" spans="2:11" x14ac:dyDescent="0.3">
      <c r="B535" s="92" t="s">
        <v>233</v>
      </c>
      <c r="C535" s="92"/>
      <c r="D535" s="89"/>
      <c r="E535" s="89"/>
      <c r="F535" s="89"/>
      <c r="G535" s="91">
        <f>G532*G502</f>
        <v>295.83199999999999</v>
      </c>
      <c r="H535" s="91">
        <f t="shared" ref="H535:K535" si="176">H532*H502</f>
        <v>295.83199999999999</v>
      </c>
      <c r="I535" s="91">
        <f t="shared" si="176"/>
        <v>295.83199999999999</v>
      </c>
      <c r="J535" s="91">
        <f t="shared" si="176"/>
        <v>295.83199999999999</v>
      </c>
      <c r="K535" s="91">
        <f t="shared" si="176"/>
        <v>295.83199999999999</v>
      </c>
    </row>
    <row r="536" spans="2:11" x14ac:dyDescent="0.3">
      <c r="B536" s="92" t="s">
        <v>234</v>
      </c>
      <c r="C536" s="92"/>
      <c r="D536" s="89"/>
      <c r="E536" s="89"/>
      <c r="F536" s="89"/>
      <c r="G536" s="91">
        <f>G533*G502</f>
        <v>930.42099999999982</v>
      </c>
      <c r="H536" s="91">
        <f t="shared" ref="H536:K536" si="177">H533*H502</f>
        <v>930.42099999999982</v>
      </c>
      <c r="I536" s="91">
        <f t="shared" si="177"/>
        <v>930.42099999999982</v>
      </c>
      <c r="J536" s="91">
        <f t="shared" si="177"/>
        <v>930.42099999999982</v>
      </c>
      <c r="K536" s="91">
        <f t="shared" si="177"/>
        <v>930.42099999999982</v>
      </c>
    </row>
    <row r="537" spans="2:11" x14ac:dyDescent="0.3">
      <c r="B537" s="65"/>
      <c r="C537" s="65"/>
      <c r="D537" s="64"/>
      <c r="E537" s="64"/>
      <c r="F537" s="64"/>
      <c r="G537" s="87"/>
      <c r="H537" s="87"/>
      <c r="I537" s="87"/>
      <c r="J537" s="87"/>
      <c r="K537" s="87"/>
    </row>
    <row r="538" spans="2:11" x14ac:dyDescent="0.3">
      <c r="B538" s="64"/>
      <c r="C538" s="64"/>
      <c r="D538" s="64"/>
      <c r="E538" s="64"/>
      <c r="F538" s="64"/>
      <c r="G538" s="64"/>
      <c r="H538" s="64"/>
      <c r="I538" s="64"/>
      <c r="J538" s="64"/>
      <c r="K538" s="64"/>
    </row>
    <row r="539" spans="2:11" ht="24.6" x14ac:dyDescent="0.4">
      <c r="B539" s="66" t="s">
        <v>339</v>
      </c>
      <c r="C539" s="68"/>
      <c r="D539" s="69"/>
      <c r="E539" s="69"/>
      <c r="F539" s="69"/>
      <c r="G539" s="69"/>
      <c r="H539" s="69"/>
      <c r="I539" s="69"/>
      <c r="J539" s="69"/>
      <c r="K539" s="69"/>
    </row>
    <row r="540" spans="2:11" ht="17.399999999999999" x14ac:dyDescent="0.3">
      <c r="B540" s="67" t="s">
        <v>194</v>
      </c>
      <c r="C540" s="69"/>
      <c r="D540" s="69"/>
      <c r="E540" s="69"/>
      <c r="F540" s="69"/>
      <c r="G540" s="69"/>
      <c r="H540" s="69"/>
      <c r="I540" s="69"/>
      <c r="J540" s="69"/>
      <c r="K540" s="69"/>
    </row>
    <row r="541" spans="2:11" x14ac:dyDescent="0.3">
      <c r="B541" s="61"/>
      <c r="C541" s="61"/>
      <c r="D541" s="61"/>
      <c r="E541" s="61"/>
      <c r="F541" s="61"/>
      <c r="G541" s="61"/>
      <c r="H541" s="61"/>
      <c r="I541" s="61"/>
      <c r="J541" s="63"/>
      <c r="K541" s="63"/>
    </row>
    <row r="542" spans="2:11" x14ac:dyDescent="0.3">
      <c r="B542" s="215" t="s">
        <v>340</v>
      </c>
      <c r="C542" s="61"/>
      <c r="D542" s="61"/>
      <c r="E542" s="61"/>
      <c r="F542" s="61"/>
      <c r="G542" s="61"/>
      <c r="H542" s="61"/>
      <c r="I542" s="61"/>
      <c r="J542" s="63"/>
      <c r="K542" s="63"/>
    </row>
    <row r="543" spans="2:11" x14ac:dyDescent="0.3">
      <c r="B543" s="63"/>
      <c r="C543" s="63"/>
      <c r="D543" s="63"/>
      <c r="E543" s="63"/>
      <c r="F543" s="63"/>
      <c r="G543" s="63"/>
      <c r="H543" s="63"/>
      <c r="I543" s="63"/>
      <c r="J543" s="63"/>
      <c r="K543" s="63"/>
    </row>
    <row r="544" spans="2:11" x14ac:dyDescent="0.3">
      <c r="B544" s="63"/>
      <c r="C544" s="63"/>
      <c r="D544" s="63"/>
      <c r="E544" s="70">
        <v>2024</v>
      </c>
      <c r="F544" s="70">
        <v>2025</v>
      </c>
      <c r="G544" s="71">
        <f>F544+1</f>
        <v>2026</v>
      </c>
      <c r="H544" s="71">
        <f t="shared" ref="H544:K544" si="178">G544+1</f>
        <v>2027</v>
      </c>
      <c r="I544" s="71">
        <f t="shared" si="178"/>
        <v>2028</v>
      </c>
      <c r="J544" s="71">
        <f t="shared" si="178"/>
        <v>2029</v>
      </c>
      <c r="K544" s="71">
        <f t="shared" si="178"/>
        <v>2030</v>
      </c>
    </row>
    <row r="545" spans="2:11" x14ac:dyDescent="0.3">
      <c r="B545" s="63"/>
      <c r="C545" s="63"/>
      <c r="D545" s="63"/>
      <c r="E545" s="213" t="s">
        <v>341</v>
      </c>
      <c r="F545" s="213"/>
      <c r="G545" s="214"/>
      <c r="H545" s="214"/>
      <c r="I545" s="214"/>
      <c r="J545" s="214"/>
      <c r="K545" s="214" t="s">
        <v>342</v>
      </c>
    </row>
    <row r="546" spans="2:11" x14ac:dyDescent="0.3">
      <c r="B546" s="63"/>
      <c r="C546" s="63"/>
      <c r="D546" s="63"/>
      <c r="E546" s="72"/>
      <c r="F546" s="72"/>
      <c r="G546" s="73"/>
      <c r="H546" s="73"/>
      <c r="I546" s="73"/>
      <c r="J546" s="73"/>
      <c r="K546" s="73"/>
    </row>
    <row r="547" spans="2:11" x14ac:dyDescent="0.3">
      <c r="B547" s="89" t="s">
        <v>192</v>
      </c>
      <c r="C547" s="89" t="s">
        <v>66</v>
      </c>
      <c r="D547" s="89"/>
      <c r="E547" s="89"/>
      <c r="F547" s="91"/>
      <c r="G547" s="91">
        <f>G38</f>
        <v>-810.31537682264218</v>
      </c>
      <c r="H547" s="91">
        <f>H38</f>
        <v>-651.96270702598395</v>
      </c>
      <c r="I547" s="91">
        <f>I38</f>
        <v>2048.4263150927877</v>
      </c>
      <c r="J547" s="91">
        <f>J38</f>
        <v>2126.1693757144553</v>
      </c>
      <c r="K547" s="91">
        <f>K38</f>
        <v>67.965021105652454</v>
      </c>
    </row>
    <row r="548" spans="2:11" x14ac:dyDescent="0.3">
      <c r="B548" s="89" t="s">
        <v>193</v>
      </c>
      <c r="C548" s="89" t="s">
        <v>13</v>
      </c>
      <c r="D548" s="89"/>
      <c r="E548" s="89"/>
      <c r="F548" s="220"/>
      <c r="G548" s="230">
        <f>Assumptions!F78</f>
        <v>0.24</v>
      </c>
      <c r="H548" s="230">
        <f>Assumptions!G78</f>
        <v>0.24</v>
      </c>
      <c r="I548" s="230">
        <f>Assumptions!H78</f>
        <v>0.24</v>
      </c>
      <c r="J548" s="230">
        <f>Assumptions!I78</f>
        <v>0.24</v>
      </c>
      <c r="K548" s="230">
        <f>Assumptions!J78</f>
        <v>0.24</v>
      </c>
    </row>
    <row r="549" spans="2:11" x14ac:dyDescent="0.3">
      <c r="B549" s="188" t="s">
        <v>195</v>
      </c>
      <c r="C549" s="188" t="s">
        <v>66</v>
      </c>
      <c r="D549" s="188"/>
      <c r="E549" s="188"/>
      <c r="F549" s="204"/>
      <c r="G549" s="204">
        <f>MAX(0, G548*G547)</f>
        <v>0</v>
      </c>
      <c r="H549" s="204">
        <f t="shared" ref="H549:K549" si="179">MAX(0, H548*H547)</f>
        <v>0</v>
      </c>
      <c r="I549" s="204">
        <f t="shared" si="179"/>
        <v>491.62231562226901</v>
      </c>
      <c r="J549" s="204">
        <f t="shared" si="179"/>
        <v>510.28065017146923</v>
      </c>
      <c r="K549" s="204">
        <f t="shared" si="179"/>
        <v>16.311605065356588</v>
      </c>
    </row>
    <row r="550" spans="2:11" x14ac:dyDescent="0.3">
      <c r="B550" s="89"/>
      <c r="C550" s="89"/>
      <c r="D550" s="89"/>
      <c r="E550" s="216"/>
      <c r="F550" s="216"/>
      <c r="G550" s="216"/>
      <c r="H550" s="216"/>
      <c r="I550" s="216"/>
      <c r="J550" s="216"/>
      <c r="K550" s="216"/>
    </row>
    <row r="551" spans="2:11" x14ac:dyDescent="0.3">
      <c r="B551" s="89" t="s">
        <v>196</v>
      </c>
      <c r="C551" s="89" t="s">
        <v>13</v>
      </c>
      <c r="D551" s="89"/>
      <c r="E551" s="216"/>
      <c r="F551" s="220"/>
      <c r="G551" s="230">
        <f>Assumptions!F79</f>
        <v>0.02</v>
      </c>
      <c r="H551" s="230">
        <f>Assumptions!G79</f>
        <v>0.04</v>
      </c>
      <c r="I551" s="230">
        <f>Assumptions!H79</f>
        <v>0.09</v>
      </c>
      <c r="J551" s="230">
        <f>Assumptions!I79</f>
        <v>0.14000000000000001</v>
      </c>
      <c r="K551" s="230">
        <f>Assumptions!J79</f>
        <v>0.2</v>
      </c>
    </row>
    <row r="552" spans="2:11" x14ac:dyDescent="0.3">
      <c r="B552" s="188" t="s">
        <v>197</v>
      </c>
      <c r="C552" s="188" t="s">
        <v>66</v>
      </c>
      <c r="D552" s="188"/>
      <c r="E552" s="221"/>
      <c r="F552" s="204"/>
      <c r="G552" s="204">
        <f>MAX(G551*G547, 0)</f>
        <v>0</v>
      </c>
      <c r="H552" s="204">
        <f t="shared" ref="H552:K552" si="180">MAX(H551*H547, 0)</f>
        <v>0</v>
      </c>
      <c r="I552" s="204">
        <f t="shared" si="180"/>
        <v>184.3583683583509</v>
      </c>
      <c r="J552" s="204">
        <f t="shared" si="180"/>
        <v>297.66371260002376</v>
      </c>
      <c r="K552" s="204">
        <f t="shared" si="180"/>
        <v>13.593004221130492</v>
      </c>
    </row>
    <row r="553" spans="2:11" x14ac:dyDescent="0.3">
      <c r="B553" s="89"/>
      <c r="C553" s="89"/>
      <c r="D553" s="89"/>
      <c r="E553" s="216"/>
      <c r="F553" s="216"/>
      <c r="G553" s="216"/>
      <c r="H553" s="216"/>
      <c r="I553" s="216"/>
      <c r="J553" s="216"/>
      <c r="K553" s="216"/>
    </row>
    <row r="554" spans="2:11" x14ac:dyDescent="0.3">
      <c r="B554" s="89" t="s">
        <v>220</v>
      </c>
      <c r="C554" s="89"/>
      <c r="D554" s="89"/>
      <c r="E554" s="216"/>
      <c r="F554" s="91"/>
      <c r="G554" s="91">
        <f t="shared" ref="G554:K554" si="181">G549-G552</f>
        <v>0</v>
      </c>
      <c r="H554" s="91">
        <f t="shared" si="181"/>
        <v>0</v>
      </c>
      <c r="I554" s="91">
        <f t="shared" si="181"/>
        <v>307.26394726391811</v>
      </c>
      <c r="J554" s="91">
        <f t="shared" si="181"/>
        <v>212.61693757144548</v>
      </c>
      <c r="K554" s="91">
        <f t="shared" si="181"/>
        <v>2.7186008442260956</v>
      </c>
    </row>
    <row r="555" spans="2:11" x14ac:dyDescent="0.3">
      <c r="B555" s="89"/>
      <c r="C555" s="89"/>
      <c r="D555" s="89"/>
      <c r="E555" s="216"/>
      <c r="F555" s="91"/>
      <c r="G555" s="91"/>
      <c r="H555" s="91"/>
      <c r="I555" s="91"/>
      <c r="J555" s="91"/>
      <c r="K555" s="91"/>
    </row>
    <row r="556" spans="2:11" x14ac:dyDescent="0.3">
      <c r="B556" s="92" t="s">
        <v>224</v>
      </c>
      <c r="C556" s="89"/>
      <c r="D556" s="89"/>
      <c r="E556" s="216"/>
      <c r="F556" s="91"/>
      <c r="G556" s="91"/>
      <c r="H556" s="91"/>
      <c r="I556" s="91"/>
      <c r="J556" s="91"/>
      <c r="K556" s="91"/>
    </row>
    <row r="557" spans="2:11" x14ac:dyDescent="0.3">
      <c r="B557" s="89"/>
      <c r="C557" s="89"/>
      <c r="D557" s="89"/>
      <c r="E557" s="216"/>
      <c r="F557" s="91"/>
      <c r="G557" s="91"/>
      <c r="H557" s="91"/>
      <c r="I557" s="91"/>
      <c r="J557" s="91"/>
      <c r="K557" s="91"/>
    </row>
    <row r="558" spans="2:11" x14ac:dyDescent="0.3">
      <c r="B558" s="89" t="s">
        <v>225</v>
      </c>
      <c r="C558" s="89" t="s">
        <v>66</v>
      </c>
      <c r="D558" s="89"/>
      <c r="E558" s="216"/>
      <c r="F558" s="91"/>
      <c r="G558" s="91">
        <f>F562</f>
        <v>187.041</v>
      </c>
      <c r="H558" s="91">
        <f>G562</f>
        <v>187.041</v>
      </c>
      <c r="I558" s="91">
        <f t="shared" ref="I558:K558" si="182">H562</f>
        <v>187.041</v>
      </c>
      <c r="J558" s="91">
        <f t="shared" si="182"/>
        <v>187.041</v>
      </c>
      <c r="K558" s="91">
        <f t="shared" si="182"/>
        <v>187.04099999999994</v>
      </c>
    </row>
    <row r="559" spans="2:11" x14ac:dyDescent="0.3">
      <c r="B559" s="202" t="s">
        <v>228</v>
      </c>
      <c r="C559" s="202" t="s">
        <v>66</v>
      </c>
      <c r="D559" s="202"/>
      <c r="E559" s="222"/>
      <c r="F559" s="203"/>
      <c r="G559" s="203">
        <f>G549</f>
        <v>0</v>
      </c>
      <c r="H559" s="203">
        <f t="shared" ref="H559:K559" si="183">H549</f>
        <v>0</v>
      </c>
      <c r="I559" s="203">
        <f t="shared" si="183"/>
        <v>491.62231562226901</v>
      </c>
      <c r="J559" s="203">
        <f t="shared" si="183"/>
        <v>510.28065017146923</v>
      </c>
      <c r="K559" s="203">
        <f t="shared" si="183"/>
        <v>16.311605065356588</v>
      </c>
    </row>
    <row r="560" spans="2:11" x14ac:dyDescent="0.3">
      <c r="B560" s="89" t="s">
        <v>229</v>
      </c>
      <c r="C560" s="89" t="s">
        <v>66</v>
      </c>
      <c r="D560" s="89"/>
      <c r="E560" s="216"/>
      <c r="F560" s="91"/>
      <c r="G560" s="91">
        <f>G567</f>
        <v>0</v>
      </c>
      <c r="H560" s="91">
        <f t="shared" ref="H560:K560" si="184">H567</f>
        <v>0</v>
      </c>
      <c r="I560" s="91">
        <f t="shared" si="184"/>
        <v>-307.26394726391811</v>
      </c>
      <c r="J560" s="91">
        <f t="shared" si="184"/>
        <v>-212.61693757144548</v>
      </c>
      <c r="K560" s="91">
        <f t="shared" si="184"/>
        <v>-2.7186008442260956</v>
      </c>
    </row>
    <row r="561" spans="2:11" x14ac:dyDescent="0.3">
      <c r="B561" s="89" t="s">
        <v>227</v>
      </c>
      <c r="C561" s="89" t="s">
        <v>66</v>
      </c>
      <c r="D561" s="89"/>
      <c r="E561" s="216"/>
      <c r="F561" s="91"/>
      <c r="G561" s="91">
        <f>-G552</f>
        <v>0</v>
      </c>
      <c r="H561" s="91">
        <f t="shared" ref="H561:K561" si="185">-H552</f>
        <v>0</v>
      </c>
      <c r="I561" s="91">
        <f t="shared" si="185"/>
        <v>-184.3583683583509</v>
      </c>
      <c r="J561" s="91">
        <f t="shared" si="185"/>
        <v>-297.66371260002376</v>
      </c>
      <c r="K561" s="91">
        <f t="shared" si="185"/>
        <v>-13.593004221130492</v>
      </c>
    </row>
    <row r="562" spans="2:11" x14ac:dyDescent="0.3">
      <c r="B562" s="188" t="s">
        <v>226</v>
      </c>
      <c r="C562" s="188" t="s">
        <v>66</v>
      </c>
      <c r="D562" s="188"/>
      <c r="E562" s="221"/>
      <c r="F562" s="204">
        <f>F100/1000</f>
        <v>187.041</v>
      </c>
      <c r="G562" s="204">
        <f>SUM(G558:G561)</f>
        <v>187.041</v>
      </c>
      <c r="H562" s="204">
        <f>SUM(H558:H561)</f>
        <v>187.041</v>
      </c>
      <c r="I562" s="204">
        <f>SUM(I558:I561)</f>
        <v>187.041</v>
      </c>
      <c r="J562" s="204">
        <f>SUM(J558:J561)</f>
        <v>187.04099999999994</v>
      </c>
      <c r="K562" s="204">
        <f>SUM(K558:K561)</f>
        <v>187.04099999999994</v>
      </c>
    </row>
    <row r="563" spans="2:11" x14ac:dyDescent="0.3">
      <c r="B563" s="89"/>
      <c r="C563" s="89"/>
      <c r="D563" s="89"/>
      <c r="E563" s="216"/>
      <c r="F563" s="91"/>
      <c r="G563" s="91"/>
      <c r="H563" s="91"/>
      <c r="I563" s="91"/>
      <c r="J563" s="91"/>
      <c r="K563" s="91"/>
    </row>
    <row r="564" spans="2:11" x14ac:dyDescent="0.3">
      <c r="B564" s="92" t="s">
        <v>223</v>
      </c>
      <c r="C564" s="89"/>
      <c r="D564" s="89"/>
      <c r="E564" s="216"/>
      <c r="F564" s="91"/>
      <c r="G564" s="91"/>
      <c r="H564" s="91"/>
      <c r="I564" s="91"/>
      <c r="J564" s="91"/>
      <c r="K564" s="91"/>
    </row>
    <row r="565" spans="2:11" x14ac:dyDescent="0.3">
      <c r="B565" s="89"/>
      <c r="C565" s="89"/>
      <c r="D565" s="89"/>
      <c r="E565" s="216"/>
      <c r="F565" s="216"/>
      <c r="G565" s="216"/>
      <c r="H565" s="216"/>
      <c r="I565" s="216"/>
      <c r="J565" s="216"/>
      <c r="K565" s="216"/>
    </row>
    <row r="566" spans="2:11" x14ac:dyDescent="0.3">
      <c r="B566" s="89" t="s">
        <v>218</v>
      </c>
      <c r="C566" s="89" t="s">
        <v>66</v>
      </c>
      <c r="D566" s="89"/>
      <c r="E566" s="89"/>
      <c r="F566" s="216"/>
      <c r="G566" s="91">
        <f>F64/1000</f>
        <v>1706.569</v>
      </c>
      <c r="H566" s="91">
        <f>G569</f>
        <v>1706.569</v>
      </c>
      <c r="I566" s="91">
        <f t="shared" ref="I566:K566" si="186">H569</f>
        <v>1706.569</v>
      </c>
      <c r="J566" s="91">
        <f t="shared" si="186"/>
        <v>1399.305052736082</v>
      </c>
      <c r="K566" s="91">
        <f t="shared" si="186"/>
        <v>1186.6881151646364</v>
      </c>
    </row>
    <row r="567" spans="2:11" x14ac:dyDescent="0.3">
      <c r="B567" s="202" t="s">
        <v>221</v>
      </c>
      <c r="C567" s="202" t="s">
        <v>66</v>
      </c>
      <c r="D567" s="202"/>
      <c r="E567" s="202"/>
      <c r="F567" s="222"/>
      <c r="G567" s="203">
        <f>MIN(G552-G549, 0)</f>
        <v>0</v>
      </c>
      <c r="H567" s="203">
        <f>MAX(H552-H549, -H566)</f>
        <v>0</v>
      </c>
      <c r="I567" s="203">
        <f>MAX(I552-I549, -I566)</f>
        <v>-307.26394726391811</v>
      </c>
      <c r="J567" s="203">
        <f>MAX(J552-J549, -J566)</f>
        <v>-212.61693757144548</v>
      </c>
      <c r="K567" s="203">
        <f>MAX(K552-K549, -K566)</f>
        <v>-2.7186008442260956</v>
      </c>
    </row>
    <row r="568" spans="2:11" x14ac:dyDescent="0.3">
      <c r="B568" s="190" t="s">
        <v>222</v>
      </c>
      <c r="C568" s="190" t="s">
        <v>66</v>
      </c>
      <c r="D568" s="190"/>
      <c r="E568" s="190"/>
      <c r="F568" s="190"/>
      <c r="G568" s="201">
        <f>MAX(G552-G549, 0)</f>
        <v>0</v>
      </c>
      <c r="H568" s="201">
        <f>MAX(H552-H549, 0)</f>
        <v>0</v>
      </c>
      <c r="I568" s="201">
        <f>MAX(I552-I549, 0)</f>
        <v>0</v>
      </c>
      <c r="J568" s="201">
        <f>MAX(J552-J549, 0)</f>
        <v>0</v>
      </c>
      <c r="K568" s="201">
        <f>MAX(K552-K549, 0)</f>
        <v>0</v>
      </c>
    </row>
    <row r="569" spans="2:11" x14ac:dyDescent="0.3">
      <c r="B569" s="92" t="s">
        <v>219</v>
      </c>
      <c r="C569" s="92" t="s">
        <v>66</v>
      </c>
      <c r="D569" s="92"/>
      <c r="E569" s="92"/>
      <c r="F569" s="92"/>
      <c r="G569" s="99">
        <f>SUM(G566:G568)</f>
        <v>1706.569</v>
      </c>
      <c r="H569" s="99">
        <f t="shared" ref="H569:K569" si="187">SUM(H566:H568)</f>
        <v>1706.569</v>
      </c>
      <c r="I569" s="99">
        <f t="shared" si="187"/>
        <v>1399.305052736082</v>
      </c>
      <c r="J569" s="99">
        <f t="shared" si="187"/>
        <v>1186.6881151646364</v>
      </c>
      <c r="K569" s="99">
        <f t="shared" si="187"/>
        <v>1183.9695143204103</v>
      </c>
    </row>
    <row r="570" spans="2:11" x14ac:dyDescent="0.3">
      <c r="B570" s="65"/>
      <c r="C570" s="64"/>
      <c r="D570" s="64"/>
      <c r="E570" s="64"/>
      <c r="F570" s="64"/>
      <c r="G570" s="86"/>
      <c r="H570" s="86"/>
      <c r="I570" s="86"/>
      <c r="J570" s="86"/>
      <c r="K570" s="86"/>
    </row>
    <row r="571" spans="2:11" x14ac:dyDescent="0.3">
      <c r="B571" s="64"/>
      <c r="C571" s="64"/>
      <c r="D571" s="64"/>
      <c r="E571" s="64"/>
      <c r="F571" s="64"/>
      <c r="G571" s="64"/>
      <c r="H571" s="64"/>
      <c r="I571" s="64"/>
      <c r="J571" s="64"/>
      <c r="K571" s="64"/>
    </row>
    <row r="572" spans="2:11" ht="24.6" x14ac:dyDescent="0.4">
      <c r="B572" s="66" t="s">
        <v>339</v>
      </c>
      <c r="C572" s="68"/>
      <c r="D572" s="69"/>
      <c r="E572" s="69"/>
      <c r="F572" s="69"/>
      <c r="G572" s="69"/>
      <c r="H572" s="69"/>
      <c r="I572" s="69"/>
      <c r="J572" s="69"/>
      <c r="K572" s="69"/>
    </row>
    <row r="573" spans="2:11" ht="17.399999999999999" x14ac:dyDescent="0.3">
      <c r="B573" s="67" t="s">
        <v>388</v>
      </c>
      <c r="C573" s="69"/>
      <c r="D573" s="69"/>
      <c r="E573" s="69"/>
      <c r="F573" s="69"/>
      <c r="G573" s="69"/>
      <c r="H573" s="69"/>
      <c r="I573" s="69"/>
      <c r="J573" s="69"/>
      <c r="K573" s="69"/>
    </row>
    <row r="574" spans="2:11" x14ac:dyDescent="0.3">
      <c r="B574" s="61"/>
      <c r="C574" s="61"/>
      <c r="D574" s="61"/>
      <c r="E574" s="61"/>
      <c r="F574" s="61"/>
      <c r="G574" s="61"/>
      <c r="H574" s="61"/>
      <c r="I574" s="61"/>
      <c r="J574" s="63"/>
      <c r="K574" s="63"/>
    </row>
    <row r="575" spans="2:11" x14ac:dyDescent="0.3">
      <c r="B575" s="215" t="s">
        <v>340</v>
      </c>
      <c r="C575" s="61"/>
      <c r="D575" s="61"/>
      <c r="E575" s="61"/>
      <c r="F575" s="61"/>
      <c r="G575" s="61"/>
      <c r="H575" s="61"/>
      <c r="I575" s="61"/>
      <c r="J575" s="63"/>
      <c r="K575" s="63"/>
    </row>
    <row r="576" spans="2:11" x14ac:dyDescent="0.3">
      <c r="B576" s="63"/>
      <c r="C576" s="63"/>
      <c r="D576" s="63"/>
      <c r="E576" s="63"/>
      <c r="F576" s="63"/>
      <c r="G576" s="63"/>
      <c r="H576" s="63"/>
      <c r="I576" s="63"/>
      <c r="J576" s="63"/>
      <c r="K576" s="63"/>
    </row>
    <row r="577" spans="2:11" x14ac:dyDescent="0.3">
      <c r="B577" s="63"/>
      <c r="C577" s="63"/>
      <c r="D577" s="63"/>
      <c r="E577" s="70">
        <v>2024</v>
      </c>
      <c r="F577" s="70">
        <v>2025</v>
      </c>
      <c r="G577" s="71">
        <f>F577+1</f>
        <v>2026</v>
      </c>
      <c r="H577" s="71">
        <f t="shared" ref="H577:K577" si="188">G577+1</f>
        <v>2027</v>
      </c>
      <c r="I577" s="71">
        <f t="shared" si="188"/>
        <v>2028</v>
      </c>
      <c r="J577" s="71">
        <f t="shared" si="188"/>
        <v>2029</v>
      </c>
      <c r="K577" s="71">
        <f t="shared" si="188"/>
        <v>2030</v>
      </c>
    </row>
    <row r="578" spans="2:11" x14ac:dyDescent="0.3">
      <c r="B578" s="63"/>
      <c r="C578" s="63"/>
      <c r="D578" s="63"/>
      <c r="E578" s="213" t="s">
        <v>341</v>
      </c>
      <c r="F578" s="213"/>
      <c r="G578" s="214"/>
      <c r="H578" s="214"/>
      <c r="I578" s="214"/>
      <c r="J578" s="214"/>
      <c r="K578" s="214" t="s">
        <v>342</v>
      </c>
    </row>
    <row r="579" spans="2:11" x14ac:dyDescent="0.3">
      <c r="B579" s="63"/>
      <c r="C579" s="63"/>
      <c r="D579" s="63"/>
      <c r="E579" s="213"/>
      <c r="F579" s="213"/>
      <c r="G579" s="214"/>
      <c r="H579" s="214"/>
      <c r="I579" s="214"/>
      <c r="J579" s="214"/>
      <c r="K579" s="214"/>
    </row>
    <row r="580" spans="2:11" x14ac:dyDescent="0.3">
      <c r="B580" s="341" t="s">
        <v>396</v>
      </c>
      <c r="C580" s="63"/>
      <c r="D580" s="63"/>
      <c r="E580" s="213"/>
      <c r="F580" s="213"/>
      <c r="G580" s="93">
        <f>F78 / 1000</f>
        <v>2247.8859579831928</v>
      </c>
      <c r="H580" s="93">
        <f>G78 / 1000</f>
        <v>2858.4272690431749</v>
      </c>
      <c r="I580" s="93">
        <f>H78 / 1000</f>
        <v>2761.7221989091872</v>
      </c>
      <c r="J580" s="93">
        <f>I78 / 1000</f>
        <v>3002.9725400287257</v>
      </c>
      <c r="K580" s="93">
        <f>J78 / 1000</f>
        <v>4077.9406513657782</v>
      </c>
    </row>
    <row r="581" spans="2:11" x14ac:dyDescent="0.3">
      <c r="B581" s="341" t="s">
        <v>387</v>
      </c>
      <c r="C581" s="116"/>
      <c r="D581" s="116"/>
      <c r="E581" s="331"/>
      <c r="F581" s="331"/>
      <c r="G581" s="93">
        <f>G148</f>
        <v>610.54131105998204</v>
      </c>
      <c r="H581" s="93">
        <f>H148</f>
        <v>-96.705070133987647</v>
      </c>
      <c r="I581" s="93">
        <f>I148</f>
        <v>1528.2385725604204</v>
      </c>
      <c r="J581" s="93">
        <f>J148</f>
        <v>2822.656961922386</v>
      </c>
      <c r="K581" s="93">
        <f>K148</f>
        <v>2528.8394963245046</v>
      </c>
    </row>
    <row r="582" spans="2:11" x14ac:dyDescent="0.3">
      <c r="B582" s="341" t="s">
        <v>397</v>
      </c>
      <c r="C582" s="116"/>
      <c r="D582" s="116"/>
      <c r="E582" s="331"/>
      <c r="F582" s="331"/>
      <c r="G582" s="93">
        <f>SUM(G493:G494)+SUM(G500:G501)</f>
        <v>0</v>
      </c>
      <c r="H582" s="93">
        <f t="shared" ref="H582:K582" si="189">SUM(H493:H494)+SUM(H500:H501)</f>
        <v>0</v>
      </c>
      <c r="I582" s="93">
        <f t="shared" si="189"/>
        <v>0</v>
      </c>
      <c r="J582" s="93">
        <f t="shared" si="189"/>
        <v>0</v>
      </c>
      <c r="K582" s="93">
        <f t="shared" si="189"/>
        <v>0</v>
      </c>
    </row>
    <row r="583" spans="2:11" x14ac:dyDescent="0.3">
      <c r="B583" s="341" t="s">
        <v>398</v>
      </c>
      <c r="C583" s="116"/>
      <c r="D583" s="116"/>
      <c r="E583" s="331"/>
      <c r="F583" s="331"/>
      <c r="G583" s="93">
        <f>SUM(G580:G582)</f>
        <v>2858.4272690431749</v>
      </c>
      <c r="H583" s="93">
        <f t="shared" ref="H583:K583" si="190">SUM(H580:H582)</f>
        <v>2761.7221989091872</v>
      </c>
      <c r="I583" s="93">
        <f t="shared" si="190"/>
        <v>4289.9607714696076</v>
      </c>
      <c r="J583" s="93">
        <f t="shared" si="190"/>
        <v>5825.6295019511117</v>
      </c>
      <c r="K583" s="93">
        <f t="shared" si="190"/>
        <v>6606.7801476902823</v>
      </c>
    </row>
    <row r="584" spans="2:11" x14ac:dyDescent="0.3">
      <c r="B584" s="341" t="s">
        <v>402</v>
      </c>
      <c r="C584" s="116"/>
      <c r="D584" s="116"/>
      <c r="E584" s="331"/>
      <c r="F584" s="331"/>
      <c r="G584" s="93">
        <f>Assumptions!$D$36</f>
        <v>250</v>
      </c>
      <c r="H584" s="93">
        <f>Assumptions!$D$36</f>
        <v>250</v>
      </c>
      <c r="I584" s="93">
        <f>Assumptions!$D$36</f>
        <v>250</v>
      </c>
      <c r="J584" s="93">
        <f>Assumptions!$D$36</f>
        <v>250</v>
      </c>
      <c r="K584" s="93">
        <f>Assumptions!$D$36</f>
        <v>250</v>
      </c>
    </row>
    <row r="585" spans="2:11" x14ac:dyDescent="0.3">
      <c r="B585" s="332" t="s">
        <v>386</v>
      </c>
      <c r="C585" s="332"/>
      <c r="D585" s="332"/>
      <c r="E585" s="333"/>
      <c r="F585" s="333"/>
      <c r="G585" s="250">
        <f>Assumptions!$D$33</f>
        <v>0.3</v>
      </c>
      <c r="H585" s="250">
        <f>Assumptions!$D$33</f>
        <v>0.3</v>
      </c>
      <c r="I585" s="250">
        <f>Assumptions!$D$33</f>
        <v>0.3</v>
      </c>
      <c r="J585" s="250">
        <f>Assumptions!$D$33</f>
        <v>0.3</v>
      </c>
      <c r="K585" s="250">
        <f>Assumptions!$D$33</f>
        <v>0.3</v>
      </c>
    </row>
    <row r="586" spans="2:11" x14ac:dyDescent="0.3">
      <c r="B586" s="98" t="s">
        <v>385</v>
      </c>
      <c r="C586" s="98"/>
      <c r="D586" s="98"/>
      <c r="E586" s="331"/>
      <c r="F586" s="331"/>
      <c r="G586" s="93">
        <f>IF(G590 &gt; G584, G585*G583, 0)</f>
        <v>0</v>
      </c>
      <c r="H586" s="93">
        <f t="shared" ref="H586:K586" si="191">IF(H590 &gt; H584, H585*H583, 0)</f>
        <v>0</v>
      </c>
      <c r="I586" s="93">
        <f t="shared" si="191"/>
        <v>1286.9882314408821</v>
      </c>
      <c r="J586" s="93">
        <f t="shared" si="191"/>
        <v>1747.6888505853335</v>
      </c>
      <c r="K586" s="93">
        <f t="shared" si="191"/>
        <v>0</v>
      </c>
    </row>
    <row r="587" spans="2:11" x14ac:dyDescent="0.3">
      <c r="B587" s="116"/>
      <c r="C587" s="116"/>
      <c r="D587" s="116"/>
      <c r="E587" s="331"/>
      <c r="F587" s="331"/>
      <c r="G587" s="334"/>
      <c r="H587" s="334"/>
      <c r="I587" s="334"/>
      <c r="J587" s="334"/>
      <c r="K587" s="334"/>
    </row>
    <row r="588" spans="2:11" x14ac:dyDescent="0.3">
      <c r="B588" s="116"/>
      <c r="C588" s="116"/>
      <c r="D588" s="116"/>
      <c r="E588" s="331"/>
      <c r="F588" s="331"/>
      <c r="G588" s="334"/>
      <c r="H588" s="334"/>
      <c r="I588" s="334"/>
      <c r="J588" s="334"/>
      <c r="K588" s="334"/>
    </row>
    <row r="589" spans="2:11" x14ac:dyDescent="0.3">
      <c r="B589" s="89" t="s">
        <v>261</v>
      </c>
      <c r="C589" s="89"/>
      <c r="D589" s="89"/>
      <c r="E589" s="89"/>
      <c r="F589" s="89"/>
      <c r="G589" s="91">
        <f>F593</f>
        <v>-6957.2830000000004</v>
      </c>
      <c r="H589" s="91">
        <f>G593</f>
        <v>-7767.5983768226424</v>
      </c>
      <c r="I589" s="91">
        <f t="shared" ref="I589:K589" si="192">H593</f>
        <v>-8419.5610838486264</v>
      </c>
      <c r="J589" s="91">
        <f t="shared" si="192"/>
        <v>-8149.7453158189901</v>
      </c>
      <c r="K589" s="91">
        <f t="shared" si="192"/>
        <v>-8281.5454408613368</v>
      </c>
    </row>
    <row r="590" spans="2:11" x14ac:dyDescent="0.3">
      <c r="B590" s="124" t="s">
        <v>237</v>
      </c>
      <c r="C590" s="124"/>
      <c r="D590" s="124"/>
      <c r="E590" s="254"/>
      <c r="F590" s="254"/>
      <c r="G590" s="336">
        <f>G41</f>
        <v>-810.31537682264218</v>
      </c>
      <c r="H590" s="336">
        <f>H41</f>
        <v>-651.96270702598395</v>
      </c>
      <c r="I590" s="336">
        <f>I41</f>
        <v>1556.8039994705186</v>
      </c>
      <c r="J590" s="336">
        <f>J41</f>
        <v>1615.8887255429861</v>
      </c>
      <c r="K590" s="336">
        <f>K41</f>
        <v>51.653416040295866</v>
      </c>
    </row>
    <row r="591" spans="2:11" x14ac:dyDescent="0.3">
      <c r="B591" s="337" t="s">
        <v>249</v>
      </c>
      <c r="C591" s="337"/>
      <c r="D591" s="337"/>
      <c r="E591" s="338"/>
      <c r="F591" s="338"/>
      <c r="G591" s="339">
        <f>-G586</f>
        <v>0</v>
      </c>
      <c r="H591" s="339">
        <f t="shared" ref="H591:K591" si="193">-H586</f>
        <v>0</v>
      </c>
      <c r="I591" s="339">
        <f t="shared" si="193"/>
        <v>-1286.9882314408821</v>
      </c>
      <c r="J591" s="339">
        <f t="shared" si="193"/>
        <v>-1747.6888505853335</v>
      </c>
      <c r="K591" s="339">
        <f t="shared" si="193"/>
        <v>0</v>
      </c>
    </row>
    <row r="592" spans="2:11" x14ac:dyDescent="0.3">
      <c r="B592" s="94" t="s">
        <v>262</v>
      </c>
      <c r="C592" s="94"/>
      <c r="D592" s="94"/>
      <c r="E592" s="340"/>
      <c r="F592" s="340"/>
      <c r="G592" s="237">
        <f>IF(G590&gt;0, G590*Assumptions!$D$34, 0)</f>
        <v>0</v>
      </c>
      <c r="H592" s="237">
        <f>IF(H590&gt;0, H590*Assumptions!$D$34, 0)</f>
        <v>0</v>
      </c>
      <c r="I592" s="237">
        <f>IF(I590&gt;0, I590*Assumptions!$D$34, 0)</f>
        <v>0</v>
      </c>
      <c r="J592" s="237">
        <f>IF(J590&gt;0, J590*Assumptions!$D$34, 0)</f>
        <v>0</v>
      </c>
      <c r="K592" s="237">
        <f>IF(K590&gt;0, K590*Assumptions!$D$34, 0)</f>
        <v>0</v>
      </c>
    </row>
    <row r="593" spans="2:11" x14ac:dyDescent="0.3">
      <c r="B593" s="92" t="s">
        <v>263</v>
      </c>
      <c r="C593" s="92"/>
      <c r="D593" s="92"/>
      <c r="E593" s="92"/>
      <c r="F593" s="99">
        <f>F111/1000</f>
        <v>-6957.2830000000004</v>
      </c>
      <c r="G593" s="99">
        <f>SUM(G589:G592)</f>
        <v>-7767.5983768226424</v>
      </c>
      <c r="H593" s="99">
        <f t="shared" ref="H593:K593" si="194">SUM(H589:H592)</f>
        <v>-8419.5610838486264</v>
      </c>
      <c r="I593" s="99">
        <f t="shared" si="194"/>
        <v>-8149.7453158189901</v>
      </c>
      <c r="J593" s="99">
        <f t="shared" si="194"/>
        <v>-8281.5454408613368</v>
      </c>
      <c r="K593" s="99">
        <f t="shared" si="194"/>
        <v>-8229.8920248210416</v>
      </c>
    </row>
    <row r="594" spans="2:11" x14ac:dyDescent="0.3">
      <c r="B594" s="223"/>
      <c r="C594" s="223"/>
      <c r="D594" s="223"/>
      <c r="E594" s="223"/>
      <c r="F594" s="223"/>
      <c r="G594" s="224"/>
      <c r="H594" s="224"/>
      <c r="I594" s="224"/>
      <c r="J594" s="224"/>
      <c r="K594" s="224"/>
    </row>
    <row r="595" spans="2:11" x14ac:dyDescent="0.3">
      <c r="G595" s="49"/>
      <c r="H595" s="49"/>
      <c r="I595" s="49"/>
      <c r="J595" s="49"/>
      <c r="K595" s="49"/>
    </row>
    <row r="596" spans="2:11" x14ac:dyDescent="0.3">
      <c r="B596" s="335" t="s">
        <v>389</v>
      </c>
      <c r="C596" s="5"/>
      <c r="D596" s="5"/>
      <c r="E596" s="5"/>
      <c r="F596" s="5"/>
      <c r="G596" s="344">
        <f>Assumptions!D37</f>
        <v>3360826386</v>
      </c>
      <c r="H596" s="344">
        <f>G599</f>
        <v>3360826386</v>
      </c>
      <c r="I596" s="344">
        <f t="shared" ref="I596:K596" si="195">H599</f>
        <v>3360826386</v>
      </c>
      <c r="J596" s="344">
        <f t="shared" si="195"/>
        <v>3360826386</v>
      </c>
      <c r="K596" s="344">
        <f t="shared" si="195"/>
        <v>3360826386</v>
      </c>
    </row>
    <row r="597" spans="2:11" x14ac:dyDescent="0.3">
      <c r="B597" t="s">
        <v>390</v>
      </c>
      <c r="G597" s="345">
        <f>Assumptions!F74/Assumptions!$D$38</f>
        <v>0</v>
      </c>
      <c r="H597" s="345">
        <f>Assumptions!G74/Assumptions!$D$38</f>
        <v>0</v>
      </c>
      <c r="I597" s="345">
        <f>Assumptions!H74/Assumptions!$D$38</f>
        <v>0</v>
      </c>
      <c r="J597" s="345">
        <f>Assumptions!I74/Assumptions!$D$38</f>
        <v>0</v>
      </c>
      <c r="K597" s="345">
        <f>Assumptions!J74/Assumptions!$D$38</f>
        <v>0</v>
      </c>
    </row>
    <row r="598" spans="2:11" ht="15" thickBot="1" x14ac:dyDescent="0.35">
      <c r="B598" s="348" t="s">
        <v>391</v>
      </c>
      <c r="C598" s="349"/>
      <c r="D598" s="349"/>
      <c r="E598" s="349"/>
      <c r="F598" s="349"/>
      <c r="G598" s="350">
        <f>ABS((G592*1000000)/Assumptions!$D$38)</f>
        <v>0</v>
      </c>
      <c r="H598" s="350">
        <f>ABS((H592*1000000)/Assumptions!$D$38)</f>
        <v>0</v>
      </c>
      <c r="I598" s="350">
        <f>ABS((I592*1000000)/Assumptions!$D$38)</f>
        <v>0</v>
      </c>
      <c r="J598" s="350">
        <f>ABS((J592*1000000)/Assumptions!$D$38)</f>
        <v>0</v>
      </c>
      <c r="K598" s="350">
        <f>ABS((K592*1000000)/Assumptions!$D$38)</f>
        <v>0</v>
      </c>
    </row>
    <row r="599" spans="2:11" x14ac:dyDescent="0.3">
      <c r="B599" s="5" t="s">
        <v>392</v>
      </c>
      <c r="G599" s="346">
        <f>SUM(G596:G598)</f>
        <v>3360826386</v>
      </c>
      <c r="H599" s="346">
        <f t="shared" ref="H599:K599" si="196">SUM(H596:H598)</f>
        <v>3360826386</v>
      </c>
      <c r="I599" s="346">
        <f t="shared" si="196"/>
        <v>3360826386</v>
      </c>
      <c r="J599" s="346">
        <f t="shared" si="196"/>
        <v>3360826386</v>
      </c>
      <c r="K599" s="346">
        <f t="shared" si="196"/>
        <v>3360826386</v>
      </c>
    </row>
    <row r="600" spans="2:11" x14ac:dyDescent="0.3">
      <c r="B600" s="335" t="s">
        <v>393</v>
      </c>
      <c r="G600" s="346">
        <f>G599</f>
        <v>3360826386</v>
      </c>
      <c r="H600" s="346">
        <f>G599+(0.5 * SUM(H597:H598))</f>
        <v>3360826386</v>
      </c>
      <c r="I600" s="346">
        <f t="shared" ref="I600:K600" si="197">H599+(0.5 * SUM(I597:I598))</f>
        <v>3360826386</v>
      </c>
      <c r="J600" s="346">
        <f t="shared" si="197"/>
        <v>3360826386</v>
      </c>
      <c r="K600" s="346">
        <f t="shared" si="197"/>
        <v>3360826386</v>
      </c>
    </row>
    <row r="601" spans="2:11" ht="15" thickBot="1" x14ac:dyDescent="0.35">
      <c r="B601" s="348" t="s">
        <v>394</v>
      </c>
      <c r="C601" s="349"/>
      <c r="D601" s="349"/>
      <c r="E601" s="349"/>
      <c r="F601" s="349"/>
      <c r="G601" s="351">
        <f>0</f>
        <v>0</v>
      </c>
      <c r="H601" s="351">
        <f>0</f>
        <v>0</v>
      </c>
      <c r="I601" s="351">
        <f>0</f>
        <v>0</v>
      </c>
      <c r="J601" s="351">
        <f>0</f>
        <v>0</v>
      </c>
      <c r="K601" s="351">
        <f>0</f>
        <v>0</v>
      </c>
    </row>
    <row r="602" spans="2:11" x14ac:dyDescent="0.3">
      <c r="B602" s="5" t="s">
        <v>395</v>
      </c>
      <c r="C602" s="5"/>
      <c r="D602" s="5"/>
      <c r="E602" s="5"/>
      <c r="F602" s="5"/>
      <c r="G602" s="346">
        <f>SUM(G600:G601)</f>
        <v>3360826386</v>
      </c>
      <c r="H602" s="346">
        <f t="shared" ref="H602:K602" si="198">SUM(H600:H601)</f>
        <v>3360826386</v>
      </c>
      <c r="I602" s="346">
        <f t="shared" si="198"/>
        <v>3360826386</v>
      </c>
      <c r="J602" s="346">
        <f t="shared" si="198"/>
        <v>3360826386</v>
      </c>
      <c r="K602" s="346">
        <f t="shared" si="198"/>
        <v>3360826386</v>
      </c>
    </row>
    <row r="604" spans="2:11" x14ac:dyDescent="0.3">
      <c r="B604" s="5"/>
    </row>
    <row r="606" spans="2:11" x14ac:dyDescent="0.3">
      <c r="G606" s="43"/>
      <c r="H606" s="43"/>
      <c r="I606" s="43"/>
      <c r="J606" s="43"/>
      <c r="K606" s="43"/>
    </row>
    <row r="607" spans="2:11" x14ac:dyDescent="0.3">
      <c r="G607" s="49"/>
      <c r="H607" s="49"/>
      <c r="I607" s="49"/>
      <c r="J607" s="49"/>
      <c r="K607" s="49"/>
    </row>
    <row r="608" spans="2:11" x14ac:dyDescent="0.3">
      <c r="B608" s="5"/>
      <c r="C608" s="5"/>
      <c r="D608" s="5"/>
      <c r="E608" s="5"/>
      <c r="F608" s="5"/>
      <c r="G608" s="42"/>
      <c r="H608" s="42"/>
      <c r="I608" s="42"/>
      <c r="J608" s="42"/>
      <c r="K608" s="42"/>
    </row>
    <row r="609" spans="2:11" x14ac:dyDescent="0.3">
      <c r="B609" s="5"/>
      <c r="C609" s="5"/>
      <c r="D609" s="5"/>
      <c r="E609" s="5"/>
      <c r="F609" s="5"/>
      <c r="G609" s="42"/>
      <c r="H609" s="42"/>
      <c r="I609" s="42"/>
      <c r="J609" s="42"/>
      <c r="K609" s="42"/>
    </row>
    <row r="610" spans="2:11" x14ac:dyDescent="0.3">
      <c r="B610" s="5"/>
    </row>
    <row r="612" spans="2:11" x14ac:dyDescent="0.3">
      <c r="G612" s="43"/>
      <c r="H612" s="43"/>
      <c r="I612" s="43"/>
      <c r="J612" s="43"/>
      <c r="K612" s="43"/>
    </row>
    <row r="613" spans="2:11" x14ac:dyDescent="0.3">
      <c r="G613" s="49"/>
      <c r="H613" s="49"/>
      <c r="I613" s="49"/>
      <c r="J613" s="49"/>
      <c r="K613" s="49"/>
    </row>
    <row r="614" spans="2:11" x14ac:dyDescent="0.3">
      <c r="B614" s="5"/>
      <c r="C614" s="5"/>
      <c r="D614" s="5"/>
      <c r="E614" s="5"/>
      <c r="F614" s="5"/>
      <c r="G614" s="42"/>
      <c r="H614" s="42"/>
      <c r="I614" s="42"/>
      <c r="J614" s="42"/>
      <c r="K614" s="42"/>
    </row>
    <row r="615" spans="2:11" x14ac:dyDescent="0.3">
      <c r="B615" s="5"/>
      <c r="G615" s="50"/>
    </row>
    <row r="616" spans="2:11" x14ac:dyDescent="0.3">
      <c r="B616" s="5"/>
    </row>
    <row r="618" spans="2:11" x14ac:dyDescent="0.3">
      <c r="G618" s="43"/>
      <c r="H618" s="43"/>
      <c r="I618" s="43"/>
      <c r="J618" s="43"/>
      <c r="K618" s="43"/>
    </row>
    <row r="619" spans="2:11" x14ac:dyDescent="0.3">
      <c r="G619" s="49"/>
      <c r="H619" s="49"/>
      <c r="I619" s="49"/>
      <c r="J619" s="49"/>
      <c r="K619" s="49"/>
    </row>
    <row r="620" spans="2:11" x14ac:dyDescent="0.3">
      <c r="B620" s="5"/>
      <c r="C620" s="5"/>
      <c r="D620" s="5"/>
      <c r="E620" s="5"/>
      <c r="F620" s="5"/>
      <c r="G620" s="42"/>
      <c r="H620" s="42"/>
      <c r="I620" s="42"/>
      <c r="J620" s="42"/>
      <c r="K620" s="42"/>
    </row>
    <row r="621" spans="2:11" x14ac:dyDescent="0.3">
      <c r="B621" s="5"/>
      <c r="C621" s="5"/>
      <c r="D621" s="5"/>
      <c r="E621" s="5"/>
      <c r="F621" s="5"/>
      <c r="G621" s="42"/>
      <c r="H621" s="42"/>
      <c r="I621" s="42"/>
      <c r="J621" s="42"/>
      <c r="K621" s="42"/>
    </row>
    <row r="622" spans="2:11" x14ac:dyDescent="0.3">
      <c r="B622" s="5"/>
      <c r="C622" s="5"/>
      <c r="D622" s="5"/>
      <c r="E622" s="5"/>
      <c r="F622" s="5"/>
      <c r="G622" s="42"/>
      <c r="H622" s="42"/>
      <c r="I622" s="42"/>
      <c r="J622" s="42"/>
      <c r="K622" s="42"/>
    </row>
    <row r="623" spans="2:11" x14ac:dyDescent="0.3">
      <c r="B623" s="5"/>
      <c r="C623" s="5"/>
      <c r="D623" s="5"/>
      <c r="E623" s="5"/>
      <c r="F623" s="5"/>
      <c r="G623" s="42"/>
      <c r="H623" s="42"/>
      <c r="I623" s="42"/>
      <c r="J623" s="42"/>
      <c r="K623" s="42"/>
    </row>
    <row r="624" spans="2:11" x14ac:dyDescent="0.3">
      <c r="B624" s="5"/>
    </row>
    <row r="626" spans="2:11" x14ac:dyDescent="0.3">
      <c r="G626" s="43"/>
      <c r="H626" s="43"/>
      <c r="I626" s="43"/>
      <c r="J626" s="43"/>
      <c r="K626" s="43"/>
    </row>
    <row r="627" spans="2:11" x14ac:dyDescent="0.3">
      <c r="G627" s="49"/>
      <c r="H627" s="49"/>
      <c r="I627" s="49"/>
      <c r="J627" s="49"/>
      <c r="K627" s="49"/>
    </row>
    <row r="628" spans="2:11" x14ac:dyDescent="0.3">
      <c r="B628" s="5"/>
      <c r="C628" s="5"/>
      <c r="D628" s="5"/>
      <c r="E628" s="5"/>
      <c r="F628" s="5"/>
      <c r="G628" s="42"/>
      <c r="H628" s="42"/>
      <c r="I628" s="42"/>
      <c r="J628" s="42"/>
      <c r="K628" s="42"/>
    </row>
    <row r="629" spans="2:11" x14ac:dyDescent="0.3">
      <c r="B629" s="5"/>
      <c r="G629" s="50"/>
    </row>
    <row r="630" spans="2:11" x14ac:dyDescent="0.3">
      <c r="B630" s="5"/>
    </row>
    <row r="632" spans="2:11" x14ac:dyDescent="0.3">
      <c r="G632" s="43"/>
      <c r="H632" s="43"/>
      <c r="I632" s="43"/>
      <c r="J632" s="43"/>
      <c r="K632" s="43"/>
    </row>
    <row r="633" spans="2:11" x14ac:dyDescent="0.3">
      <c r="G633" s="49"/>
      <c r="H633" s="49"/>
      <c r="I633" s="49"/>
      <c r="J633" s="49"/>
      <c r="K633" s="49"/>
    </row>
    <row r="634" spans="2:11" x14ac:dyDescent="0.3">
      <c r="B634" s="5"/>
      <c r="C634" s="5"/>
      <c r="D634" s="5"/>
      <c r="E634" s="5"/>
      <c r="F634" s="5"/>
      <c r="G634" s="42"/>
      <c r="H634" s="42"/>
      <c r="I634" s="42"/>
      <c r="J634" s="42"/>
      <c r="K634" s="42"/>
    </row>
    <row r="635" spans="2:11" x14ac:dyDescent="0.3">
      <c r="B635" s="5"/>
      <c r="C635" s="5"/>
      <c r="D635" s="5"/>
      <c r="E635" s="5"/>
      <c r="F635" s="5"/>
      <c r="G635" s="42"/>
      <c r="H635" s="42"/>
      <c r="I635" s="42"/>
      <c r="J635" s="42"/>
      <c r="K635" s="42"/>
    </row>
    <row r="636" spans="2:11" x14ac:dyDescent="0.3">
      <c r="D636" s="5"/>
      <c r="E636" s="5"/>
      <c r="F636" s="5"/>
      <c r="G636" s="42"/>
      <c r="H636" s="42"/>
      <c r="I636" s="42"/>
      <c r="J636" s="42"/>
      <c r="K636" s="42"/>
    </row>
    <row r="637" spans="2:11" x14ac:dyDescent="0.3">
      <c r="D637" s="5"/>
      <c r="E637" s="5"/>
      <c r="F637" s="5"/>
      <c r="G637" s="42"/>
      <c r="H637" s="42"/>
      <c r="I637" s="42"/>
      <c r="J637" s="42"/>
      <c r="K637" s="42"/>
    </row>
    <row r="638" spans="2:11" x14ac:dyDescent="0.3">
      <c r="B638" s="5"/>
      <c r="C638" s="5"/>
      <c r="G638" s="42"/>
      <c r="H638" s="42"/>
      <c r="I638" s="42"/>
      <c r="J638" s="42"/>
      <c r="K638" s="42"/>
    </row>
    <row r="639" spans="2:11" x14ac:dyDescent="0.3">
      <c r="B639" s="5"/>
      <c r="C639" s="5"/>
      <c r="G639" s="42"/>
      <c r="H639" s="42"/>
      <c r="I639" s="42"/>
      <c r="J639" s="42"/>
      <c r="K639" s="42"/>
    </row>
    <row r="640" spans="2:11" x14ac:dyDescent="0.3">
      <c r="B640" s="5"/>
      <c r="G640" s="42"/>
      <c r="H640" s="42"/>
      <c r="I640" s="42"/>
      <c r="J640" s="42"/>
      <c r="K640" s="42"/>
    </row>
    <row r="641" spans="2:11" x14ac:dyDescent="0.3">
      <c r="B641" s="5"/>
      <c r="C641" s="5"/>
      <c r="G641" s="54"/>
      <c r="H641" s="54"/>
      <c r="I641" s="54"/>
      <c r="J641" s="54"/>
      <c r="K641" s="54"/>
    </row>
    <row r="644" spans="2:11" ht="25.8" x14ac:dyDescent="0.5">
      <c r="B644" s="3"/>
      <c r="C644" s="3"/>
      <c r="D644" s="4"/>
      <c r="E644" s="4"/>
      <c r="F644" s="4"/>
      <c r="G644" s="4"/>
      <c r="H644" s="4"/>
      <c r="I644" s="4"/>
      <c r="J644" s="4"/>
      <c r="K644" s="4"/>
    </row>
    <row r="645" spans="2:11" x14ac:dyDescent="0.3"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spans="2:11" x14ac:dyDescent="0.3">
      <c r="B646" s="4"/>
      <c r="C646" s="4"/>
      <c r="D646" s="4"/>
      <c r="E646" s="4"/>
      <c r="F646" s="4"/>
      <c r="G646" s="4"/>
      <c r="H646" s="4"/>
      <c r="I646" s="4"/>
    </row>
    <row r="647" spans="2:11" x14ac:dyDescent="0.3">
      <c r="B647" s="4"/>
      <c r="C647" s="4"/>
      <c r="D647" s="4"/>
      <c r="E647" s="4"/>
      <c r="F647" s="4"/>
      <c r="G647" s="4"/>
      <c r="H647" s="4"/>
      <c r="I647" s="4"/>
    </row>
    <row r="649" spans="2:11" x14ac:dyDescent="0.3">
      <c r="E649" s="39"/>
      <c r="F649" s="39"/>
      <c r="G649" s="40"/>
      <c r="H649" s="40"/>
      <c r="I649" s="40"/>
      <c r="J649" s="40"/>
      <c r="K649" s="40"/>
    </row>
    <row r="651" spans="2:11" x14ac:dyDescent="0.3">
      <c r="B651" s="5"/>
    </row>
    <row r="652" spans="2:11" x14ac:dyDescent="0.3">
      <c r="B652" s="5"/>
    </row>
    <row r="653" spans="2:11" x14ac:dyDescent="0.3">
      <c r="G653" s="41"/>
      <c r="H653" s="41"/>
      <c r="I653" s="41"/>
      <c r="J653" s="41"/>
      <c r="K653" s="41"/>
    </row>
    <row r="654" spans="2:11" x14ac:dyDescent="0.3">
      <c r="E654" s="12"/>
      <c r="G654" s="43"/>
      <c r="H654" s="43"/>
      <c r="I654" s="43"/>
      <c r="J654" s="43"/>
      <c r="K654" s="43"/>
    </row>
    <row r="655" spans="2:11" x14ac:dyDescent="0.3">
      <c r="G655" s="43"/>
      <c r="H655" s="43"/>
      <c r="I655" s="43"/>
      <c r="J655" s="43"/>
      <c r="K655" s="43"/>
    </row>
    <row r="656" spans="2:11" x14ac:dyDescent="0.3">
      <c r="G656" s="43"/>
      <c r="H656" s="43"/>
      <c r="I656" s="43"/>
      <c r="J656" s="43"/>
      <c r="K656" s="43"/>
    </row>
    <row r="657" spans="2:11" x14ac:dyDescent="0.3">
      <c r="G657" s="43"/>
      <c r="H657" s="43"/>
      <c r="I657" s="43"/>
      <c r="J657" s="43"/>
      <c r="K657" s="43"/>
    </row>
    <row r="658" spans="2:11" x14ac:dyDescent="0.3">
      <c r="G658" s="43"/>
      <c r="H658" s="43"/>
      <c r="I658" s="43"/>
      <c r="J658" s="43"/>
      <c r="K658" s="43"/>
    </row>
    <row r="659" spans="2:11" x14ac:dyDescent="0.3">
      <c r="B659" s="5"/>
      <c r="C659" s="5"/>
      <c r="D659" s="5"/>
      <c r="E659" s="5"/>
      <c r="F659" s="5"/>
      <c r="G659" s="14"/>
      <c r="H659" s="14"/>
      <c r="I659" s="14"/>
      <c r="J659" s="14"/>
      <c r="K659" s="14"/>
    </row>
    <row r="660" spans="2:11" x14ac:dyDescent="0.3">
      <c r="B660" s="5"/>
      <c r="C660" s="5"/>
      <c r="D660" s="5"/>
      <c r="E660" s="5"/>
      <c r="F660" s="5"/>
      <c r="G660" s="55"/>
      <c r="H660" s="55"/>
      <c r="I660" s="55"/>
      <c r="J660" s="55"/>
      <c r="K660" s="55"/>
    </row>
    <row r="661" spans="2:11" x14ac:dyDescent="0.3">
      <c r="B661" s="5"/>
      <c r="C661" s="5"/>
      <c r="D661" s="5"/>
      <c r="E661" s="5"/>
      <c r="F661" s="5"/>
      <c r="G661" s="55"/>
      <c r="H661" s="55"/>
      <c r="I661" s="55"/>
      <c r="J661" s="55"/>
      <c r="K661" s="55"/>
    </row>
    <row r="662" spans="2:11" x14ac:dyDescent="0.3">
      <c r="B662" s="5"/>
      <c r="C662" s="5"/>
      <c r="D662" s="5"/>
      <c r="E662" s="5"/>
      <c r="F662" s="5"/>
      <c r="G662" s="55"/>
      <c r="H662" s="55"/>
      <c r="I662" s="55"/>
      <c r="J662" s="55"/>
      <c r="K662" s="55"/>
    </row>
    <row r="663" spans="2:11" x14ac:dyDescent="0.3">
      <c r="C663" s="5"/>
      <c r="D663" s="5"/>
      <c r="E663" s="5"/>
      <c r="F663" s="5"/>
      <c r="G663" s="43"/>
      <c r="H663" s="43"/>
      <c r="I663" s="43"/>
      <c r="J663" s="43"/>
      <c r="K663" s="43"/>
    </row>
    <row r="664" spans="2:11" x14ac:dyDescent="0.3">
      <c r="C664" s="5"/>
      <c r="D664" s="5"/>
      <c r="E664" s="5"/>
      <c r="F664" s="5"/>
      <c r="G664" s="43"/>
      <c r="H664" s="43"/>
      <c r="I664" s="43"/>
      <c r="J664" s="43"/>
      <c r="K664" s="43"/>
    </row>
    <row r="665" spans="2:11" x14ac:dyDescent="0.3">
      <c r="C665" s="5"/>
      <c r="D665" s="5"/>
      <c r="E665" s="5"/>
      <c r="F665" s="5"/>
      <c r="G665" s="43"/>
      <c r="H665" s="41"/>
      <c r="I665" s="41"/>
      <c r="J665" s="41"/>
      <c r="K665" s="41"/>
    </row>
    <row r="666" spans="2:11" x14ac:dyDescent="0.3">
      <c r="C666" s="5"/>
      <c r="D666" s="5"/>
      <c r="E666" s="5"/>
      <c r="F666" s="5"/>
      <c r="G666" s="43"/>
      <c r="H666" s="43"/>
      <c r="I666" s="41"/>
      <c r="J666" s="43"/>
      <c r="K666" s="43"/>
    </row>
    <row r="667" spans="2:11" x14ac:dyDescent="0.3">
      <c r="C667" s="5"/>
      <c r="D667" s="5"/>
      <c r="E667" s="5"/>
      <c r="F667" s="5"/>
      <c r="G667" s="43"/>
      <c r="H667" s="43"/>
      <c r="I667" s="43"/>
      <c r="J667" s="41"/>
      <c r="K667" s="41"/>
    </row>
    <row r="668" spans="2:11" x14ac:dyDescent="0.3">
      <c r="C668" s="5"/>
      <c r="D668" s="5"/>
      <c r="E668" s="5"/>
      <c r="F668" s="5"/>
      <c r="G668" s="43"/>
      <c r="H668" s="43"/>
      <c r="I668" s="43"/>
      <c r="J668" s="43"/>
      <c r="K668" s="41"/>
    </row>
    <row r="669" spans="2:11" x14ac:dyDescent="0.3">
      <c r="B669" s="5"/>
      <c r="C669" s="5"/>
      <c r="D669" s="5"/>
      <c r="E669" s="5"/>
      <c r="F669" s="5"/>
      <c r="G669" s="14"/>
      <c r="H669" s="14"/>
      <c r="I669" s="14"/>
      <c r="J669" s="14"/>
      <c r="K669" s="14"/>
    </row>
    <row r="671" spans="2:11" x14ac:dyDescent="0.3">
      <c r="B671" s="5"/>
      <c r="E671" s="5"/>
      <c r="F671" s="5"/>
      <c r="G671" s="5"/>
      <c r="H671" s="5"/>
      <c r="I671" s="5"/>
      <c r="J671" s="5"/>
      <c r="K671" s="5"/>
    </row>
    <row r="673" spans="2:11" x14ac:dyDescent="0.3">
      <c r="E673" s="43"/>
      <c r="F673" s="43"/>
      <c r="G673" s="43"/>
      <c r="H673" s="43"/>
      <c r="I673" s="43"/>
      <c r="J673" s="43"/>
      <c r="K673" s="43"/>
    </row>
    <row r="674" spans="2:11" x14ac:dyDescent="0.3">
      <c r="E674" s="43"/>
      <c r="F674" s="56"/>
      <c r="G674" s="56"/>
      <c r="H674" s="43"/>
      <c r="I674" s="43"/>
      <c r="J674" s="43"/>
      <c r="K674" s="43"/>
    </row>
    <row r="675" spans="2:11" x14ac:dyDescent="0.3">
      <c r="E675" s="43"/>
      <c r="F675" s="43"/>
      <c r="G675" s="43"/>
      <c r="H675" s="43"/>
      <c r="I675" s="43"/>
      <c r="J675" s="43"/>
      <c r="K675" s="43"/>
    </row>
    <row r="676" spans="2:11" x14ac:dyDescent="0.3">
      <c r="B676" s="5"/>
      <c r="C676" s="5"/>
      <c r="D676" s="5"/>
      <c r="E676" s="14"/>
      <c r="F676" s="14"/>
      <c r="G676" s="14"/>
      <c r="H676" s="14"/>
      <c r="I676" s="14"/>
      <c r="J676" s="14"/>
      <c r="K676" s="14"/>
    </row>
    <row r="678" spans="2:11" x14ac:dyDescent="0.3">
      <c r="B678" s="5"/>
    </row>
    <row r="680" spans="2:11" x14ac:dyDescent="0.3">
      <c r="E680" s="7"/>
      <c r="F680" s="43"/>
      <c r="G680" s="43"/>
      <c r="H680" s="43"/>
      <c r="I680" s="43"/>
      <c r="J680" s="43"/>
      <c r="K680" s="43"/>
    </row>
    <row r="681" spans="2:11" x14ac:dyDescent="0.3">
      <c r="E681" s="13"/>
      <c r="F681" s="13"/>
      <c r="G681" s="56"/>
      <c r="H681" s="56"/>
      <c r="I681" s="56"/>
      <c r="J681" s="56"/>
      <c r="K681" s="56"/>
    </row>
    <row r="682" spans="2:11" x14ac:dyDescent="0.3">
      <c r="E682" s="57"/>
      <c r="F682" s="57"/>
      <c r="G682" s="56"/>
      <c r="H682" s="56"/>
      <c r="I682" s="56"/>
      <c r="J682" s="56"/>
      <c r="K682" s="56"/>
    </row>
    <row r="683" spans="2:11" x14ac:dyDescent="0.3">
      <c r="E683" s="5"/>
      <c r="F683" s="5"/>
      <c r="G683" s="14"/>
      <c r="H683" s="14"/>
      <c r="I683" s="14"/>
      <c r="J683" s="14"/>
      <c r="K683" s="14"/>
    </row>
    <row r="686" spans="2:11" ht="25.8" x14ac:dyDescent="0.5">
      <c r="B686" s="3"/>
      <c r="C686" s="3"/>
      <c r="D686" s="4"/>
      <c r="E686" s="4"/>
      <c r="F686" s="4"/>
      <c r="G686" s="4"/>
      <c r="H686" s="4"/>
      <c r="I686" s="4"/>
      <c r="J686" s="4"/>
      <c r="K686" s="4"/>
    </row>
    <row r="687" spans="2:11" x14ac:dyDescent="0.3"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spans="2:11" x14ac:dyDescent="0.3">
      <c r="B688" s="4"/>
      <c r="C688" s="4"/>
      <c r="D688" s="4"/>
      <c r="E688" s="4"/>
      <c r="F688" s="4"/>
      <c r="G688" s="4"/>
      <c r="H688" s="4"/>
      <c r="I688" s="4"/>
    </row>
    <row r="689" spans="2:11" x14ac:dyDescent="0.3">
      <c r="B689" s="4"/>
      <c r="C689" s="4"/>
      <c r="D689" s="4"/>
      <c r="E689" s="4"/>
      <c r="F689" s="4"/>
      <c r="G689" s="4"/>
      <c r="H689" s="4"/>
      <c r="I689" s="4"/>
    </row>
    <row r="691" spans="2:11" x14ac:dyDescent="0.3">
      <c r="E691" s="39"/>
      <c r="F691" s="39"/>
      <c r="G691" s="40"/>
      <c r="H691" s="40"/>
      <c r="I691" s="40"/>
      <c r="J691" s="40"/>
      <c r="K691" s="40"/>
    </row>
    <row r="693" spans="2:11" x14ac:dyDescent="0.3">
      <c r="B693" s="5"/>
    </row>
    <row r="694" spans="2:11" x14ac:dyDescent="0.3">
      <c r="B694" s="5"/>
    </row>
    <row r="695" spans="2:11" x14ac:dyDescent="0.3">
      <c r="E695" s="43"/>
      <c r="F695" s="43"/>
      <c r="G695" s="13"/>
      <c r="H695" s="13"/>
      <c r="I695" s="13"/>
      <c r="J695" s="13"/>
      <c r="K695" s="13"/>
    </row>
    <row r="696" spans="2:11" x14ac:dyDescent="0.3">
      <c r="E696" s="43"/>
      <c r="F696" s="43"/>
      <c r="G696" s="13"/>
      <c r="H696" s="13"/>
      <c r="I696" s="13"/>
      <c r="J696" s="13"/>
      <c r="K696" s="13"/>
    </row>
    <row r="697" spans="2:11" x14ac:dyDescent="0.3">
      <c r="E697" s="43"/>
      <c r="F697" s="43"/>
      <c r="G697" s="43"/>
      <c r="H697" s="43"/>
      <c r="I697" s="43"/>
      <c r="J697" s="43"/>
      <c r="K697" s="43"/>
    </row>
    <row r="698" spans="2:11" x14ac:dyDescent="0.3">
      <c r="B698" s="5"/>
      <c r="E698" s="43"/>
      <c r="F698" s="43"/>
      <c r="G698" s="43"/>
      <c r="H698" s="43"/>
      <c r="I698" s="43"/>
      <c r="J698" s="43"/>
      <c r="K698" s="43"/>
    </row>
    <row r="700" spans="2:11" x14ac:dyDescent="0.3">
      <c r="B700" s="5"/>
    </row>
    <row r="702" spans="2:11" x14ac:dyDescent="0.3">
      <c r="E702" s="13"/>
      <c r="F702" s="13"/>
      <c r="G702" s="43"/>
      <c r="H702" s="43"/>
      <c r="I702" s="43"/>
      <c r="J702" s="43"/>
      <c r="K702" s="43"/>
    </row>
    <row r="703" spans="2:11" x14ac:dyDescent="0.3">
      <c r="E703" s="13"/>
      <c r="F703" s="13"/>
      <c r="G703" s="43"/>
      <c r="H703" s="43"/>
      <c r="I703" s="43"/>
      <c r="J703" s="43"/>
      <c r="K703" s="43"/>
    </row>
    <row r="704" spans="2:11" x14ac:dyDescent="0.3">
      <c r="E704" s="13"/>
      <c r="F704" s="13"/>
      <c r="G704" s="43"/>
      <c r="H704" s="43"/>
      <c r="I704" s="43"/>
      <c r="J704" s="43"/>
      <c r="K704" s="43"/>
    </row>
    <row r="705" spans="2:11" x14ac:dyDescent="0.3">
      <c r="E705" s="13"/>
      <c r="F705" s="13"/>
      <c r="G705" s="43"/>
      <c r="H705" s="43"/>
      <c r="I705" s="43"/>
      <c r="J705" s="43"/>
      <c r="K705" s="43"/>
    </row>
    <row r="706" spans="2:11" x14ac:dyDescent="0.3">
      <c r="E706" s="13"/>
      <c r="F706" s="13"/>
      <c r="G706" s="43"/>
      <c r="H706" s="43"/>
      <c r="I706" s="43"/>
      <c r="J706" s="43"/>
      <c r="K706" s="43"/>
    </row>
    <row r="707" spans="2:11" x14ac:dyDescent="0.3">
      <c r="E707" s="13"/>
      <c r="F707" s="13"/>
      <c r="G707" s="43"/>
      <c r="H707" s="43"/>
      <c r="I707" s="43"/>
      <c r="J707" s="43"/>
      <c r="K707" s="43"/>
    </row>
    <row r="708" spans="2:11" x14ac:dyDescent="0.3">
      <c r="E708" s="13"/>
      <c r="F708" s="13"/>
      <c r="G708" s="56"/>
      <c r="H708" s="56"/>
      <c r="I708" s="56"/>
      <c r="J708" s="56"/>
      <c r="K708" s="56"/>
    </row>
    <row r="709" spans="2:11" x14ac:dyDescent="0.3">
      <c r="E709" s="13"/>
      <c r="F709" s="13"/>
      <c r="G709" s="56"/>
      <c r="H709" s="56"/>
      <c r="I709" s="56"/>
      <c r="J709" s="56"/>
      <c r="K709" s="56"/>
    </row>
    <row r="710" spans="2:11" x14ac:dyDescent="0.3">
      <c r="B710" s="5"/>
      <c r="E710" s="14"/>
      <c r="F710" s="14"/>
      <c r="G710" s="14"/>
      <c r="H710" s="14"/>
      <c r="I710" s="14"/>
      <c r="J710" s="14"/>
      <c r="K710" s="14"/>
    </row>
    <row r="713" spans="2:11" ht="25.8" x14ac:dyDescent="0.5">
      <c r="B713" s="3"/>
      <c r="C713" s="3"/>
      <c r="D713" s="4"/>
      <c r="E713" s="4"/>
      <c r="F713" s="4"/>
      <c r="G713" s="4"/>
      <c r="H713" s="4"/>
      <c r="I713" s="4"/>
      <c r="J713" s="4"/>
      <c r="K713" s="4"/>
    </row>
    <row r="714" spans="2:11" x14ac:dyDescent="0.3"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spans="2:11" x14ac:dyDescent="0.3">
      <c r="B715" s="4"/>
      <c r="C715" s="4"/>
      <c r="D715" s="4"/>
      <c r="E715" s="4"/>
      <c r="F715" s="4"/>
      <c r="G715" s="4"/>
      <c r="H715" s="4"/>
      <c r="I715" s="4"/>
    </row>
    <row r="716" spans="2:11" x14ac:dyDescent="0.3">
      <c r="B716" s="4"/>
      <c r="C716" s="4"/>
      <c r="D716" s="4"/>
      <c r="E716" s="4"/>
      <c r="F716" s="4"/>
      <c r="G716" s="4"/>
      <c r="H716" s="4"/>
      <c r="I716" s="4"/>
    </row>
    <row r="718" spans="2:11" x14ac:dyDescent="0.3">
      <c r="E718" s="39"/>
      <c r="F718" s="39"/>
      <c r="G718" s="40"/>
      <c r="H718" s="40"/>
      <c r="I718" s="40"/>
      <c r="J718" s="40"/>
      <c r="K718" s="40"/>
    </row>
    <row r="720" spans="2:11" x14ac:dyDescent="0.3">
      <c r="B720" s="5"/>
    </row>
    <row r="721" spans="2:11" x14ac:dyDescent="0.3">
      <c r="B721" s="5"/>
    </row>
    <row r="722" spans="2:11" x14ac:dyDescent="0.3">
      <c r="G722" s="43"/>
      <c r="H722" s="43"/>
      <c r="I722" s="43"/>
      <c r="J722" s="43"/>
      <c r="K722" s="43"/>
    </row>
    <row r="723" spans="2:11" x14ac:dyDescent="0.3">
      <c r="G723" s="43"/>
      <c r="H723" s="43"/>
      <c r="I723" s="43"/>
      <c r="J723" s="43"/>
      <c r="K723" s="43"/>
    </row>
    <row r="724" spans="2:11" x14ac:dyDescent="0.3">
      <c r="G724" s="43"/>
      <c r="H724" s="43"/>
      <c r="I724" s="43"/>
      <c r="J724" s="43"/>
      <c r="K724" s="43"/>
    </row>
    <row r="725" spans="2:11" x14ac:dyDescent="0.3">
      <c r="G725" s="34"/>
      <c r="H725" s="34"/>
      <c r="I725" s="34"/>
    </row>
    <row r="726" spans="2:11" x14ac:dyDescent="0.3">
      <c r="B726" s="5"/>
      <c r="C726" s="5"/>
      <c r="D726" s="5"/>
      <c r="E726" s="5"/>
      <c r="F726" s="5"/>
      <c r="G726" s="42"/>
      <c r="H726" s="42"/>
      <c r="I726" s="42"/>
      <c r="J726" s="42"/>
      <c r="K726" s="42"/>
    </row>
    <row r="728" spans="2:11" x14ac:dyDescent="0.3">
      <c r="G728" s="43"/>
      <c r="H728" s="43"/>
      <c r="I728" s="43"/>
      <c r="J728" s="43"/>
      <c r="K728" s="43"/>
    </row>
    <row r="729" spans="2:11" x14ac:dyDescent="0.3">
      <c r="G729" s="43"/>
      <c r="H729" s="43"/>
      <c r="I729" s="43"/>
      <c r="J729" s="43"/>
      <c r="K729" s="43"/>
    </row>
    <row r="730" spans="2:11" x14ac:dyDescent="0.3">
      <c r="G730" s="43"/>
      <c r="H730" s="43"/>
      <c r="I730" s="43"/>
      <c r="J730" s="43"/>
      <c r="K730" s="43"/>
    </row>
    <row r="731" spans="2:11" x14ac:dyDescent="0.3">
      <c r="G731" s="34"/>
      <c r="H731" s="34"/>
      <c r="I731" s="34"/>
      <c r="J731" s="34"/>
      <c r="K731" s="34"/>
    </row>
    <row r="732" spans="2:11" x14ac:dyDescent="0.3">
      <c r="B732" s="5"/>
      <c r="C732" s="5"/>
      <c r="D732" s="5"/>
      <c r="E732" s="5"/>
      <c r="F732" s="5"/>
      <c r="G732" s="42"/>
      <c r="H732" s="42"/>
      <c r="I732" s="42"/>
      <c r="J732" s="42"/>
      <c r="K732" s="42"/>
    </row>
    <row r="733" spans="2:11" x14ac:dyDescent="0.3">
      <c r="B733" s="5"/>
      <c r="G733" s="41"/>
      <c r="H733" s="41"/>
      <c r="I733" s="41"/>
      <c r="J733" s="41"/>
      <c r="K733" s="41"/>
    </row>
    <row r="734" spans="2:11" x14ac:dyDescent="0.3">
      <c r="G734" s="43"/>
      <c r="H734" s="43"/>
      <c r="I734" s="43"/>
      <c r="J734" s="43"/>
      <c r="K734" s="43"/>
    </row>
    <row r="735" spans="2:11" x14ac:dyDescent="0.3">
      <c r="G735" s="34"/>
      <c r="H735" s="34"/>
      <c r="I735" s="34"/>
      <c r="J735" s="34"/>
      <c r="K735" s="34"/>
    </row>
    <row r="736" spans="2:11" x14ac:dyDescent="0.3">
      <c r="B736" s="5"/>
      <c r="C736" s="5"/>
      <c r="D736" s="5"/>
      <c r="E736" s="5"/>
      <c r="F736" s="5"/>
      <c r="G736" s="42"/>
      <c r="H736" s="42"/>
      <c r="I736" s="42"/>
      <c r="J736" s="42"/>
      <c r="K736" s="42"/>
    </row>
    <row r="738" spans="2:11" x14ac:dyDescent="0.3">
      <c r="G738" s="43"/>
      <c r="H738" s="43"/>
      <c r="I738" s="43"/>
      <c r="J738" s="43"/>
      <c r="K738" s="43"/>
    </row>
    <row r="739" spans="2:11" x14ac:dyDescent="0.3">
      <c r="G739" s="34"/>
      <c r="H739" s="34"/>
      <c r="I739" s="34"/>
      <c r="J739" s="34"/>
      <c r="K739" s="34"/>
    </row>
    <row r="740" spans="2:11" x14ac:dyDescent="0.3">
      <c r="B740" s="5"/>
      <c r="C740" s="5"/>
      <c r="D740" s="5"/>
      <c r="E740" s="5"/>
      <c r="F740" s="5"/>
      <c r="G740" s="42"/>
      <c r="H740" s="42"/>
      <c r="I740" s="42"/>
      <c r="J740" s="42"/>
      <c r="K740" s="42"/>
    </row>
    <row r="742" spans="2:11" x14ac:dyDescent="0.3">
      <c r="G742" s="43"/>
      <c r="H742" s="43"/>
      <c r="I742" s="43"/>
      <c r="J742" s="43"/>
      <c r="K742" s="43"/>
    </row>
    <row r="743" spans="2:11" x14ac:dyDescent="0.3">
      <c r="G743" s="34"/>
      <c r="H743" s="34"/>
      <c r="I743" s="34"/>
      <c r="J743" s="34"/>
      <c r="K743" s="34"/>
    </row>
    <row r="744" spans="2:11" x14ac:dyDescent="0.3">
      <c r="B744" s="5"/>
      <c r="C744" s="5"/>
      <c r="D744" s="5"/>
      <c r="E744" s="5"/>
      <c r="F744" s="5"/>
      <c r="G744" s="42"/>
      <c r="H744" s="42"/>
      <c r="I744" s="42"/>
      <c r="J744" s="42"/>
      <c r="K744" s="42"/>
    </row>
    <row r="745" spans="2:11" x14ac:dyDescent="0.3">
      <c r="B745" s="5"/>
      <c r="G745" s="41"/>
      <c r="H745" s="41"/>
      <c r="I745" s="41"/>
      <c r="J745" s="41"/>
      <c r="K745" s="41"/>
    </row>
    <row r="746" spans="2:11" x14ac:dyDescent="0.3">
      <c r="B746" s="5"/>
      <c r="C746" s="5"/>
      <c r="G746" s="42"/>
      <c r="H746" s="42"/>
      <c r="I746" s="42"/>
      <c r="J746" s="42"/>
      <c r="K746" s="42"/>
    </row>
    <row r="747" spans="2:11" x14ac:dyDescent="0.3">
      <c r="B747" s="5"/>
      <c r="F747" s="16"/>
      <c r="G747" s="16"/>
      <c r="H747" s="16"/>
      <c r="I747" s="16"/>
      <c r="J747" s="16"/>
      <c r="K747" s="16"/>
    </row>
    <row r="748" spans="2:11" x14ac:dyDescent="0.3">
      <c r="B748" s="5"/>
      <c r="C748" s="5"/>
      <c r="D748" s="5"/>
      <c r="E748" s="5"/>
      <c r="F748" s="5"/>
      <c r="G748" s="42"/>
      <c r="H748" s="42"/>
      <c r="I748" s="42"/>
      <c r="J748" s="42"/>
      <c r="K748" s="42"/>
    </row>
    <row r="749" spans="2:11" x14ac:dyDescent="0.3">
      <c r="B749" s="5"/>
      <c r="G749" s="41"/>
      <c r="H749" s="41"/>
      <c r="I749" s="41"/>
    </row>
    <row r="750" spans="2:11" x14ac:dyDescent="0.3">
      <c r="B750" s="5"/>
      <c r="G750" s="41"/>
      <c r="H750" s="41"/>
      <c r="I750" s="41"/>
    </row>
    <row r="751" spans="2:11" x14ac:dyDescent="0.3">
      <c r="B751" s="5"/>
      <c r="G751" s="41"/>
      <c r="H751" s="41"/>
      <c r="I751" s="41"/>
      <c r="J751" s="41"/>
      <c r="K751" s="41"/>
    </row>
    <row r="752" spans="2:11" x14ac:dyDescent="0.3">
      <c r="B752" s="5"/>
      <c r="G752" s="41"/>
      <c r="H752" s="41"/>
      <c r="I752" s="41"/>
      <c r="J752" s="41"/>
      <c r="K752" s="41"/>
    </row>
    <row r="753" spans="2:11" x14ac:dyDescent="0.3">
      <c r="B753" s="5"/>
      <c r="G753" s="41"/>
      <c r="H753" s="41"/>
      <c r="I753" s="41"/>
      <c r="J753" s="41"/>
      <c r="K753" s="41"/>
    </row>
    <row r="754" spans="2:11" x14ac:dyDescent="0.3">
      <c r="G754" s="41"/>
      <c r="H754" s="41"/>
      <c r="I754" s="41"/>
      <c r="J754" s="41"/>
      <c r="K754" s="41"/>
    </row>
    <row r="755" spans="2:11" x14ac:dyDescent="0.3">
      <c r="G755" s="41"/>
      <c r="H755" s="41"/>
      <c r="I755" s="41"/>
      <c r="J755" s="41"/>
      <c r="K755" s="41"/>
    </row>
    <row r="756" spans="2:11" x14ac:dyDescent="0.3">
      <c r="G756" s="41"/>
      <c r="H756" s="41"/>
      <c r="I756" s="41"/>
      <c r="J756" s="41"/>
      <c r="K756" s="41"/>
    </row>
    <row r="757" spans="2:11" x14ac:dyDescent="0.3">
      <c r="G757" s="41"/>
      <c r="H757" s="41"/>
      <c r="I757" s="41"/>
      <c r="J757" s="41"/>
      <c r="K757" s="41"/>
    </row>
    <row r="758" spans="2:11" x14ac:dyDescent="0.3">
      <c r="B758" s="5"/>
      <c r="F758" s="16"/>
      <c r="G758" s="41"/>
      <c r="H758" s="41"/>
      <c r="I758" s="41"/>
      <c r="J758" s="41"/>
      <c r="K758" s="41"/>
    </row>
    <row r="759" spans="2:11" x14ac:dyDescent="0.3">
      <c r="B759" s="5"/>
      <c r="F759" s="41"/>
      <c r="G759" s="41"/>
      <c r="H759" s="41"/>
      <c r="I759" s="41"/>
      <c r="J759" s="41"/>
      <c r="K759" s="41"/>
    </row>
    <row r="760" spans="2:11" x14ac:dyDescent="0.3">
      <c r="B760" s="5"/>
      <c r="F760" s="41"/>
      <c r="G760" s="41"/>
      <c r="H760" s="41"/>
      <c r="I760" s="41"/>
      <c r="J760" s="41"/>
      <c r="K760" s="41"/>
    </row>
    <row r="761" spans="2:11" x14ac:dyDescent="0.3">
      <c r="B761" s="5"/>
      <c r="G761" s="41"/>
      <c r="H761" s="41"/>
      <c r="I761" s="41"/>
      <c r="J761" s="41"/>
      <c r="K761" s="41"/>
    </row>
    <row r="762" spans="2:11" x14ac:dyDescent="0.3">
      <c r="B762" s="5"/>
      <c r="C762" s="5"/>
      <c r="D762" s="5"/>
      <c r="E762" s="5"/>
      <c r="F762" s="5"/>
      <c r="G762" s="48"/>
      <c r="H762" s="48"/>
      <c r="I762" s="48"/>
      <c r="J762" s="48"/>
      <c r="K762" s="48"/>
    </row>
    <row r="763" spans="2:11" x14ac:dyDescent="0.3">
      <c r="G763" s="36"/>
      <c r="H763" s="36"/>
      <c r="I763" s="36"/>
      <c r="J763" s="36"/>
      <c r="K763" s="36"/>
    </row>
    <row r="764" spans="2:11" x14ac:dyDescent="0.3">
      <c r="G764" s="36"/>
      <c r="H764" s="36"/>
      <c r="I764" s="36"/>
      <c r="J764" s="36"/>
      <c r="K764" s="36"/>
    </row>
    <row r="765" spans="2:11" x14ac:dyDescent="0.3">
      <c r="G765" s="16"/>
      <c r="H765" s="16"/>
      <c r="I765" s="16"/>
      <c r="J765" s="16"/>
      <c r="K765" s="16"/>
    </row>
    <row r="766" spans="2:11" x14ac:dyDescent="0.3">
      <c r="G766" s="11"/>
      <c r="H766" s="11"/>
      <c r="I766" s="11"/>
      <c r="J766" s="11"/>
      <c r="K766" s="11"/>
    </row>
    <row r="768" spans="2:11" x14ac:dyDescent="0.3">
      <c r="B768" s="5"/>
      <c r="C768" s="5"/>
      <c r="D768" s="5"/>
      <c r="E768" s="5"/>
      <c r="F768" s="5"/>
      <c r="G768" s="48"/>
      <c r="H768" s="48"/>
      <c r="I768" s="48"/>
      <c r="J768" s="48"/>
      <c r="K768" s="48"/>
    </row>
    <row r="770" spans="2:11" x14ac:dyDescent="0.3">
      <c r="D770" s="15"/>
    </row>
    <row r="771" spans="2:11" ht="25.8" x14ac:dyDescent="0.5">
      <c r="B771" s="3"/>
      <c r="C771" s="3"/>
      <c r="D771" s="4"/>
      <c r="E771" s="4"/>
      <c r="F771" s="4"/>
      <c r="G771" s="4"/>
      <c r="H771" s="4"/>
      <c r="I771" s="4"/>
      <c r="J771" s="4"/>
      <c r="K771" s="4"/>
    </row>
    <row r="772" spans="2:11" x14ac:dyDescent="0.3"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spans="2:11" x14ac:dyDescent="0.3">
      <c r="B773" s="4"/>
      <c r="C773" s="4"/>
      <c r="D773" s="4"/>
      <c r="E773" s="4"/>
      <c r="F773" s="4"/>
      <c r="G773" s="4"/>
      <c r="H773" s="4"/>
      <c r="I773" s="4"/>
    </row>
    <row r="774" spans="2:11" x14ac:dyDescent="0.3">
      <c r="B774" s="4"/>
      <c r="C774" s="4"/>
      <c r="D774" s="4"/>
      <c r="E774" s="4"/>
      <c r="F774" s="4"/>
      <c r="G774" s="4"/>
      <c r="H774" s="4"/>
      <c r="I774" s="4"/>
    </row>
    <row r="776" spans="2:11" x14ac:dyDescent="0.3">
      <c r="E776" s="39"/>
      <c r="F776" s="39"/>
      <c r="G776" s="40"/>
      <c r="H776" s="40"/>
      <c r="I776" s="40"/>
      <c r="J776" s="40"/>
      <c r="K776" s="40"/>
    </row>
    <row r="779" spans="2:11" x14ac:dyDescent="0.3">
      <c r="G779" s="43"/>
      <c r="H779" s="43"/>
      <c r="I779" s="43"/>
      <c r="J779" s="43"/>
      <c r="K779" s="43"/>
    </row>
    <row r="780" spans="2:11" x14ac:dyDescent="0.3">
      <c r="G780" s="43"/>
      <c r="H780" s="43"/>
      <c r="I780" s="43"/>
      <c r="J780" s="43"/>
      <c r="K780" s="43"/>
    </row>
    <row r="781" spans="2:11" x14ac:dyDescent="0.3">
      <c r="G781" s="43"/>
      <c r="H781" s="43"/>
      <c r="I781" s="43"/>
      <c r="J781" s="43"/>
      <c r="K781" s="43"/>
    </row>
    <row r="782" spans="2:11" x14ac:dyDescent="0.3">
      <c r="G782" s="41"/>
      <c r="H782" s="41"/>
      <c r="I782" s="41"/>
      <c r="J782" s="41"/>
      <c r="K782" s="41"/>
    </row>
    <row r="783" spans="2:11" x14ac:dyDescent="0.3">
      <c r="B783" s="5"/>
      <c r="C783" s="5"/>
      <c r="D783" s="5"/>
      <c r="E783" s="5"/>
      <c r="F783" s="14"/>
      <c r="G783" s="14"/>
      <c r="H783" s="14"/>
      <c r="I783" s="14"/>
      <c r="J783" s="14"/>
      <c r="K783" s="14"/>
    </row>
    <row r="784" spans="2:11" x14ac:dyDescent="0.3">
      <c r="B784" s="5"/>
      <c r="C784" s="5"/>
      <c r="D784" s="5"/>
      <c r="E784" s="5"/>
      <c r="F784" s="14"/>
      <c r="G784" s="14"/>
      <c r="H784" s="14"/>
      <c r="I784" s="14"/>
      <c r="J784" s="14"/>
      <c r="K784" s="14"/>
    </row>
    <row r="785" spans="2:11" x14ac:dyDescent="0.3">
      <c r="B785" s="5"/>
      <c r="C785" s="5"/>
      <c r="D785" s="5"/>
      <c r="E785" s="5"/>
      <c r="F785" s="14"/>
      <c r="G785" s="14"/>
      <c r="H785" s="14"/>
      <c r="I785" s="14"/>
      <c r="J785" s="14"/>
      <c r="K785" s="14"/>
    </row>
    <row r="786" spans="2:11" x14ac:dyDescent="0.3">
      <c r="F786" s="43"/>
      <c r="G786" s="43"/>
      <c r="H786" s="43"/>
      <c r="I786" s="43"/>
      <c r="J786" s="43"/>
      <c r="K786" s="43"/>
    </row>
    <row r="787" spans="2:11" x14ac:dyDescent="0.3">
      <c r="B787" s="5"/>
      <c r="C787" s="5"/>
      <c r="D787" s="5"/>
      <c r="E787" s="5"/>
      <c r="F787" s="42"/>
      <c r="G787" s="42"/>
      <c r="H787" s="42"/>
      <c r="I787" s="42"/>
      <c r="J787" s="42"/>
      <c r="K787" s="42"/>
    </row>
    <row r="788" spans="2:11" x14ac:dyDescent="0.3">
      <c r="B788" s="5"/>
      <c r="C788" s="5"/>
      <c r="D788" s="5"/>
      <c r="E788" s="5"/>
      <c r="F788" s="42"/>
      <c r="G788" s="42"/>
      <c r="H788" s="42"/>
      <c r="I788" s="42"/>
      <c r="J788" s="42"/>
      <c r="K788" s="42"/>
    </row>
    <row r="790" spans="2:11" x14ac:dyDescent="0.3">
      <c r="F790" s="43"/>
      <c r="G790" s="43"/>
      <c r="H790" s="43"/>
      <c r="I790" s="43"/>
      <c r="J790" s="43"/>
      <c r="K790" s="43"/>
    </row>
    <row r="791" spans="2:11" x14ac:dyDescent="0.3">
      <c r="B791" s="5"/>
      <c r="F791" s="43"/>
      <c r="G791" s="43"/>
      <c r="H791" s="43"/>
      <c r="I791" s="43"/>
      <c r="J791" s="43"/>
      <c r="K791" s="43"/>
    </row>
    <row r="792" spans="2:11" x14ac:dyDescent="0.3">
      <c r="F792" s="11"/>
      <c r="G792" s="11"/>
      <c r="H792" s="11"/>
      <c r="I792" s="11"/>
      <c r="J792" s="11"/>
      <c r="K792" s="11"/>
    </row>
    <row r="793" spans="2:11" x14ac:dyDescent="0.3">
      <c r="F793" s="11"/>
      <c r="G793" s="11"/>
      <c r="H793" s="11"/>
      <c r="I793" s="11"/>
      <c r="J793" s="11"/>
      <c r="K793" s="11"/>
    </row>
  </sheetData>
  <pageMargins left="0.25" right="0.25" top="0.75" bottom="0.75" header="0.3" footer="0.3"/>
  <pageSetup scale="32" fitToWidth="0" fitToHeight="0" orientation="portrait" r:id="rId1"/>
  <rowBreaks count="4" manualBreakCount="4">
    <brk id="47" max="16383" man="1"/>
    <brk id="118" max="16383" man="1"/>
    <brk id="166" max="11" man="1"/>
    <brk id="233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9888-B5DE-4ADC-8B3C-861AE9785516}">
  <dimension ref="B1:J80"/>
  <sheetViews>
    <sheetView showGridLines="0" topLeftCell="A18" workbookViewId="0">
      <selection activeCell="H53" sqref="H53"/>
    </sheetView>
  </sheetViews>
  <sheetFormatPr defaultRowHeight="14.4" x14ac:dyDescent="0.3"/>
  <cols>
    <col min="2" max="2" width="50.77734375" customWidth="1"/>
    <col min="5" max="6" width="16.77734375" bestFit="1" customWidth="1"/>
    <col min="7" max="7" width="50.77734375" customWidth="1"/>
    <col min="8" max="8" width="17.88671875" bestFit="1" customWidth="1"/>
    <col min="9" max="9" width="10.109375" bestFit="1" customWidth="1"/>
    <col min="10" max="10" width="9.109375" bestFit="1" customWidth="1"/>
  </cols>
  <sheetData>
    <row r="1" spans="2:7" ht="25.8" x14ac:dyDescent="0.5">
      <c r="B1" s="3" t="str">
        <f>Cover!$B$2</f>
        <v>Air Asia</v>
      </c>
      <c r="C1" s="3"/>
      <c r="D1" s="4"/>
      <c r="E1" s="4"/>
      <c r="F1" s="4"/>
      <c r="G1" s="4"/>
    </row>
    <row r="2" spans="2:7" x14ac:dyDescent="0.3">
      <c r="B2" s="4" t="s">
        <v>273</v>
      </c>
      <c r="C2" s="4"/>
      <c r="D2" s="4"/>
      <c r="E2" s="4"/>
      <c r="F2" s="4"/>
      <c r="G2" s="4"/>
    </row>
    <row r="3" spans="2:7" x14ac:dyDescent="0.3">
      <c r="B3" s="4"/>
      <c r="C3" s="4"/>
      <c r="D3" s="4"/>
      <c r="E3" s="4"/>
    </row>
    <row r="5" spans="2:7" x14ac:dyDescent="0.3">
      <c r="C5" t="s">
        <v>38</v>
      </c>
      <c r="E5" s="51" t="s">
        <v>267</v>
      </c>
      <c r="F5" s="51" t="s">
        <v>276</v>
      </c>
      <c r="G5" s="45" t="s">
        <v>268</v>
      </c>
    </row>
    <row r="6" spans="2:7" x14ac:dyDescent="0.3">
      <c r="B6" s="5" t="s">
        <v>274</v>
      </c>
      <c r="E6" s="13"/>
      <c r="G6" s="52"/>
    </row>
    <row r="7" spans="2:7" x14ac:dyDescent="0.3">
      <c r="B7" s="5"/>
      <c r="E7" s="13"/>
      <c r="G7" s="52"/>
    </row>
    <row r="8" spans="2:7" x14ac:dyDescent="0.3">
      <c r="B8" t="s">
        <v>26</v>
      </c>
      <c r="E8" s="30">
        <v>5950000</v>
      </c>
      <c r="F8" s="30">
        <v>22200000</v>
      </c>
      <c r="G8" s="52"/>
    </row>
    <row r="9" spans="2:7" x14ac:dyDescent="0.3">
      <c r="B9" t="s">
        <v>275</v>
      </c>
      <c r="E9" s="38">
        <f>4*E8</f>
        <v>23800000</v>
      </c>
      <c r="F9" s="38">
        <f>F8</f>
        <v>22200000</v>
      </c>
      <c r="G9" s="52"/>
    </row>
    <row r="10" spans="2:7" x14ac:dyDescent="0.3">
      <c r="B10" s="5"/>
      <c r="E10" s="13"/>
      <c r="G10" s="52"/>
    </row>
    <row r="11" spans="2:7" x14ac:dyDescent="0.3">
      <c r="B11" s="5" t="s">
        <v>8</v>
      </c>
      <c r="E11" s="13"/>
      <c r="G11" s="52"/>
    </row>
    <row r="12" spans="2:7" x14ac:dyDescent="0.3">
      <c r="E12" s="13"/>
      <c r="G12" s="52"/>
    </row>
    <row r="13" spans="2:7" x14ac:dyDescent="0.3">
      <c r="B13" t="s">
        <v>15</v>
      </c>
      <c r="E13" s="30">
        <v>1293133</v>
      </c>
      <c r="F13" s="37">
        <f>($F$9/$E$9)*E13</f>
        <v>1206199.6890756302</v>
      </c>
      <c r="G13" s="52" t="s">
        <v>277</v>
      </c>
    </row>
    <row r="14" spans="2:7" x14ac:dyDescent="0.3">
      <c r="B14" t="s">
        <v>40</v>
      </c>
      <c r="E14" s="30">
        <v>12012506</v>
      </c>
      <c r="F14" s="37">
        <f>($F$9/$E$9)*E14</f>
        <v>11204942.571428571</v>
      </c>
      <c r="G14" s="52" t="s">
        <v>277</v>
      </c>
    </row>
    <row r="15" spans="2:7" x14ac:dyDescent="0.3">
      <c r="B15" t="s">
        <v>103</v>
      </c>
      <c r="E15" s="30">
        <v>154490</v>
      </c>
      <c r="F15" s="37">
        <f>E15</f>
        <v>154490</v>
      </c>
      <c r="G15" s="52" t="s">
        <v>278</v>
      </c>
    </row>
    <row r="16" spans="2:7" x14ac:dyDescent="0.3">
      <c r="B16" t="s">
        <v>104</v>
      </c>
      <c r="E16" s="30">
        <v>449244</v>
      </c>
      <c r="F16" s="37">
        <f>E16</f>
        <v>449244</v>
      </c>
      <c r="G16" s="52" t="s">
        <v>271</v>
      </c>
    </row>
    <row r="17" spans="2:9" x14ac:dyDescent="0.3">
      <c r="B17" t="s">
        <v>105</v>
      </c>
      <c r="E17" s="30">
        <v>122</v>
      </c>
      <c r="F17" s="37">
        <f>E17</f>
        <v>122</v>
      </c>
      <c r="G17" s="52" t="s">
        <v>270</v>
      </c>
    </row>
    <row r="18" spans="2:9" x14ac:dyDescent="0.3">
      <c r="B18" t="s">
        <v>109</v>
      </c>
      <c r="E18" s="30">
        <v>13953159</v>
      </c>
      <c r="F18" s="37">
        <f>E18</f>
        <v>13953159</v>
      </c>
      <c r="G18" s="52" t="s">
        <v>269</v>
      </c>
    </row>
    <row r="19" spans="2:9" x14ac:dyDescent="0.3">
      <c r="B19" t="s">
        <v>41</v>
      </c>
      <c r="E19" s="30">
        <v>1706569</v>
      </c>
      <c r="F19" s="37">
        <f>E19</f>
        <v>1706569</v>
      </c>
      <c r="G19" s="52" t="s">
        <v>271</v>
      </c>
    </row>
    <row r="20" spans="2:9" x14ac:dyDescent="0.3">
      <c r="B20" t="s">
        <v>106</v>
      </c>
      <c r="E20" s="30">
        <v>8070813</v>
      </c>
      <c r="F20" s="37">
        <v>5910344.7394957971</v>
      </c>
      <c r="G20" s="52" t="s">
        <v>290</v>
      </c>
      <c r="I20" s="38"/>
    </row>
    <row r="21" spans="2:9" x14ac:dyDescent="0.3">
      <c r="B21" t="s">
        <v>107</v>
      </c>
      <c r="E21" s="30">
        <v>607213</v>
      </c>
      <c r="F21" s="37">
        <f>E21</f>
        <v>607213</v>
      </c>
      <c r="G21" s="52" t="s">
        <v>272</v>
      </c>
    </row>
    <row r="22" spans="2:9" x14ac:dyDescent="0.3">
      <c r="B22" t="s">
        <v>108</v>
      </c>
      <c r="E22" s="30">
        <v>27825</v>
      </c>
      <c r="F22" s="37">
        <f>E22</f>
        <v>27825</v>
      </c>
      <c r="G22" s="52" t="s">
        <v>271</v>
      </c>
    </row>
    <row r="23" spans="2:9" x14ac:dyDescent="0.3">
      <c r="B23" t="s">
        <v>72</v>
      </c>
      <c r="E23" s="30">
        <v>891</v>
      </c>
      <c r="F23" s="37">
        <f>E23</f>
        <v>891</v>
      </c>
      <c r="G23" s="52" t="s">
        <v>271</v>
      </c>
    </row>
    <row r="24" spans="2:9" x14ac:dyDescent="0.3">
      <c r="B24" s="9" t="s">
        <v>45</v>
      </c>
      <c r="C24" s="10"/>
      <c r="D24" s="10"/>
      <c r="E24" s="33">
        <f>SUM(E13:E23)</f>
        <v>38275965</v>
      </c>
      <c r="F24" s="33">
        <f t="shared" ref="F24" si="0">SUM(F13:F23)</f>
        <v>35221000</v>
      </c>
      <c r="G24" s="52"/>
    </row>
    <row r="25" spans="2:9" x14ac:dyDescent="0.3">
      <c r="B25" s="5" t="s">
        <v>280</v>
      </c>
      <c r="E25" s="32"/>
      <c r="F25" s="46">
        <v>35221000</v>
      </c>
      <c r="G25" s="52"/>
    </row>
    <row r="26" spans="2:9" x14ac:dyDescent="0.3">
      <c r="B26" s="5"/>
      <c r="E26" s="32"/>
      <c r="G26" s="52"/>
    </row>
    <row r="27" spans="2:9" x14ac:dyDescent="0.3">
      <c r="B27" t="s">
        <v>42</v>
      </c>
      <c r="E27" s="30">
        <v>192124</v>
      </c>
      <c r="F27" s="37">
        <f>($F$9/$E$9)*E27</f>
        <v>179208.10084033615</v>
      </c>
      <c r="G27" s="52" t="s">
        <v>277</v>
      </c>
    </row>
    <row r="28" spans="2:9" x14ac:dyDescent="0.3">
      <c r="B28" t="s">
        <v>106</v>
      </c>
      <c r="E28" s="30">
        <v>1595895</v>
      </c>
      <c r="F28" s="37">
        <f>($F$9/$E$9)*E28</f>
        <v>1488607.9411764706</v>
      </c>
      <c r="G28" s="52" t="s">
        <v>277</v>
      </c>
    </row>
    <row r="29" spans="2:9" x14ac:dyDescent="0.3">
      <c r="B29" t="s">
        <v>103</v>
      </c>
      <c r="E29" s="30">
        <v>27776</v>
      </c>
      <c r="F29" s="38">
        <f>E29</f>
        <v>27776</v>
      </c>
      <c r="G29" s="52" t="s">
        <v>271</v>
      </c>
    </row>
    <row r="30" spans="2:9" x14ac:dyDescent="0.3">
      <c r="B30" t="s">
        <v>43</v>
      </c>
      <c r="E30" s="30">
        <v>1262127</v>
      </c>
      <c r="F30" s="38">
        <f>E30</f>
        <v>1262127</v>
      </c>
      <c r="G30" s="52" t="s">
        <v>271</v>
      </c>
    </row>
    <row r="31" spans="2:9" x14ac:dyDescent="0.3">
      <c r="B31" t="s">
        <v>108</v>
      </c>
      <c r="E31" s="30">
        <v>174471</v>
      </c>
      <c r="F31" s="38">
        <f>E31</f>
        <v>174471</v>
      </c>
      <c r="G31" s="52" t="s">
        <v>271</v>
      </c>
    </row>
    <row r="32" spans="2:9" x14ac:dyDescent="0.3">
      <c r="B32" t="s">
        <v>72</v>
      </c>
      <c r="E32" s="30">
        <v>17159</v>
      </c>
      <c r="F32" s="38">
        <f>E32</f>
        <v>17159</v>
      </c>
      <c r="G32" s="52" t="s">
        <v>271</v>
      </c>
    </row>
    <row r="33" spans="2:10" x14ac:dyDescent="0.3">
      <c r="B33" t="s">
        <v>44</v>
      </c>
      <c r="E33" s="30">
        <v>16765</v>
      </c>
      <c r="F33" s="38">
        <f>E33</f>
        <v>16765</v>
      </c>
      <c r="G33" s="52" t="s">
        <v>271</v>
      </c>
    </row>
    <row r="34" spans="2:10" x14ac:dyDescent="0.3">
      <c r="B34" t="s">
        <v>110</v>
      </c>
      <c r="E34" s="30">
        <v>1085766</v>
      </c>
      <c r="F34" s="35">
        <f>F36-SUM(F27:F33)</f>
        <v>2247885.957983193</v>
      </c>
      <c r="G34" s="52"/>
    </row>
    <row r="35" spans="2:10" x14ac:dyDescent="0.3">
      <c r="B35" s="9" t="s">
        <v>111</v>
      </c>
      <c r="C35" s="10"/>
      <c r="D35" s="10"/>
      <c r="E35" s="33">
        <f>SUM(E27:E34)</f>
        <v>4372083</v>
      </c>
      <c r="F35" s="33">
        <f>SUM(F27:F34)</f>
        <v>5414000</v>
      </c>
      <c r="G35" s="52"/>
    </row>
    <row r="36" spans="2:10" x14ac:dyDescent="0.3">
      <c r="B36" s="5" t="s">
        <v>281</v>
      </c>
      <c r="E36" s="47"/>
      <c r="F36" s="32">
        <v>5414000</v>
      </c>
      <c r="G36" s="52"/>
    </row>
    <row r="37" spans="2:10" x14ac:dyDescent="0.3">
      <c r="E37" s="12"/>
      <c r="G37" s="52"/>
    </row>
    <row r="38" spans="2:10" x14ac:dyDescent="0.3">
      <c r="B38" s="5" t="s">
        <v>10</v>
      </c>
      <c r="E38" s="32">
        <f>E24+E35</f>
        <v>42648048</v>
      </c>
      <c r="F38" s="32">
        <f t="shared" ref="F38" si="1">F24+F35</f>
        <v>40635000</v>
      </c>
      <c r="G38" s="52"/>
    </row>
    <row r="39" spans="2:10" x14ac:dyDescent="0.3">
      <c r="B39" s="5" t="s">
        <v>282</v>
      </c>
      <c r="E39" s="47"/>
      <c r="F39" s="46">
        <f>F25+F36</f>
        <v>40635000</v>
      </c>
      <c r="G39" s="52"/>
    </row>
    <row r="40" spans="2:10" x14ac:dyDescent="0.3">
      <c r="B40" s="5"/>
      <c r="E40" s="12"/>
      <c r="G40" s="52"/>
    </row>
    <row r="41" spans="2:10" x14ac:dyDescent="0.3">
      <c r="B41" s="5" t="s">
        <v>9</v>
      </c>
      <c r="E41" s="13"/>
      <c r="G41" s="52"/>
    </row>
    <row r="42" spans="2:10" x14ac:dyDescent="0.3">
      <c r="E42" s="13"/>
      <c r="G42" s="52"/>
    </row>
    <row r="43" spans="2:10" x14ac:dyDescent="0.3">
      <c r="B43" t="s">
        <v>112</v>
      </c>
      <c r="E43" s="30">
        <v>6689552</v>
      </c>
      <c r="F43" s="30">
        <v>7193542.1680672318</v>
      </c>
      <c r="G43" s="52" t="s">
        <v>289</v>
      </c>
    </row>
    <row r="44" spans="2:10" x14ac:dyDescent="0.3">
      <c r="B44" t="s">
        <v>113</v>
      </c>
      <c r="E44" s="30">
        <v>2537062</v>
      </c>
      <c r="F44" s="38">
        <f>E44</f>
        <v>2537062</v>
      </c>
      <c r="G44" s="52"/>
    </row>
    <row r="45" spans="2:10" x14ac:dyDescent="0.3">
      <c r="B45" t="s">
        <v>114</v>
      </c>
      <c r="E45" s="30">
        <v>930421</v>
      </c>
      <c r="F45" s="38">
        <f t="shared" ref="F45" si="2">E45</f>
        <v>930421</v>
      </c>
      <c r="G45" s="52"/>
    </row>
    <row r="46" spans="2:10" x14ac:dyDescent="0.3">
      <c r="B46" t="s">
        <v>19</v>
      </c>
      <c r="E46" s="30">
        <v>12338502</v>
      </c>
      <c r="F46" s="30">
        <v>12651277.831932772</v>
      </c>
      <c r="G46" s="52" t="s">
        <v>289</v>
      </c>
      <c r="J46" s="37"/>
    </row>
    <row r="47" spans="2:10" x14ac:dyDescent="0.3">
      <c r="B47" t="s">
        <v>119</v>
      </c>
      <c r="E47" s="30">
        <v>739697</v>
      </c>
      <c r="F47" s="38">
        <f>E47</f>
        <v>739697</v>
      </c>
      <c r="G47" s="52"/>
    </row>
    <row r="48" spans="2:10" x14ac:dyDescent="0.3">
      <c r="B48" s="9" t="s">
        <v>49</v>
      </c>
      <c r="C48" s="10"/>
      <c r="D48" s="10"/>
      <c r="E48" s="33">
        <f>SUM(E43:E47)</f>
        <v>23235234</v>
      </c>
      <c r="F48" s="33">
        <f t="shared" ref="F48" si="3">SUM(F43:F47)</f>
        <v>24052000.000000004</v>
      </c>
      <c r="G48" s="52"/>
    </row>
    <row r="49" spans="2:10" x14ac:dyDescent="0.3">
      <c r="B49" s="5" t="s">
        <v>283</v>
      </c>
      <c r="E49" s="47"/>
      <c r="F49" s="46">
        <v>24052000</v>
      </c>
      <c r="G49" s="52"/>
      <c r="H49" s="38"/>
      <c r="I49" s="38"/>
      <c r="J49" s="38"/>
    </row>
    <row r="50" spans="2:10" x14ac:dyDescent="0.3">
      <c r="E50" s="12"/>
      <c r="G50" s="52"/>
    </row>
    <row r="51" spans="2:10" x14ac:dyDescent="0.3">
      <c r="B51" t="s">
        <v>47</v>
      </c>
      <c r="E51" s="30">
        <v>8119191</v>
      </c>
      <c r="F51" s="37">
        <f>($F$9/$E$9)*E51</f>
        <v>7573363.0336134452</v>
      </c>
      <c r="G51" s="52"/>
    </row>
    <row r="52" spans="2:10" x14ac:dyDescent="0.3">
      <c r="B52" t="s">
        <v>112</v>
      </c>
      <c r="E52" s="30">
        <v>3792430</v>
      </c>
      <c r="F52" s="37">
        <f>($F$9/$E$9)*E52</f>
        <v>3537476.7226890759</v>
      </c>
      <c r="G52" s="52"/>
    </row>
    <row r="53" spans="2:10" x14ac:dyDescent="0.3">
      <c r="B53" t="s">
        <v>46</v>
      </c>
      <c r="E53" s="30">
        <v>2589895</v>
      </c>
      <c r="F53" s="37">
        <v>2426784.411764706</v>
      </c>
      <c r="G53" s="52"/>
      <c r="H53" s="225"/>
    </row>
    <row r="54" spans="2:10" x14ac:dyDescent="0.3">
      <c r="B54" t="s">
        <v>115</v>
      </c>
      <c r="E54" s="30">
        <v>1147738</v>
      </c>
      <c r="F54" s="38">
        <f>E54</f>
        <v>1147738</v>
      </c>
      <c r="G54" s="52"/>
    </row>
    <row r="55" spans="2:10" x14ac:dyDescent="0.3">
      <c r="B55" t="s">
        <v>116</v>
      </c>
      <c r="E55" s="30">
        <v>57311</v>
      </c>
      <c r="F55" s="38">
        <f>E55</f>
        <v>57311</v>
      </c>
      <c r="G55" s="52"/>
    </row>
    <row r="56" spans="2:10" x14ac:dyDescent="0.3">
      <c r="B56" t="s">
        <v>113</v>
      </c>
      <c r="E56" s="30">
        <v>691757</v>
      </c>
      <c r="F56" s="38">
        <f>E56</f>
        <v>691757</v>
      </c>
      <c r="G56" s="52"/>
    </row>
    <row r="57" spans="2:10" x14ac:dyDescent="0.3">
      <c r="B57" t="s">
        <v>117</v>
      </c>
      <c r="E57" s="30">
        <v>295832</v>
      </c>
      <c r="F57" s="38">
        <f>E57</f>
        <v>295832</v>
      </c>
      <c r="G57" s="52"/>
    </row>
    <row r="58" spans="2:10" x14ac:dyDescent="0.3">
      <c r="B58" t="s">
        <v>19</v>
      </c>
      <c r="E58" s="30">
        <v>2449633</v>
      </c>
      <c r="F58" s="37">
        <v>1142696.8319327743</v>
      </c>
      <c r="G58" s="52" t="s">
        <v>289</v>
      </c>
      <c r="I58" s="38"/>
    </row>
    <row r="59" spans="2:10" x14ac:dyDescent="0.3">
      <c r="B59" t="s">
        <v>118</v>
      </c>
      <c r="E59" s="30">
        <v>187041</v>
      </c>
      <c r="F59" s="38">
        <f>E59</f>
        <v>187041</v>
      </c>
      <c r="G59" s="52"/>
    </row>
    <row r="60" spans="2:10" x14ac:dyDescent="0.3">
      <c r="B60" s="9" t="s">
        <v>48</v>
      </c>
      <c r="C60" s="10"/>
      <c r="D60" s="10"/>
      <c r="E60" s="33">
        <f>SUM(E51:E59)</f>
        <v>19330828</v>
      </c>
      <c r="F60" s="33">
        <f t="shared" ref="F60" si="4">SUM(F51:F59)</f>
        <v>17060000</v>
      </c>
      <c r="G60" s="52"/>
      <c r="H60" s="38"/>
      <c r="I60" s="38"/>
    </row>
    <row r="61" spans="2:10" x14ac:dyDescent="0.3">
      <c r="B61" s="5" t="s">
        <v>285</v>
      </c>
      <c r="E61" s="47"/>
      <c r="F61" s="46">
        <v>17049000</v>
      </c>
      <c r="G61" s="52"/>
    </row>
    <row r="62" spans="2:10" x14ac:dyDescent="0.3">
      <c r="E62" s="12"/>
      <c r="G62" s="52"/>
    </row>
    <row r="63" spans="2:10" x14ac:dyDescent="0.3">
      <c r="B63" s="9" t="s">
        <v>11</v>
      </c>
      <c r="C63" s="10"/>
      <c r="D63" s="10"/>
      <c r="E63" s="33">
        <f>E48+E60</f>
        <v>42566062</v>
      </c>
      <c r="F63" s="33">
        <f t="shared" ref="F63:F64" si="5">F48+F60</f>
        <v>41112000</v>
      </c>
      <c r="G63" s="52"/>
    </row>
    <row r="64" spans="2:10" x14ac:dyDescent="0.3">
      <c r="B64" s="5" t="s">
        <v>284</v>
      </c>
      <c r="E64" s="47"/>
      <c r="F64" s="32">
        <f t="shared" si="5"/>
        <v>41101000</v>
      </c>
      <c r="G64" s="52"/>
    </row>
    <row r="65" spans="2:8" x14ac:dyDescent="0.3">
      <c r="B65" s="5"/>
      <c r="E65" s="14"/>
      <c r="G65" s="52"/>
    </row>
    <row r="66" spans="2:8" x14ac:dyDescent="0.3">
      <c r="B66" s="5" t="s">
        <v>12</v>
      </c>
      <c r="E66" s="14"/>
      <c r="G66" s="52"/>
    </row>
    <row r="67" spans="2:8" x14ac:dyDescent="0.3">
      <c r="B67" s="5"/>
      <c r="E67" s="14"/>
      <c r="G67" s="52"/>
    </row>
    <row r="68" spans="2:8" x14ac:dyDescent="0.3">
      <c r="B68" t="s">
        <v>20</v>
      </c>
      <c r="E68" s="30">
        <v>4893876</v>
      </c>
      <c r="F68" s="38">
        <f>E68</f>
        <v>4893876</v>
      </c>
      <c r="G68" s="52"/>
    </row>
    <row r="69" spans="2:8" x14ac:dyDescent="0.3">
      <c r="B69" t="s">
        <v>264</v>
      </c>
      <c r="E69" s="30">
        <v>1165374</v>
      </c>
      <c r="F69" s="38">
        <f t="shared" ref="F69:F71" si="6">E69</f>
        <v>1165374</v>
      </c>
      <c r="G69" s="52"/>
    </row>
    <row r="70" spans="2:8" x14ac:dyDescent="0.3">
      <c r="B70" t="s">
        <v>50</v>
      </c>
      <c r="E70" s="30">
        <v>1211801</v>
      </c>
      <c r="F70" s="38">
        <f t="shared" si="6"/>
        <v>1211801</v>
      </c>
      <c r="G70" s="52"/>
    </row>
    <row r="71" spans="2:8" x14ac:dyDescent="0.3">
      <c r="B71" t="s">
        <v>265</v>
      </c>
      <c r="E71" s="30">
        <v>22</v>
      </c>
      <c r="F71" s="38">
        <f t="shared" si="6"/>
        <v>22</v>
      </c>
      <c r="G71" s="52"/>
    </row>
    <row r="72" spans="2:8" x14ac:dyDescent="0.3">
      <c r="B72" s="8" t="s">
        <v>288</v>
      </c>
      <c r="C72" s="8"/>
      <c r="D72" s="8"/>
      <c r="E72" s="31">
        <v>-6398596</v>
      </c>
      <c r="F72" s="31">
        <v>-6957283</v>
      </c>
      <c r="G72" s="52"/>
      <c r="H72" s="38"/>
    </row>
    <row r="73" spans="2:8" x14ac:dyDescent="0.3">
      <c r="B73" s="5" t="s">
        <v>51</v>
      </c>
      <c r="E73" s="33">
        <f>SUM(E68:E72)</f>
        <v>872477</v>
      </c>
      <c r="F73" s="33">
        <f t="shared" ref="F73" si="7">SUM(F68:F72)</f>
        <v>313790</v>
      </c>
      <c r="G73" s="52"/>
    </row>
    <row r="74" spans="2:8" x14ac:dyDescent="0.3">
      <c r="B74" t="s">
        <v>266</v>
      </c>
      <c r="E74" s="30">
        <v>-790790</v>
      </c>
      <c r="F74" s="38">
        <f>E74</f>
        <v>-790790</v>
      </c>
      <c r="G74" s="52"/>
    </row>
    <row r="75" spans="2:8" x14ac:dyDescent="0.3">
      <c r="B75" s="6" t="s">
        <v>279</v>
      </c>
      <c r="C75" s="6"/>
      <c r="D75" s="6"/>
      <c r="E75" s="44">
        <f>SUM(E73:E74)</f>
        <v>81687</v>
      </c>
      <c r="F75" s="53">
        <f t="shared" ref="F75" si="8">SUM(F73:F74)</f>
        <v>-477000</v>
      </c>
    </row>
    <row r="76" spans="2:8" x14ac:dyDescent="0.3">
      <c r="B76" s="5" t="s">
        <v>286</v>
      </c>
      <c r="C76" s="5"/>
      <c r="D76" s="5"/>
      <c r="E76" s="32"/>
      <c r="F76" s="32">
        <v>-477000</v>
      </c>
    </row>
    <row r="79" spans="2:8" x14ac:dyDescent="0.3">
      <c r="B79" t="s">
        <v>291</v>
      </c>
      <c r="E79" s="38">
        <f>E75+E63-E38</f>
        <v>-299</v>
      </c>
      <c r="F79">
        <f t="shared" ref="F79" si="9">F75+F63-F38</f>
        <v>0</v>
      </c>
    </row>
    <row r="80" spans="2:8" x14ac:dyDescent="0.3">
      <c r="B80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</vt:lpstr>
      <vt:lpstr>Assumptions</vt:lpstr>
      <vt:lpstr>Model</vt:lpstr>
      <vt:lpstr>Sheet1</vt:lpstr>
      <vt:lpstr>Model!Print_Area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Hopkinson</dc:creator>
  <cp:lastModifiedBy>Peter Hopkinson</cp:lastModifiedBy>
  <cp:lastPrinted>2026-10-10T01:21:40Z</cp:lastPrinted>
  <dcterms:created xsi:type="dcterms:W3CDTF">2026-09-25T20:35:53Z</dcterms:created>
  <dcterms:modified xsi:type="dcterms:W3CDTF">2026-10-10T19:04:11Z</dcterms:modified>
</cp:coreProperties>
</file>