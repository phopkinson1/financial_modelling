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63f789af4ef06/Documents/Career/Career Development/Financial Statements/3 Statement Model/"/>
    </mc:Choice>
  </mc:AlternateContent>
  <xr:revisionPtr revIDLastSave="3508" documentId="8_{07D5DC32-068F-4DA3-A34E-D8A4348B9F3F}" xr6:coauthVersionLast="47" xr6:coauthVersionMax="47" xr10:uidLastSave="{E749218B-7C42-4F01-9071-EEC55CEDEC7A}"/>
  <bookViews>
    <workbookView xWindow="28680" yWindow="-120" windowWidth="51840" windowHeight="21120" activeTab="1" xr2:uid="{C4FDF26E-8D02-42E6-9BA6-E8E4AB263931}"/>
  </bookViews>
  <sheets>
    <sheet name="Cover" sheetId="1" r:id="rId1"/>
    <sheet name="DCF_Valuation" sheetId="4" r:id="rId2"/>
    <sheet name="Assumptions" sheetId="3" r:id="rId3"/>
    <sheet name="Model" sheetId="2" r:id="rId4"/>
  </sheets>
  <definedNames>
    <definedName name="_xlnm.Print_Area" localSheetId="3">Model!$A$2:$M$708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4" i="4" l="1"/>
  <c r="D26" i="4"/>
  <c r="D77" i="4"/>
  <c r="D69" i="4"/>
  <c r="G62" i="4"/>
  <c r="H62" i="4" s="1"/>
  <c r="J62" i="4" s="1"/>
  <c r="G59" i="4"/>
  <c r="H59" i="4" s="1"/>
  <c r="J59" i="4" s="1"/>
  <c r="G60" i="4"/>
  <c r="H60" i="4" s="1"/>
  <c r="J60" i="4" s="1"/>
  <c r="G61" i="4"/>
  <c r="H61" i="4" s="1"/>
  <c r="J61" i="4" s="1"/>
  <c r="G58" i="4"/>
  <c r="H58" i="4" s="1"/>
  <c r="J58" i="4" s="1"/>
  <c r="B49" i="4"/>
  <c r="D42" i="4"/>
  <c r="H28" i="4"/>
  <c r="I20" i="4"/>
  <c r="L12" i="4"/>
  <c r="K12" i="4"/>
  <c r="J12" i="4"/>
  <c r="I12" i="4"/>
  <c r="H12" i="4"/>
  <c r="L3" i="3"/>
  <c r="H6" i="4"/>
  <c r="I6" i="4" s="1"/>
  <c r="J6" i="4" s="1"/>
  <c r="K6" i="4" s="1"/>
  <c r="L6" i="4" s="1"/>
  <c r="H26" i="4" s="1"/>
  <c r="B2" i="4"/>
  <c r="F220" i="2"/>
  <c r="L508" i="2"/>
  <c r="L479" i="2"/>
  <c r="L419" i="2"/>
  <c r="L361" i="2"/>
  <c r="L306" i="2"/>
  <c r="L270" i="2"/>
  <c r="L224" i="2"/>
  <c r="L179" i="2"/>
  <c r="L135" i="2"/>
  <c r="L91" i="2"/>
  <c r="L46" i="2"/>
  <c r="L4" i="2"/>
  <c r="L24" i="3"/>
  <c r="L248" i="2" s="1"/>
  <c r="K24" i="3"/>
  <c r="K248" i="2" s="1"/>
  <c r="J24" i="3"/>
  <c r="J248" i="2" s="1"/>
  <c r="I24" i="3"/>
  <c r="I248" i="2" s="1"/>
  <c r="H24" i="3"/>
  <c r="H248" i="2" s="1"/>
  <c r="L19" i="3"/>
  <c r="L239" i="2" s="1"/>
  <c r="K19" i="3"/>
  <c r="K239" i="2" s="1"/>
  <c r="J19" i="3"/>
  <c r="J239" i="2" s="1"/>
  <c r="I19" i="3"/>
  <c r="I239" i="2" s="1"/>
  <c r="H19" i="3"/>
  <c r="H239" i="2" s="1"/>
  <c r="L38" i="3"/>
  <c r="L207" i="2" s="1"/>
  <c r="K38" i="3"/>
  <c r="K207" i="2" s="1"/>
  <c r="J38" i="3"/>
  <c r="J207" i="2" s="1"/>
  <c r="I38" i="3"/>
  <c r="I207" i="2" s="1"/>
  <c r="H38" i="3"/>
  <c r="H207" i="2" s="1"/>
  <c r="H33" i="3"/>
  <c r="H192" i="2" s="1"/>
  <c r="L33" i="3"/>
  <c r="L192" i="2" s="1"/>
  <c r="K33" i="3"/>
  <c r="K192" i="2" s="1"/>
  <c r="J33" i="3"/>
  <c r="J192" i="2" s="1"/>
  <c r="I33" i="3"/>
  <c r="I192" i="2" s="1"/>
  <c r="L14" i="3"/>
  <c r="L234" i="2" s="1"/>
  <c r="K14" i="3"/>
  <c r="K234" i="2" s="1"/>
  <c r="J14" i="3"/>
  <c r="J234" i="2" s="1"/>
  <c r="I14" i="3"/>
  <c r="I234" i="2" s="1"/>
  <c r="H14" i="3"/>
  <c r="H234" i="2" s="1"/>
  <c r="H6" i="3"/>
  <c r="I6" i="3" s="1"/>
  <c r="J6" i="3" s="1"/>
  <c r="K6" i="3" s="1"/>
  <c r="L6" i="3" s="1"/>
  <c r="B2" i="3"/>
  <c r="H465" i="2"/>
  <c r="L146" i="2"/>
  <c r="K146" i="2"/>
  <c r="J146" i="2"/>
  <c r="I146" i="2"/>
  <c r="H146" i="2"/>
  <c r="H76" i="2"/>
  <c r="I76" i="2" s="1"/>
  <c r="J76" i="2" s="1"/>
  <c r="H71" i="2"/>
  <c r="I71" i="2" s="1"/>
  <c r="J71" i="2" s="1"/>
  <c r="K71" i="2" s="1"/>
  <c r="L71" i="2" s="1"/>
  <c r="H69" i="2"/>
  <c r="I69" i="2" s="1"/>
  <c r="J69" i="2" s="1"/>
  <c r="K69" i="2" s="1"/>
  <c r="L69" i="2" s="1"/>
  <c r="H127" i="2"/>
  <c r="L106" i="2"/>
  <c r="K106" i="2"/>
  <c r="J106" i="2"/>
  <c r="I106" i="2"/>
  <c r="H106" i="2"/>
  <c r="L105" i="2"/>
  <c r="K105" i="2"/>
  <c r="J105" i="2"/>
  <c r="I105" i="2"/>
  <c r="H105" i="2"/>
  <c r="H79" i="2"/>
  <c r="I79" i="2" s="1"/>
  <c r="J79" i="2" s="1"/>
  <c r="K79" i="2" s="1"/>
  <c r="L79" i="2" s="1"/>
  <c r="H78" i="2"/>
  <c r="L525" i="2"/>
  <c r="K525" i="2"/>
  <c r="J525" i="2"/>
  <c r="I525" i="2"/>
  <c r="H525" i="2"/>
  <c r="L526" i="2"/>
  <c r="K526" i="2"/>
  <c r="J526" i="2"/>
  <c r="I526" i="2"/>
  <c r="H526" i="2"/>
  <c r="G527" i="2"/>
  <c r="H522" i="2" s="1"/>
  <c r="G496" i="2"/>
  <c r="H494" i="2" s="1"/>
  <c r="H496" i="2" s="1"/>
  <c r="F23" i="2"/>
  <c r="G23" i="2"/>
  <c r="F21" i="2"/>
  <c r="G21" i="2"/>
  <c r="H511" i="2"/>
  <c r="I511" i="2" s="1"/>
  <c r="J511" i="2" s="1"/>
  <c r="K511" i="2" s="1"/>
  <c r="L511" i="2" s="1"/>
  <c r="B507" i="2"/>
  <c r="H83" i="2"/>
  <c r="I83" i="2" s="1"/>
  <c r="J83" i="2" s="1"/>
  <c r="K83" i="2" s="1"/>
  <c r="L83" i="2" s="1"/>
  <c r="H82" i="2"/>
  <c r="I82" i="2" s="1"/>
  <c r="J82" i="2" s="1"/>
  <c r="K82" i="2" s="1"/>
  <c r="L82" i="2" s="1"/>
  <c r="H81" i="2"/>
  <c r="I81" i="2" s="1"/>
  <c r="J81" i="2" s="1"/>
  <c r="K81" i="2" s="1"/>
  <c r="L81" i="2" s="1"/>
  <c r="H482" i="2"/>
  <c r="I482" i="2" s="1"/>
  <c r="J482" i="2" s="1"/>
  <c r="K482" i="2" s="1"/>
  <c r="L482" i="2" s="1"/>
  <c r="B478" i="2"/>
  <c r="L453" i="2"/>
  <c r="K453" i="2"/>
  <c r="J453" i="2"/>
  <c r="I453" i="2"/>
  <c r="H453" i="2"/>
  <c r="I451" i="2"/>
  <c r="J451" i="2" s="1"/>
  <c r="K451" i="2" s="1"/>
  <c r="L451" i="2" s="1"/>
  <c r="I450" i="2"/>
  <c r="J450" i="2" s="1"/>
  <c r="K450" i="2" s="1"/>
  <c r="L450" i="2" s="1"/>
  <c r="H444" i="2"/>
  <c r="G445" i="2"/>
  <c r="H439" i="2"/>
  <c r="H425" i="2"/>
  <c r="H17" i="2"/>
  <c r="I17" i="2" s="1"/>
  <c r="J17" i="2" s="1"/>
  <c r="K17" i="2" s="1"/>
  <c r="L17" i="2" s="1"/>
  <c r="G253" i="2"/>
  <c r="F253" i="2"/>
  <c r="G331" i="2"/>
  <c r="F331" i="2"/>
  <c r="F242" i="2"/>
  <c r="G243" i="2"/>
  <c r="F243" i="2"/>
  <c r="G242" i="2"/>
  <c r="F235" i="2"/>
  <c r="G235" i="2"/>
  <c r="H233" i="2"/>
  <c r="I233" i="2" s="1"/>
  <c r="J233" i="2" s="1"/>
  <c r="K233" i="2" s="1"/>
  <c r="L233" i="2" s="1"/>
  <c r="G292" i="2"/>
  <c r="F292" i="2"/>
  <c r="G291" i="2"/>
  <c r="F291" i="2"/>
  <c r="G283" i="2"/>
  <c r="G284" i="2" s="1"/>
  <c r="F283" i="2"/>
  <c r="F284" i="2" s="1"/>
  <c r="G281" i="2"/>
  <c r="F281" i="2"/>
  <c r="G280" i="2"/>
  <c r="F280" i="2"/>
  <c r="H273" i="2"/>
  <c r="I273" i="2" s="1"/>
  <c r="J273" i="2" s="1"/>
  <c r="K273" i="2" s="1"/>
  <c r="L273" i="2" s="1"/>
  <c r="B269" i="2"/>
  <c r="H422" i="2"/>
  <c r="I422" i="2" s="1"/>
  <c r="J422" i="2" s="1"/>
  <c r="K422" i="2" s="1"/>
  <c r="L422" i="2" s="1"/>
  <c r="B418" i="2"/>
  <c r="H411" i="2"/>
  <c r="H406" i="2" s="1"/>
  <c r="I406" i="2" s="1"/>
  <c r="G371" i="2"/>
  <c r="F371" i="2"/>
  <c r="G368" i="2"/>
  <c r="F368" i="2"/>
  <c r="G60" i="2"/>
  <c r="F60" i="2"/>
  <c r="H348" i="2"/>
  <c r="H344" i="2" s="1"/>
  <c r="H346" i="2" s="1"/>
  <c r="H350" i="2" s="1"/>
  <c r="H121" i="2" s="1"/>
  <c r="I316" i="2"/>
  <c r="J316" i="2" s="1"/>
  <c r="K316" i="2" s="1"/>
  <c r="L316" i="2" s="1"/>
  <c r="H336" i="2"/>
  <c r="H330" i="2" s="1"/>
  <c r="I330" i="2" s="1"/>
  <c r="H364" i="2"/>
  <c r="B360" i="2"/>
  <c r="H309" i="2"/>
  <c r="B305" i="2"/>
  <c r="G217" i="2"/>
  <c r="F217" i="2"/>
  <c r="G198" i="2"/>
  <c r="H227" i="2"/>
  <c r="I227" i="2" s="1"/>
  <c r="J227" i="2" s="1"/>
  <c r="K227" i="2" s="1"/>
  <c r="L227" i="2" s="1"/>
  <c r="B223" i="2"/>
  <c r="G202" i="2"/>
  <c r="G204" i="2" s="1"/>
  <c r="G220" i="2" s="1"/>
  <c r="G221" i="2" s="1"/>
  <c r="G238" i="2" s="1"/>
  <c r="G187" i="2"/>
  <c r="G189" i="2" s="1"/>
  <c r="L314" i="2"/>
  <c r="K314" i="2"/>
  <c r="J314" i="2"/>
  <c r="I314" i="2"/>
  <c r="H314" i="2"/>
  <c r="H317" i="2" s="1"/>
  <c r="H349" i="2" s="1"/>
  <c r="G213" i="2"/>
  <c r="H182" i="2"/>
  <c r="I182" i="2" s="1"/>
  <c r="J182" i="2" s="1"/>
  <c r="K182" i="2" s="1"/>
  <c r="L182" i="2" s="1"/>
  <c r="B178" i="2"/>
  <c r="G74" i="2"/>
  <c r="F74" i="2"/>
  <c r="F151" i="2" s="1"/>
  <c r="G72" i="2"/>
  <c r="G163" i="2" s="1"/>
  <c r="F72" i="2"/>
  <c r="F163" i="2" s="1"/>
  <c r="H138" i="2"/>
  <c r="I138" i="2" s="1"/>
  <c r="J138" i="2" s="1"/>
  <c r="K138" i="2" s="1"/>
  <c r="L138" i="2" s="1"/>
  <c r="B134" i="2"/>
  <c r="H94" i="2"/>
  <c r="I94" i="2" s="1"/>
  <c r="J94" i="2" s="1"/>
  <c r="K94" i="2" s="1"/>
  <c r="L94" i="2" s="1"/>
  <c r="B90" i="2"/>
  <c r="G57" i="2"/>
  <c r="F57" i="2"/>
  <c r="B45" i="2"/>
  <c r="B3" i="2"/>
  <c r="H49" i="2"/>
  <c r="I49" i="2" s="1"/>
  <c r="J49" i="2" s="1"/>
  <c r="K49" i="2" s="1"/>
  <c r="L49" i="2" s="1"/>
  <c r="G30" i="2"/>
  <c r="F30" i="2"/>
  <c r="G12" i="2"/>
  <c r="F12" i="2"/>
  <c r="F13" i="2" s="1"/>
  <c r="B5" i="1"/>
  <c r="H7" i="2"/>
  <c r="I7" i="2" s="1"/>
  <c r="J7" i="2" s="1"/>
  <c r="K7" i="2" s="1"/>
  <c r="L7" i="2" s="1"/>
  <c r="D43" i="4" l="1"/>
  <c r="D67" i="4"/>
  <c r="D66" i="4"/>
  <c r="D71" i="4" s="1"/>
  <c r="D27" i="4" s="1"/>
  <c r="D28" i="4" s="1"/>
  <c r="D33" i="4" s="1"/>
  <c r="J20" i="4"/>
  <c r="H235" i="2"/>
  <c r="G299" i="2"/>
  <c r="H299" i="2" s="1"/>
  <c r="I299" i="2" s="1"/>
  <c r="J299" i="2" s="1"/>
  <c r="K299" i="2" s="1"/>
  <c r="L299" i="2" s="1"/>
  <c r="G162" i="2"/>
  <c r="G161" i="2"/>
  <c r="F162" i="2"/>
  <c r="F161" i="2"/>
  <c r="H107" i="2"/>
  <c r="F299" i="2"/>
  <c r="H459" i="2"/>
  <c r="I78" i="2"/>
  <c r="I107" i="2" s="1"/>
  <c r="I494" i="2"/>
  <c r="I496" i="2" s="1"/>
  <c r="H75" i="2"/>
  <c r="K76" i="2"/>
  <c r="G244" i="2"/>
  <c r="G245" i="2" s="1"/>
  <c r="G250" i="2" s="1"/>
  <c r="G22" i="2"/>
  <c r="G24" i="2" s="1"/>
  <c r="F244" i="2"/>
  <c r="F245" i="2" s="1"/>
  <c r="F250" i="2" s="1"/>
  <c r="F22" i="2"/>
  <c r="F24" i="2" s="1"/>
  <c r="I444" i="2"/>
  <c r="G261" i="2"/>
  <c r="H261" i="2" s="1"/>
  <c r="I261" i="2" s="1"/>
  <c r="J261" i="2" s="1"/>
  <c r="K261" i="2" s="1"/>
  <c r="L261" i="2" s="1"/>
  <c r="G260" i="2"/>
  <c r="H260" i="2" s="1"/>
  <c r="I260" i="2" s="1"/>
  <c r="J260" i="2" s="1"/>
  <c r="K260" i="2" s="1"/>
  <c r="L260" i="2" s="1"/>
  <c r="G259" i="2"/>
  <c r="H259" i="2" s="1"/>
  <c r="I259" i="2" s="1"/>
  <c r="J259" i="2" s="1"/>
  <c r="K259" i="2" s="1"/>
  <c r="L259" i="2" s="1"/>
  <c r="F261" i="2"/>
  <c r="F260" i="2"/>
  <c r="F259" i="2"/>
  <c r="G298" i="2"/>
  <c r="F298" i="2"/>
  <c r="G300" i="2"/>
  <c r="G296" i="2"/>
  <c r="H296" i="2" s="1"/>
  <c r="F300" i="2"/>
  <c r="F296" i="2"/>
  <c r="G295" i="2"/>
  <c r="H295" i="2" s="1"/>
  <c r="F295" i="2"/>
  <c r="G282" i="2"/>
  <c r="G285" i="2" s="1"/>
  <c r="G294" i="2"/>
  <c r="H294" i="2" s="1"/>
  <c r="F282" i="2"/>
  <c r="F294" i="2"/>
  <c r="H384" i="2"/>
  <c r="H389" i="2"/>
  <c r="J406" i="2"/>
  <c r="I364" i="2"/>
  <c r="H352" i="2"/>
  <c r="F64" i="2"/>
  <c r="G64" i="2"/>
  <c r="I317" i="2"/>
  <c r="I349" i="2" s="1"/>
  <c r="J330" i="2"/>
  <c r="K330" i="2" s="1"/>
  <c r="L330" i="2" s="1"/>
  <c r="I309" i="2"/>
  <c r="H337" i="2"/>
  <c r="G18" i="2"/>
  <c r="G150" i="2" s="1"/>
  <c r="G13" i="2"/>
  <c r="G218" i="2"/>
  <c r="J317" i="2"/>
  <c r="J349" i="2" s="1"/>
  <c r="G190" i="2"/>
  <c r="G195" i="2" s="1"/>
  <c r="G196" i="2" s="1"/>
  <c r="G193" i="2" s="1"/>
  <c r="H193" i="2" s="1"/>
  <c r="H187" i="2"/>
  <c r="H189" i="2" s="1"/>
  <c r="G205" i="2"/>
  <c r="H202" i="2"/>
  <c r="H204" i="2" s="1"/>
  <c r="H220" i="2" s="1"/>
  <c r="H221" i="2" s="1"/>
  <c r="G80" i="2"/>
  <c r="G85" i="2" s="1"/>
  <c r="F80" i="2"/>
  <c r="F85" i="2" s="1"/>
  <c r="F18" i="2"/>
  <c r="F150" i="2" s="1"/>
  <c r="H238" i="2" l="1"/>
  <c r="H249" i="2"/>
  <c r="K20" i="4"/>
  <c r="I235" i="2"/>
  <c r="H236" i="2"/>
  <c r="I348" i="2"/>
  <c r="I344" i="2" s="1"/>
  <c r="I346" i="2" s="1"/>
  <c r="I350" i="2" s="1"/>
  <c r="I352" i="2" s="1"/>
  <c r="J78" i="2"/>
  <c r="J107" i="2" s="1"/>
  <c r="I75" i="2"/>
  <c r="J494" i="2"/>
  <c r="J496" i="2" s="1"/>
  <c r="F86" i="2"/>
  <c r="G86" i="2"/>
  <c r="L76" i="2"/>
  <c r="F25" i="2"/>
  <c r="G25" i="2"/>
  <c r="G151" i="2" s="1"/>
  <c r="J444" i="2"/>
  <c r="J309" i="2"/>
  <c r="I295" i="2"/>
  <c r="J295" i="2" s="1"/>
  <c r="I296" i="2"/>
  <c r="I294" i="2"/>
  <c r="K406" i="2"/>
  <c r="L406" i="2" s="1"/>
  <c r="J364" i="2"/>
  <c r="I384" i="2"/>
  <c r="J384" i="2" s="1"/>
  <c r="K384" i="2" s="1"/>
  <c r="L384" i="2" s="1"/>
  <c r="I337" i="2"/>
  <c r="G19" i="2"/>
  <c r="G143" i="2" s="1"/>
  <c r="G32" i="2"/>
  <c r="J337" i="2"/>
  <c r="K317" i="2"/>
  <c r="K349" i="2" s="1"/>
  <c r="L317" i="2"/>
  <c r="L349" i="2" s="1"/>
  <c r="G208" i="2"/>
  <c r="G210" i="2"/>
  <c r="I193" i="2"/>
  <c r="H196" i="2"/>
  <c r="I187" i="2"/>
  <c r="I189" i="2" s="1"/>
  <c r="H190" i="2"/>
  <c r="H195" i="2" s="1"/>
  <c r="I202" i="2"/>
  <c r="I204" i="2" s="1"/>
  <c r="H205" i="2"/>
  <c r="H210" i="2" s="1"/>
  <c r="F19" i="2"/>
  <c r="F143" i="2" s="1"/>
  <c r="F32" i="2"/>
  <c r="I205" i="2" l="1"/>
  <c r="I210" i="2" s="1"/>
  <c r="I220" i="2"/>
  <c r="I221" i="2" s="1"/>
  <c r="L20" i="4"/>
  <c r="I236" i="2"/>
  <c r="J235" i="2"/>
  <c r="K309" i="2"/>
  <c r="L309" i="2" s="1"/>
  <c r="B324" i="2" a="1"/>
  <c r="F26" i="2"/>
  <c r="F144" i="2"/>
  <c r="G26" i="2"/>
  <c r="G144" i="2"/>
  <c r="H354" i="2"/>
  <c r="I121" i="2"/>
  <c r="J348" i="2"/>
  <c r="K78" i="2"/>
  <c r="K107" i="2" s="1"/>
  <c r="J75" i="2"/>
  <c r="K494" i="2"/>
  <c r="K496" i="2" s="1"/>
  <c r="G35" i="2"/>
  <c r="G36" i="2" s="1"/>
  <c r="G145" i="2" s="1"/>
  <c r="G487" i="2"/>
  <c r="G489" i="2" s="1"/>
  <c r="G146" i="2" s="1"/>
  <c r="F35" i="2"/>
  <c r="F36" i="2" s="1"/>
  <c r="F145" i="2" s="1"/>
  <c r="F487" i="2"/>
  <c r="F489" i="2" s="1"/>
  <c r="F146" i="2" s="1"/>
  <c r="K444" i="2"/>
  <c r="J296" i="2"/>
  <c r="K295" i="2"/>
  <c r="J294" i="2"/>
  <c r="K364" i="2"/>
  <c r="H197" i="2"/>
  <c r="H198" i="2" s="1"/>
  <c r="I196" i="2"/>
  <c r="J193" i="2"/>
  <c r="J187" i="2"/>
  <c r="J189" i="2" s="1"/>
  <c r="I190" i="2"/>
  <c r="I195" i="2" s="1"/>
  <c r="L337" i="2"/>
  <c r="K337" i="2"/>
  <c r="C324" i="2" a="1"/>
  <c r="H208" i="2"/>
  <c r="G211" i="2"/>
  <c r="J202" i="2"/>
  <c r="J204" i="2" s="1"/>
  <c r="I238" i="2" l="1"/>
  <c r="I249" i="2"/>
  <c r="J205" i="2"/>
  <c r="J210" i="2" s="1"/>
  <c r="J220" i="2"/>
  <c r="J221" i="2" s="1"/>
  <c r="J236" i="2"/>
  <c r="K235" i="2"/>
  <c r="J344" i="2"/>
  <c r="J346" i="2" s="1"/>
  <c r="J350" i="2" s="1"/>
  <c r="J352" i="2" s="1"/>
  <c r="K348" i="2" s="1"/>
  <c r="K344" i="2" s="1"/>
  <c r="K346" i="2" s="1"/>
  <c r="K350" i="2" s="1"/>
  <c r="H355" i="2"/>
  <c r="H77" i="2" s="1"/>
  <c r="H70" i="2"/>
  <c r="L78" i="2"/>
  <c r="L107" i="2" s="1"/>
  <c r="K75" i="2"/>
  <c r="L494" i="2"/>
  <c r="L496" i="2" s="1"/>
  <c r="L75" i="2" s="1"/>
  <c r="L444" i="2"/>
  <c r="K296" i="2"/>
  <c r="I197" i="2"/>
  <c r="I198" i="2" s="1"/>
  <c r="L295" i="2"/>
  <c r="K294" i="2"/>
  <c r="L364" i="2"/>
  <c r="J196" i="2"/>
  <c r="K193" i="2"/>
  <c r="J190" i="2"/>
  <c r="J195" i="2" s="1"/>
  <c r="K187" i="2"/>
  <c r="K189" i="2" s="1"/>
  <c r="L328" i="2"/>
  <c r="K327" i="2"/>
  <c r="L327" i="2" s="1"/>
  <c r="J326" i="2"/>
  <c r="K326" i="2" s="1"/>
  <c r="L326" i="2" s="1"/>
  <c r="I325" i="2"/>
  <c r="J325" i="2" s="1"/>
  <c r="K325" i="2" s="1"/>
  <c r="L325" i="2" s="1"/>
  <c r="H324" i="2"/>
  <c r="I208" i="2"/>
  <c r="H211" i="2"/>
  <c r="H212" i="2" s="1"/>
  <c r="K202" i="2"/>
  <c r="K204" i="2" s="1"/>
  <c r="J238" i="2" l="1"/>
  <c r="J249" i="2"/>
  <c r="K205" i="2"/>
  <c r="K210" i="2" s="1"/>
  <c r="K220" i="2"/>
  <c r="K221" i="2" s="1"/>
  <c r="K236" i="2"/>
  <c r="L235" i="2"/>
  <c r="L236" i="2" s="1"/>
  <c r="I354" i="2"/>
  <c r="J121" i="2"/>
  <c r="K121" i="2"/>
  <c r="K352" i="2"/>
  <c r="L348" i="2" s="1"/>
  <c r="L344" i="2" s="1"/>
  <c r="L346" i="2" s="1"/>
  <c r="L350" i="2" s="1"/>
  <c r="J354" i="2"/>
  <c r="B378" i="2" a="1"/>
  <c r="B400" i="2" a="1"/>
  <c r="L296" i="2"/>
  <c r="L294" i="2"/>
  <c r="J197" i="2"/>
  <c r="J198" i="2" s="1"/>
  <c r="K196" i="2"/>
  <c r="L193" i="2"/>
  <c r="L196" i="2" s="1"/>
  <c r="K190" i="2"/>
  <c r="K195" i="2" s="1"/>
  <c r="L187" i="2"/>
  <c r="L189" i="2" s="1"/>
  <c r="L190" i="2" s="1"/>
  <c r="L195" i="2" s="1"/>
  <c r="H329" i="2"/>
  <c r="H331" i="2" s="1"/>
  <c r="I324" i="2"/>
  <c r="H213" i="2"/>
  <c r="H217" i="2"/>
  <c r="J208" i="2"/>
  <c r="I211" i="2"/>
  <c r="I212" i="2" s="1"/>
  <c r="L202" i="2"/>
  <c r="L204" i="2" s="1"/>
  <c r="K238" i="2" l="1"/>
  <c r="K249" i="2"/>
  <c r="L205" i="2"/>
  <c r="L210" i="2" s="1"/>
  <c r="L220" i="2"/>
  <c r="L221" i="2" s="1"/>
  <c r="I355" i="2"/>
  <c r="I77" i="2" s="1"/>
  <c r="I70" i="2"/>
  <c r="J355" i="2"/>
  <c r="J77" i="2" s="1"/>
  <c r="J70" i="2"/>
  <c r="L121" i="2"/>
  <c r="L352" i="2"/>
  <c r="K354" i="2"/>
  <c r="H244" i="2"/>
  <c r="H22" i="2"/>
  <c r="K197" i="2"/>
  <c r="K198" i="2" s="1"/>
  <c r="H338" i="2"/>
  <c r="H340" i="2" s="1"/>
  <c r="H62" i="2" s="1"/>
  <c r="H101" i="2"/>
  <c r="L197" i="2"/>
  <c r="I329" i="2"/>
  <c r="I331" i="2" s="1"/>
  <c r="J324" i="2"/>
  <c r="H10" i="2"/>
  <c r="H218" i="2"/>
  <c r="I213" i="2"/>
  <c r="I217" i="2"/>
  <c r="K208" i="2"/>
  <c r="J211" i="2"/>
  <c r="J212" i="2" s="1"/>
  <c r="L238" i="2" l="1"/>
  <c r="L249" i="2"/>
  <c r="L354" i="2"/>
  <c r="K70" i="2"/>
  <c r="K355" i="2"/>
  <c r="K77" i="2" s="1"/>
  <c r="I244" i="2"/>
  <c r="I22" i="2"/>
  <c r="H291" i="2"/>
  <c r="H280" i="2" s="1"/>
  <c r="H427" i="2"/>
  <c r="H428" i="2" s="1"/>
  <c r="H240" i="2"/>
  <c r="H250" i="2"/>
  <c r="L198" i="2"/>
  <c r="I336" i="2"/>
  <c r="I338" i="2"/>
  <c r="I101" i="2"/>
  <c r="H367" i="2"/>
  <c r="H113" i="2" s="1"/>
  <c r="H370" i="2"/>
  <c r="H114" i="2" s="1"/>
  <c r="J329" i="2"/>
  <c r="J331" i="2" s="1"/>
  <c r="K324" i="2"/>
  <c r="I10" i="2"/>
  <c r="I218" i="2"/>
  <c r="J213" i="2"/>
  <c r="J217" i="2"/>
  <c r="L208" i="2"/>
  <c r="L211" i="2" s="1"/>
  <c r="L212" i="2" s="1"/>
  <c r="K211" i="2"/>
  <c r="K212" i="2" s="1"/>
  <c r="L355" i="2" l="1"/>
  <c r="L77" i="2" s="1"/>
  <c r="L70" i="2"/>
  <c r="H298" i="2"/>
  <c r="H55" i="2"/>
  <c r="J244" i="2"/>
  <c r="J22" i="2"/>
  <c r="H115" i="2"/>
  <c r="H15" i="4" s="1"/>
  <c r="H390" i="2"/>
  <c r="H412" i="2"/>
  <c r="I291" i="2"/>
  <c r="I280" i="2" s="1"/>
  <c r="I427" i="2"/>
  <c r="I340" i="2"/>
  <c r="I240" i="2"/>
  <c r="I250" i="2"/>
  <c r="J338" i="2"/>
  <c r="J101" i="2"/>
  <c r="I367" i="2"/>
  <c r="I113" i="2" s="1"/>
  <c r="I370" i="2"/>
  <c r="I114" i="2" s="1"/>
  <c r="L324" i="2"/>
  <c r="L329" i="2" s="1"/>
  <c r="L331" i="2" s="1"/>
  <c r="K329" i="2"/>
  <c r="K331" i="2" s="1"/>
  <c r="J10" i="2"/>
  <c r="J218" i="2"/>
  <c r="L213" i="2"/>
  <c r="L217" i="2"/>
  <c r="K213" i="2"/>
  <c r="K217" i="2"/>
  <c r="I115" i="2" l="1"/>
  <c r="I15" i="4" s="1"/>
  <c r="I55" i="2"/>
  <c r="I298" i="2"/>
  <c r="L244" i="2"/>
  <c r="L22" i="2"/>
  <c r="K244" i="2"/>
  <c r="K22" i="2"/>
  <c r="I390" i="2"/>
  <c r="I412" i="2"/>
  <c r="J291" i="2"/>
  <c r="J280" i="2" s="1"/>
  <c r="J427" i="2"/>
  <c r="J336" i="2"/>
  <c r="J340" i="2" s="1"/>
  <c r="I62" i="2"/>
  <c r="J240" i="2"/>
  <c r="J250" i="2"/>
  <c r="L338" i="2"/>
  <c r="L101" i="2"/>
  <c r="K338" i="2"/>
  <c r="K101" i="2"/>
  <c r="J367" i="2"/>
  <c r="J113" i="2" s="1"/>
  <c r="J370" i="2"/>
  <c r="J114" i="2" s="1"/>
  <c r="L10" i="2"/>
  <c r="L218" i="2"/>
  <c r="K10" i="2"/>
  <c r="K218" i="2"/>
  <c r="J298" i="2" l="1"/>
  <c r="J55" i="2"/>
  <c r="J115" i="2"/>
  <c r="J15" i="4" s="1"/>
  <c r="J390" i="2"/>
  <c r="J412" i="2"/>
  <c r="L291" i="2"/>
  <c r="L280" i="2" s="1"/>
  <c r="L427" i="2"/>
  <c r="K291" i="2"/>
  <c r="K280" i="2" s="1"/>
  <c r="K427" i="2"/>
  <c r="K336" i="2"/>
  <c r="K340" i="2" s="1"/>
  <c r="J62" i="2"/>
  <c r="K240" i="2"/>
  <c r="K250" i="2"/>
  <c r="L367" i="2"/>
  <c r="L113" i="2" s="1"/>
  <c r="L370" i="2"/>
  <c r="L114" i="2" s="1"/>
  <c r="K367" i="2"/>
  <c r="K113" i="2" s="1"/>
  <c r="K370" i="2"/>
  <c r="K114" i="2" s="1"/>
  <c r="L55" i="2" l="1"/>
  <c r="L298" i="2"/>
  <c r="K298" i="2"/>
  <c r="K55" i="2"/>
  <c r="L115" i="2"/>
  <c r="L15" i="4" s="1"/>
  <c r="K115" i="2"/>
  <c r="K15" i="4" s="1"/>
  <c r="L412" i="2"/>
  <c r="K390" i="2"/>
  <c r="L240" i="2"/>
  <c r="L250" i="2"/>
  <c r="K62" i="2"/>
  <c r="L336" i="2"/>
  <c r="L340" i="2" s="1"/>
  <c r="L62" i="2" s="1"/>
  <c r="L390" i="2"/>
  <c r="C378" i="2" a="1"/>
  <c r="H378" i="2" s="1"/>
  <c r="C400" i="2" a="1"/>
  <c r="K412" i="2"/>
  <c r="K381" i="2" l="1"/>
  <c r="L381" i="2" s="1"/>
  <c r="I379" i="2"/>
  <c r="J379" i="2" s="1"/>
  <c r="K379" i="2" s="1"/>
  <c r="L379" i="2" s="1"/>
  <c r="J380" i="2"/>
  <c r="K380" i="2" s="1"/>
  <c r="L380" i="2" s="1"/>
  <c r="L382" i="2"/>
  <c r="I401" i="2"/>
  <c r="K403" i="2"/>
  <c r="L403" i="2" s="1"/>
  <c r="J402" i="2"/>
  <c r="K402" i="2" s="1"/>
  <c r="L402" i="2" s="1"/>
  <c r="L404" i="2"/>
  <c r="H400" i="2"/>
  <c r="H383" i="2" l="1"/>
  <c r="H385" i="2" s="1"/>
  <c r="I378" i="2"/>
  <c r="J401" i="2"/>
  <c r="K401" i="2" s="1"/>
  <c r="L401" i="2" s="1"/>
  <c r="I400" i="2"/>
  <c r="H405" i="2"/>
  <c r="H407" i="2" s="1"/>
  <c r="H242" i="2" l="1"/>
  <c r="H21" i="2"/>
  <c r="H102" i="2"/>
  <c r="H23" i="2"/>
  <c r="H413" i="2"/>
  <c r="H414" i="2" s="1"/>
  <c r="H243" i="2"/>
  <c r="I383" i="2"/>
  <c r="I385" i="2" s="1"/>
  <c r="J378" i="2"/>
  <c r="H391" i="2"/>
  <c r="H393" i="2" s="1"/>
  <c r="H100" i="2"/>
  <c r="J400" i="2"/>
  <c r="K400" i="2" s="1"/>
  <c r="L400" i="2" s="1"/>
  <c r="I405" i="2"/>
  <c r="I407" i="2" s="1"/>
  <c r="H103" i="2" l="1"/>
  <c r="H24" i="2"/>
  <c r="H14" i="4" s="1"/>
  <c r="H245" i="2"/>
  <c r="H253" i="2" s="1"/>
  <c r="I242" i="2"/>
  <c r="I21" i="2"/>
  <c r="I102" i="2"/>
  <c r="I23" i="2"/>
  <c r="I411" i="2"/>
  <c r="H61" i="2"/>
  <c r="I413" i="2"/>
  <c r="I243" i="2"/>
  <c r="I391" i="2"/>
  <c r="I100" i="2"/>
  <c r="J383" i="2"/>
  <c r="J385" i="2" s="1"/>
  <c r="J21" i="2" s="1"/>
  <c r="K378" i="2"/>
  <c r="H60" i="2"/>
  <c r="I389" i="2"/>
  <c r="J405" i="2"/>
  <c r="J407" i="2" s="1"/>
  <c r="K405" i="2"/>
  <c r="K407" i="2" s="1"/>
  <c r="L405" i="2"/>
  <c r="L407" i="2" s="1"/>
  <c r="I103" i="2" l="1"/>
  <c r="I245" i="2"/>
  <c r="I253" i="2" s="1"/>
  <c r="H266" i="2"/>
  <c r="H16" i="2" s="1"/>
  <c r="H265" i="2"/>
  <c r="H15" i="2" s="1"/>
  <c r="H264" i="2"/>
  <c r="H11" i="2" s="1"/>
  <c r="I24" i="2"/>
  <c r="I14" i="4" s="1"/>
  <c r="J102" i="2"/>
  <c r="J23" i="2"/>
  <c r="J24" i="2" s="1"/>
  <c r="J14" i="4" s="1"/>
  <c r="K102" i="2"/>
  <c r="K23" i="2"/>
  <c r="L102" i="2"/>
  <c r="L23" i="2"/>
  <c r="I414" i="2"/>
  <c r="J242" i="2"/>
  <c r="J391" i="2"/>
  <c r="J100" i="2"/>
  <c r="J413" i="2"/>
  <c r="J243" i="2"/>
  <c r="K413" i="2"/>
  <c r="K243" i="2"/>
  <c r="L413" i="2"/>
  <c r="L243" i="2"/>
  <c r="I393" i="2"/>
  <c r="L378" i="2"/>
  <c r="L383" i="2" s="1"/>
  <c r="L385" i="2" s="1"/>
  <c r="K383" i="2"/>
  <c r="K385" i="2" s="1"/>
  <c r="J103" i="2" l="1"/>
  <c r="I266" i="2"/>
  <c r="I16" i="2" s="1"/>
  <c r="I265" i="2"/>
  <c r="I15" i="2" s="1"/>
  <c r="I264" i="2"/>
  <c r="I11" i="2" s="1"/>
  <c r="H292" i="2"/>
  <c r="H12" i="2"/>
  <c r="L242" i="2"/>
  <c r="L245" i="2" s="1"/>
  <c r="L253" i="2" s="1"/>
  <c r="L21" i="2"/>
  <c r="L24" i="2" s="1"/>
  <c r="L14" i="4" s="1"/>
  <c r="K242" i="2"/>
  <c r="K245" i="2" s="1"/>
  <c r="K253" i="2" s="1"/>
  <c r="K21" i="2"/>
  <c r="K24" i="2" s="1"/>
  <c r="K14" i="4" s="1"/>
  <c r="J411" i="2"/>
  <c r="J414" i="2" s="1"/>
  <c r="I61" i="2"/>
  <c r="J245" i="2"/>
  <c r="J253" i="2" s="1"/>
  <c r="I60" i="2"/>
  <c r="J389" i="2"/>
  <c r="J393" i="2" s="1"/>
  <c r="L391" i="2"/>
  <c r="L100" i="2"/>
  <c r="L103" i="2" s="1"/>
  <c r="K100" i="2"/>
  <c r="K103" i="2" s="1"/>
  <c r="K391" i="2"/>
  <c r="H13" i="2" l="1"/>
  <c r="H18" i="2"/>
  <c r="H11" i="4" s="1"/>
  <c r="H13" i="4" s="1"/>
  <c r="L264" i="2"/>
  <c r="L11" i="2" s="1"/>
  <c r="L265" i="2"/>
  <c r="L15" i="2" s="1"/>
  <c r="L266" i="2"/>
  <c r="L16" i="2" s="1"/>
  <c r="I12" i="2"/>
  <c r="I292" i="2"/>
  <c r="H283" i="2"/>
  <c r="H281" i="2"/>
  <c r="K266" i="2"/>
  <c r="K16" i="2" s="1"/>
  <c r="K265" i="2"/>
  <c r="K15" i="2" s="1"/>
  <c r="K264" i="2"/>
  <c r="K11" i="2" s="1"/>
  <c r="J266" i="2"/>
  <c r="J16" i="2" s="1"/>
  <c r="J265" i="2"/>
  <c r="J15" i="2" s="1"/>
  <c r="J264" i="2"/>
  <c r="J11" i="2" s="1"/>
  <c r="K411" i="2"/>
  <c r="K414" i="2" s="1"/>
  <c r="J61" i="2"/>
  <c r="K389" i="2"/>
  <c r="K393" i="2" s="1"/>
  <c r="J60" i="2"/>
  <c r="H25" i="2" l="1"/>
  <c r="H19" i="2"/>
  <c r="H143" i="2" s="1"/>
  <c r="L12" i="2"/>
  <c r="L292" i="2"/>
  <c r="H282" i="2"/>
  <c r="H54" i="2"/>
  <c r="I18" i="2"/>
  <c r="I11" i="4" s="1"/>
  <c r="I13" i="4" s="1"/>
  <c r="I13" i="2"/>
  <c r="I283" i="2"/>
  <c r="I281" i="2"/>
  <c r="H68" i="2"/>
  <c r="H72" i="2" s="1"/>
  <c r="H300" i="2"/>
  <c r="H284" i="2"/>
  <c r="K12" i="2"/>
  <c r="K292" i="2"/>
  <c r="J12" i="2"/>
  <c r="J292" i="2"/>
  <c r="L411" i="2"/>
  <c r="L414" i="2" s="1"/>
  <c r="L61" i="2" s="1"/>
  <c r="K61" i="2"/>
  <c r="L389" i="2"/>
  <c r="L393" i="2" s="1"/>
  <c r="L60" i="2" s="1"/>
  <c r="K60" i="2"/>
  <c r="H144" i="2" l="1"/>
  <c r="H26" i="2"/>
  <c r="H285" i="2"/>
  <c r="H286" i="2" s="1"/>
  <c r="L13" i="2"/>
  <c r="L18" i="2"/>
  <c r="L11" i="4" s="1"/>
  <c r="L13" i="4" s="1"/>
  <c r="L283" i="2"/>
  <c r="L281" i="2"/>
  <c r="I25" i="2"/>
  <c r="I19" i="2"/>
  <c r="I143" i="2" s="1"/>
  <c r="I68" i="2"/>
  <c r="I72" i="2" s="1"/>
  <c r="I300" i="2"/>
  <c r="I284" i="2"/>
  <c r="I282" i="2"/>
  <c r="I54" i="2"/>
  <c r="K18" i="2"/>
  <c r="K11" i="4" s="1"/>
  <c r="K13" i="4" s="1"/>
  <c r="K13" i="2"/>
  <c r="K283" i="2"/>
  <c r="K68" i="2" s="1"/>
  <c r="K72" i="2" s="1"/>
  <c r="K281" i="2"/>
  <c r="J18" i="2"/>
  <c r="J11" i="4" s="1"/>
  <c r="J13" i="4" s="1"/>
  <c r="J13" i="2"/>
  <c r="J283" i="2"/>
  <c r="J68" i="2" s="1"/>
  <c r="J72" i="2" s="1"/>
  <c r="J281" i="2"/>
  <c r="H104" i="2" l="1"/>
  <c r="H108" i="2" s="1"/>
  <c r="H16" i="4"/>
  <c r="H17" i="4" s="1"/>
  <c r="H21" i="4" s="1"/>
  <c r="I26" i="2"/>
  <c r="I144" i="2"/>
  <c r="K25" i="2"/>
  <c r="J25" i="2"/>
  <c r="L68" i="2"/>
  <c r="L72" i="2" s="1"/>
  <c r="L300" i="2"/>
  <c r="L284" i="2"/>
  <c r="L54" i="2"/>
  <c r="L282" i="2"/>
  <c r="L25" i="2"/>
  <c r="L19" i="2"/>
  <c r="L143" i="2" s="1"/>
  <c r="I285" i="2"/>
  <c r="I286" i="2" s="1"/>
  <c r="K282" i="2"/>
  <c r="K54" i="2"/>
  <c r="J282" i="2"/>
  <c r="J54" i="2"/>
  <c r="K300" i="2"/>
  <c r="K284" i="2"/>
  <c r="J300" i="2"/>
  <c r="J284" i="2"/>
  <c r="K19" i="2"/>
  <c r="K143" i="2" s="1"/>
  <c r="J19" i="2"/>
  <c r="J143" i="2" s="1"/>
  <c r="I104" i="2" l="1"/>
  <c r="I108" i="2" s="1"/>
  <c r="I16" i="4"/>
  <c r="I17" i="4" s="1"/>
  <c r="I21" i="4" s="1"/>
  <c r="K144" i="2"/>
  <c r="K26" i="2"/>
  <c r="J144" i="2"/>
  <c r="J26" i="2"/>
  <c r="L26" i="2"/>
  <c r="L144" i="2"/>
  <c r="L285" i="2"/>
  <c r="J285" i="2"/>
  <c r="J286" i="2" s="1"/>
  <c r="K285" i="2"/>
  <c r="J104" i="2" l="1"/>
  <c r="J108" i="2" s="1"/>
  <c r="J16" i="4"/>
  <c r="J17" i="4" s="1"/>
  <c r="J21" i="4" s="1"/>
  <c r="L286" i="2"/>
  <c r="K286" i="2"/>
  <c r="L104" i="2" l="1"/>
  <c r="L108" i="2" s="1"/>
  <c r="L16" i="4"/>
  <c r="L17" i="4" s="1"/>
  <c r="K104" i="2"/>
  <c r="K108" i="2" s="1"/>
  <c r="K16" i="4"/>
  <c r="K17" i="4" s="1"/>
  <c r="K21" i="4" s="1"/>
  <c r="H460" i="2"/>
  <c r="H466" i="2" s="1"/>
  <c r="H28" i="2" s="1"/>
  <c r="D39" i="4" l="1"/>
  <c r="L21" i="4"/>
  <c r="D38" i="4" s="1"/>
  <c r="D40" i="4" s="1"/>
  <c r="D45" i="4" s="1"/>
  <c r="D46" i="4" s="1"/>
  <c r="H29" i="2"/>
  <c r="H150" i="2" l="1"/>
  <c r="H30" i="2"/>
  <c r="H32" i="2" s="1"/>
  <c r="H487" i="2" s="1"/>
  <c r="H490" i="2" s="1"/>
  <c r="H502" i="2" l="1"/>
  <c r="H34" i="2" s="1"/>
  <c r="H35" i="2" s="1"/>
  <c r="H39" i="2" s="1"/>
  <c r="H501" i="2"/>
  <c r="H517" i="2" l="1"/>
  <c r="H518" i="2" s="1"/>
  <c r="H99" i="2"/>
  <c r="H109" i="2" s="1"/>
  <c r="H36" i="2"/>
  <c r="H145" i="2" s="1"/>
  <c r="H523" i="2"/>
  <c r="H429" i="2" l="1"/>
  <c r="H430" i="2" s="1"/>
  <c r="H431" i="2" s="1"/>
  <c r="H167" i="2"/>
  <c r="H122" i="2"/>
  <c r="H524" i="2"/>
  <c r="H527" i="2" s="1"/>
  <c r="H168" i="2" l="1"/>
  <c r="H169" i="2"/>
  <c r="H434" i="2"/>
  <c r="H441" i="2" s="1"/>
  <c r="H120" i="2" s="1"/>
  <c r="H440" i="2"/>
  <c r="H84" i="2"/>
  <c r="I522" i="2"/>
  <c r="H173" i="2" l="1"/>
  <c r="H174" i="2"/>
  <c r="H119" i="2"/>
  <c r="H125" i="2" s="1"/>
  <c r="H128" i="2" s="1"/>
  <c r="H129" i="2" s="1"/>
  <c r="H442" i="2"/>
  <c r="I127" i="2" l="1"/>
  <c r="H56" i="2"/>
  <c r="H73" i="2"/>
  <c r="H74" i="2" s="1"/>
  <c r="H151" i="2" s="1"/>
  <c r="H445" i="2"/>
  <c r="H457" i="2" s="1"/>
  <c r="I439" i="2"/>
  <c r="I459" i="2" s="1"/>
  <c r="I465" i="2" l="1"/>
  <c r="H163" i="2"/>
  <c r="H152" i="2"/>
  <c r="H57" i="2"/>
  <c r="I425" i="2"/>
  <c r="I428" i="2" s="1"/>
  <c r="H80" i="2"/>
  <c r="H85" i="2" s="1"/>
  <c r="H156" i="2"/>
  <c r="H64" i="2" l="1"/>
  <c r="H162" i="2"/>
  <c r="H161" i="2"/>
  <c r="H175" i="2" l="1"/>
  <c r="H86" i="2"/>
  <c r="I460" i="2" l="1"/>
  <c r="I466" i="2" s="1"/>
  <c r="I28" i="2" s="1"/>
  <c r="I29" i="2" l="1"/>
  <c r="I150" i="2" l="1"/>
  <c r="I30" i="2"/>
  <c r="I32" i="2" s="1"/>
  <c r="I487" i="2" s="1"/>
  <c r="I490" i="2" s="1"/>
  <c r="I502" i="2" l="1"/>
  <c r="I34" i="2" s="1"/>
  <c r="I35" i="2" s="1"/>
  <c r="I39" i="2" s="1"/>
  <c r="I501" i="2"/>
  <c r="I517" i="2" l="1"/>
  <c r="I518" i="2" s="1"/>
  <c r="I36" i="2"/>
  <c r="I145" i="2" s="1"/>
  <c r="I523" i="2"/>
  <c r="I99" i="2"/>
  <c r="I109" i="2" s="1"/>
  <c r="I122" i="2" l="1"/>
  <c r="I524" i="2"/>
  <c r="I527" i="2" s="1"/>
  <c r="I429" i="2"/>
  <c r="I430" i="2" s="1"/>
  <c r="I431" i="2" s="1"/>
  <c r="I167" i="2"/>
  <c r="I168" i="2" l="1"/>
  <c r="I169" i="2"/>
  <c r="J522" i="2"/>
  <c r="I84" i="2"/>
  <c r="I434" i="2"/>
  <c r="I441" i="2" s="1"/>
  <c r="I120" i="2" s="1"/>
  <c r="I440" i="2"/>
  <c r="I119" i="2" s="1"/>
  <c r="I442" i="2" l="1"/>
  <c r="I125" i="2"/>
  <c r="I128" i="2" s="1"/>
  <c r="I129" i="2" s="1"/>
  <c r="I173" i="2"/>
  <c r="I174" i="2"/>
  <c r="I73" i="2" l="1"/>
  <c r="I74" i="2" s="1"/>
  <c r="I151" i="2" s="1"/>
  <c r="I445" i="2"/>
  <c r="I457" i="2" s="1"/>
  <c r="J439" i="2"/>
  <c r="J459" i="2" s="1"/>
  <c r="J460" i="2" s="1"/>
  <c r="J29" i="2" s="1"/>
  <c r="I56" i="2"/>
  <c r="I163" i="2" s="1"/>
  <c r="J127" i="2"/>
  <c r="I156" i="2" l="1"/>
  <c r="I152" i="2"/>
  <c r="J465" i="2"/>
  <c r="J466" i="2" s="1"/>
  <c r="J28" i="2" s="1"/>
  <c r="J30" i="2" s="1"/>
  <c r="J32" i="2" s="1"/>
  <c r="J487" i="2" s="1"/>
  <c r="J490" i="2" s="1"/>
  <c r="J501" i="2" s="1"/>
  <c r="I57" i="2"/>
  <c r="J425" i="2"/>
  <c r="J428" i="2" s="1"/>
  <c r="I80" i="2"/>
  <c r="I85" i="2" s="1"/>
  <c r="J150" i="2"/>
  <c r="I64" i="2" l="1"/>
  <c r="I162" i="2"/>
  <c r="I161" i="2"/>
  <c r="J502" i="2"/>
  <c r="J34" i="2" s="1"/>
  <c r="J35" i="2" s="1"/>
  <c r="J39" i="2" s="1"/>
  <c r="I175" i="2" l="1"/>
  <c r="I86" i="2"/>
  <c r="J99" i="2"/>
  <c r="J109" i="2" s="1"/>
  <c r="J517" i="2"/>
  <c r="J518" i="2" s="1"/>
  <c r="J36" i="2"/>
  <c r="J145" i="2" s="1"/>
  <c r="J523" i="2"/>
  <c r="J429" i="2" l="1"/>
  <c r="J430" i="2" s="1"/>
  <c r="J431" i="2" s="1"/>
  <c r="J167" i="2"/>
  <c r="J524" i="2"/>
  <c r="J527" i="2" s="1"/>
  <c r="J122" i="2"/>
  <c r="J84" i="2" l="1"/>
  <c r="K522" i="2"/>
  <c r="J440" i="2"/>
  <c r="J434" i="2"/>
  <c r="J441" i="2" s="1"/>
  <c r="J120" i="2" s="1"/>
  <c r="J169" i="2"/>
  <c r="J168" i="2"/>
  <c r="J173" i="2" l="1"/>
  <c r="J174" i="2"/>
  <c r="J442" i="2"/>
  <c r="J119" i="2"/>
  <c r="J125" i="2" s="1"/>
  <c r="J128" i="2" s="1"/>
  <c r="J129" i="2" s="1"/>
  <c r="K439" i="2" l="1"/>
  <c r="K459" i="2" s="1"/>
  <c r="K460" i="2" s="1"/>
  <c r="K29" i="2" s="1"/>
  <c r="K150" i="2" s="1"/>
  <c r="J445" i="2"/>
  <c r="J457" i="2" s="1"/>
  <c r="J73" i="2"/>
  <c r="J74" i="2" s="1"/>
  <c r="J151" i="2" s="1"/>
  <c r="K127" i="2"/>
  <c r="J56" i="2"/>
  <c r="J163" i="2" s="1"/>
  <c r="J156" i="2" l="1"/>
  <c r="J80" i="2"/>
  <c r="J85" i="2" s="1"/>
  <c r="J152" i="2"/>
  <c r="K425" i="2"/>
  <c r="K428" i="2" s="1"/>
  <c r="J57" i="2"/>
  <c r="K465" i="2"/>
  <c r="K466" i="2" s="1"/>
  <c r="K28" i="2" s="1"/>
  <c r="K30" i="2" s="1"/>
  <c r="K32" i="2" s="1"/>
  <c r="K487" i="2" s="1"/>
  <c r="K490" i="2" s="1"/>
  <c r="J64" i="2" l="1"/>
  <c r="J162" i="2"/>
  <c r="J161" i="2"/>
  <c r="K501" i="2"/>
  <c r="K502" i="2"/>
  <c r="K34" i="2" s="1"/>
  <c r="K35" i="2" s="1"/>
  <c r="K39" i="2" s="1"/>
  <c r="J86" i="2" l="1"/>
  <c r="J175" i="2"/>
  <c r="K517" i="2"/>
  <c r="K518" i="2" s="1"/>
  <c r="K523" i="2"/>
  <c r="K99" i="2"/>
  <c r="K109" i="2" s="1"/>
  <c r="K36" i="2"/>
  <c r="K145" i="2" s="1"/>
  <c r="K122" i="2" l="1"/>
  <c r="K524" i="2"/>
  <c r="K527" i="2" s="1"/>
  <c r="K429" i="2"/>
  <c r="K430" i="2" s="1"/>
  <c r="K431" i="2" s="1"/>
  <c r="K167" i="2"/>
  <c r="K169" i="2" l="1"/>
  <c r="K168" i="2"/>
  <c r="K434" i="2"/>
  <c r="K441" i="2" s="1"/>
  <c r="K120" i="2" s="1"/>
  <c r="K440" i="2"/>
  <c r="L522" i="2"/>
  <c r="K84" i="2"/>
  <c r="K119" i="2" l="1"/>
  <c r="K125" i="2" s="1"/>
  <c r="K128" i="2" s="1"/>
  <c r="K129" i="2" s="1"/>
  <c r="K442" i="2"/>
  <c r="K173" i="2"/>
  <c r="K174" i="2"/>
  <c r="K56" i="2" l="1"/>
  <c r="L127" i="2"/>
  <c r="L439" i="2"/>
  <c r="L459" i="2" s="1"/>
  <c r="L460" i="2" s="1"/>
  <c r="L29" i="2" s="1"/>
  <c r="L150" i="2" s="1"/>
  <c r="K73" i="2"/>
  <c r="K74" i="2" s="1"/>
  <c r="K151" i="2" s="1"/>
  <c r="K445" i="2"/>
  <c r="K457" i="2" s="1"/>
  <c r="L465" i="2" l="1"/>
  <c r="L466" i="2" s="1"/>
  <c r="L28" i="2" s="1"/>
  <c r="L30" i="2" s="1"/>
  <c r="L32" i="2" s="1"/>
  <c r="L487" i="2" s="1"/>
  <c r="L490" i="2" s="1"/>
  <c r="K57" i="2"/>
  <c r="K163" i="2"/>
  <c r="L425" i="2"/>
  <c r="L428" i="2" s="1"/>
  <c r="K152" i="2"/>
  <c r="K156" i="2"/>
  <c r="K80" i="2"/>
  <c r="K85" i="2" s="1"/>
  <c r="K162" i="2" l="1"/>
  <c r="K64" i="2"/>
  <c r="K161" i="2"/>
  <c r="L502" i="2"/>
  <c r="L34" i="2" s="1"/>
  <c r="L35" i="2" s="1"/>
  <c r="L39" i="2" s="1"/>
  <c r="L501" i="2"/>
  <c r="K175" i="2" l="1"/>
  <c r="K86" i="2"/>
  <c r="L36" i="2"/>
  <c r="L145" i="2" s="1"/>
  <c r="L517" i="2"/>
  <c r="L518" i="2" s="1"/>
  <c r="L523" i="2"/>
  <c r="L99" i="2"/>
  <c r="L109" i="2" s="1"/>
  <c r="L122" i="2" l="1"/>
  <c r="L524" i="2"/>
  <c r="L527" i="2" s="1"/>
  <c r="L84" i="2" s="1"/>
  <c r="L167" i="2"/>
  <c r="L429" i="2"/>
  <c r="L430" i="2" s="1"/>
  <c r="L431" i="2" s="1"/>
  <c r="L168" i="2" l="1"/>
  <c r="L169" i="2"/>
  <c r="L440" i="2"/>
  <c r="L434" i="2"/>
  <c r="L441" i="2" s="1"/>
  <c r="L120" i="2" s="1"/>
  <c r="L174" i="2"/>
  <c r="L173" i="2"/>
  <c r="L119" i="2" l="1"/>
  <c r="L125" i="2" s="1"/>
  <c r="L128" i="2" s="1"/>
  <c r="L129" i="2" s="1"/>
  <c r="L56" i="2" s="1"/>
  <c r="L442" i="2"/>
  <c r="L163" i="2" l="1"/>
  <c r="L57" i="2"/>
  <c r="L73" i="2"/>
  <c r="L74" i="2" s="1"/>
  <c r="L151" i="2" s="1"/>
  <c r="L445" i="2"/>
  <c r="L457" i="2" s="1"/>
  <c r="L161" i="2" l="1"/>
  <c r="L162" i="2"/>
  <c r="L64" i="2"/>
  <c r="L175" i="2" s="1"/>
  <c r="L152" i="2"/>
  <c r="L80" i="2"/>
  <c r="L85" i="2" s="1"/>
  <c r="L156" i="2"/>
  <c r="L8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<sst xmlns="http://schemas.openxmlformats.org/spreadsheetml/2006/main" count="484" uniqueCount="361">
  <si>
    <t>Modelled by Peter Hopkinson</t>
  </si>
  <si>
    <t>Financial Statements - Income Statement</t>
  </si>
  <si>
    <t>Other income</t>
  </si>
  <si>
    <t>Earning per share</t>
  </si>
  <si>
    <t xml:space="preserve"> - Basic</t>
  </si>
  <si>
    <t>Financial Statements - Balance Sheet</t>
  </si>
  <si>
    <t>Assets</t>
  </si>
  <si>
    <t>Taxation</t>
  </si>
  <si>
    <t>Lease liabilities</t>
  </si>
  <si>
    <t>Executive Summary / Key Metrics</t>
  </si>
  <si>
    <t>Revenue</t>
  </si>
  <si>
    <t>Finance income</t>
  </si>
  <si>
    <t>Revenue Schedule</t>
  </si>
  <si>
    <t>Inventories</t>
  </si>
  <si>
    <t>Trade and other payables</t>
  </si>
  <si>
    <t>Total Revenue</t>
  </si>
  <si>
    <t>Operating Cost Schedule</t>
  </si>
  <si>
    <t>Intangible assets</t>
  </si>
  <si>
    <t>Cash</t>
  </si>
  <si>
    <t>Borrowings</t>
  </si>
  <si>
    <t>ROU depreciation</t>
  </si>
  <si>
    <t>Closing ROU Assets</t>
  </si>
  <si>
    <t>Depreciation</t>
  </si>
  <si>
    <t>Total Depreciation</t>
  </si>
  <si>
    <t>Capital Expenditure</t>
  </si>
  <si>
    <t>Working Capital Schedule</t>
  </si>
  <si>
    <t>Inventory</t>
  </si>
  <si>
    <t>Change in NWC</t>
  </si>
  <si>
    <t>Debt Schedule</t>
  </si>
  <si>
    <t>Profit before tax</t>
  </si>
  <si>
    <t>Tax Schedule</t>
  </si>
  <si>
    <t>Amortization</t>
  </si>
  <si>
    <t>Additions</t>
  </si>
  <si>
    <t>Amortisation</t>
  </si>
  <si>
    <t>Cash tax paid</t>
  </si>
  <si>
    <t>Capital expenditure on PP&amp;E</t>
  </si>
  <si>
    <t>Additions to intangibles</t>
  </si>
  <si>
    <t>Cash flow from investing</t>
  </si>
  <si>
    <t>Lease principal payments</t>
  </si>
  <si>
    <t>Dividends</t>
  </si>
  <si>
    <t>Cash flow from financing</t>
  </si>
  <si>
    <t>Cash - Beginning of Period</t>
  </si>
  <si>
    <t>Cash Movement during the year</t>
  </si>
  <si>
    <t>Cash - End of Period</t>
  </si>
  <si>
    <t>PP&amp;E depreciation</t>
  </si>
  <si>
    <t>Share buybacks</t>
  </si>
  <si>
    <t>F = Forecast</t>
  </si>
  <si>
    <t>Financial Statements - Cash Flow Statement</t>
  </si>
  <si>
    <t>EBIT</t>
  </si>
  <si>
    <t>Net finance costs</t>
  </si>
  <si>
    <t>Net Profit</t>
  </si>
  <si>
    <t>Net Profit Margin</t>
  </si>
  <si>
    <t>Cash Tax Paid</t>
  </si>
  <si>
    <t>Share issuance</t>
  </si>
  <si>
    <t>Greggs</t>
  </si>
  <si>
    <t>Cost of Sales</t>
  </si>
  <si>
    <t>Gross profit</t>
  </si>
  <si>
    <t>Gross profit margin</t>
  </si>
  <si>
    <t>Distribution and selling costs</t>
  </si>
  <si>
    <t>Administrative expenses</t>
  </si>
  <si>
    <t>Depreciation and Amortization</t>
  </si>
  <si>
    <t>Finance expense</t>
  </si>
  <si>
    <t>(£m in millions)</t>
  </si>
  <si>
    <t>Fiscal Years Ending December 31</t>
  </si>
  <si>
    <t>H = Historical</t>
  </si>
  <si>
    <t>Liabiltiies and Shareholders Equity</t>
  </si>
  <si>
    <t>Trade and other receivables</t>
  </si>
  <si>
    <t>Cash and cash equivalents</t>
  </si>
  <si>
    <t>Current Assets</t>
  </si>
  <si>
    <t xml:space="preserve">   PP&amp;E, gross</t>
  </si>
  <si>
    <t xml:space="preserve">   (-) Accumulated depreciation</t>
  </si>
  <si>
    <t>PP&amp;E, net</t>
  </si>
  <si>
    <t>Total Assets</t>
  </si>
  <si>
    <t>Right-of-use assets</t>
  </si>
  <si>
    <t>Investments</t>
  </si>
  <si>
    <t>pence per share</t>
  </si>
  <si>
    <t>Current tax liabilities</t>
  </si>
  <si>
    <t>Short-term provisions</t>
  </si>
  <si>
    <t>Total Current Liabilities</t>
  </si>
  <si>
    <t>Total Debt</t>
  </si>
  <si>
    <t>Long term provisions</t>
  </si>
  <si>
    <t>Defined benefit pension liabilities</t>
  </si>
  <si>
    <t>Other payables</t>
  </si>
  <si>
    <t>Total liabilities</t>
  </si>
  <si>
    <t>Issued Capital</t>
  </si>
  <si>
    <t>Share premium account</t>
  </si>
  <si>
    <t>Capital redemption reserve</t>
  </si>
  <si>
    <t>Retained earnings</t>
  </si>
  <si>
    <t>Total Liabilities and Equity</t>
  </si>
  <si>
    <t>Net Income</t>
  </si>
  <si>
    <t>Income Statement Adjustments</t>
  </si>
  <si>
    <t>(Increase) / decrease in working capital</t>
  </si>
  <si>
    <t>Increase / (decrease) in DTL</t>
  </si>
  <si>
    <t>(Increase) / decrease in other assets</t>
  </si>
  <si>
    <t>Increase / (decrease) in other liabilities</t>
  </si>
  <si>
    <t>Balance Sheet Adjustments</t>
  </si>
  <si>
    <t>Operating Activities</t>
  </si>
  <si>
    <t>Investing Activities</t>
  </si>
  <si>
    <t>Borrowing Issuance</t>
  </si>
  <si>
    <t>Borrowing Repayments</t>
  </si>
  <si>
    <t>Financing Activities</t>
  </si>
  <si>
    <t>Growth Rate</t>
  </si>
  <si>
    <t>Closing Number of Stores</t>
  </si>
  <si>
    <t>Net Addition of Stores</t>
  </si>
  <si>
    <t>Average Number of Stores</t>
  </si>
  <si>
    <t>Revenue per Store</t>
  </si>
  <si>
    <t>Like-for-like sales growth</t>
  </si>
  <si>
    <t>Opening company-managed stores</t>
  </si>
  <si>
    <t>Opening franchise managed stores</t>
  </si>
  <si>
    <t>Revenue per store</t>
  </si>
  <si>
    <t>Revenue per store - franchised</t>
  </si>
  <si>
    <t>Company Managed Store Revenue</t>
  </si>
  <si>
    <t>Franchise Store Revenue</t>
  </si>
  <si>
    <t>Company Managed Revenue</t>
  </si>
  <si>
    <t>Revenue Growth</t>
  </si>
  <si>
    <t>Employment Costs</t>
  </si>
  <si>
    <t>Inventory Cost</t>
  </si>
  <si>
    <t>ROU Asset / Lease Liability Schedule</t>
  </si>
  <si>
    <t>PP&amp;E. Intangible Asset and Depreciation Schedule</t>
  </si>
  <si>
    <t>Number of New Stores</t>
  </si>
  <si>
    <t>Individual ROU Asset Value of Each New Store</t>
  </si>
  <si>
    <t>Lease Inflation</t>
  </si>
  <si>
    <t>ROU Additions</t>
  </si>
  <si>
    <t>(£m in millions), unless stated otherwise</t>
  </si>
  <si>
    <t>ROU Depreciation</t>
  </si>
  <si>
    <t>ROU disposals</t>
  </si>
  <si>
    <t>Opening ROU Assets</t>
  </si>
  <si>
    <t>Useful life (yrs)</t>
  </si>
  <si>
    <t>Midpoint convention</t>
  </si>
  <si>
    <t>Yes</t>
  </si>
  <si>
    <t>Average Lease Length (years)</t>
  </si>
  <si>
    <t>Depreciation of ROU additions</t>
  </si>
  <si>
    <t>Depreciation of Existing ROU Assets</t>
  </si>
  <si>
    <t>Total ROU depreciation expense</t>
  </si>
  <si>
    <t>ROU Assets</t>
  </si>
  <si>
    <t>Lease Liability</t>
  </si>
  <si>
    <t>Opening Lease Liability</t>
  </si>
  <si>
    <t>New Lease Liabilities</t>
  </si>
  <si>
    <t>Lease Liabiltiies</t>
  </si>
  <si>
    <t>Interest Rate on Leases</t>
  </si>
  <si>
    <t>Interest Accrued</t>
  </si>
  <si>
    <t>Lease Cash Payments</t>
  </si>
  <si>
    <t>Closing Lease Liability</t>
  </si>
  <si>
    <t>Capex / Revenue</t>
  </si>
  <si>
    <t>Depreciation (Straight-line)</t>
  </si>
  <si>
    <t>*Based on company guidance</t>
  </si>
  <si>
    <t>Depreciation of Capital Expenditure</t>
  </si>
  <si>
    <t>Depreciation of Existing Fixed Assets</t>
  </si>
  <si>
    <t>PP&amp;E Roll-Forward</t>
  </si>
  <si>
    <t>PP&amp;E - Opening Balance</t>
  </si>
  <si>
    <t>Disposals</t>
  </si>
  <si>
    <t>PP&amp;E - Closing Balance</t>
  </si>
  <si>
    <t>Finite life of intangile assets</t>
  </si>
  <si>
    <t>Capital Expenditure on PP&amp;E</t>
  </si>
  <si>
    <t>Intangible Asset Additions</t>
  </si>
  <si>
    <t>Additions / Revenue</t>
  </si>
  <si>
    <t>Amortization of Intangible Additions</t>
  </si>
  <si>
    <t>Amortization of Existing Intangible Assets</t>
  </si>
  <si>
    <t>Intangible Asset Roll-Forward</t>
  </si>
  <si>
    <t>Intangible Asset - Opening Balance</t>
  </si>
  <si>
    <t>Intangible Asset - Closing Balance</t>
  </si>
  <si>
    <t>Operating Days</t>
  </si>
  <si>
    <t>Net Working Capital</t>
  </si>
  <si>
    <t>Non-cash current assets</t>
  </si>
  <si>
    <t>Non-cash current liabilities</t>
  </si>
  <si>
    <t>Working Capital Drivers</t>
  </si>
  <si>
    <t>COGS</t>
  </si>
  <si>
    <t>Receivables / Revenue</t>
  </si>
  <si>
    <t>Inventory / COGS</t>
  </si>
  <si>
    <t>Payables / COGS</t>
  </si>
  <si>
    <t>Receivables Days</t>
  </si>
  <si>
    <t>Inventory Days</t>
  </si>
  <si>
    <t>Payables Days</t>
  </si>
  <si>
    <t>Amortization of Intangible Assets</t>
  </si>
  <si>
    <t>Employee Headcount</t>
  </si>
  <si>
    <t>Headcount Growth</t>
  </si>
  <si>
    <t>Employment Cost Per Employee</t>
  </si>
  <si>
    <t>Wage Inflation</t>
  </si>
  <si>
    <t>Food Inflation</t>
  </si>
  <si>
    <t>Depreciation of PP&amp;E</t>
  </si>
  <si>
    <t>Amortization of Intangibles</t>
  </si>
  <si>
    <t>Depreciation of ROU assets</t>
  </si>
  <si>
    <t>Non cash expenses</t>
  </si>
  <si>
    <t>Total Amortization</t>
  </si>
  <si>
    <t>Other operating expenses</t>
  </si>
  <si>
    <t>Total operating expenses</t>
  </si>
  <si>
    <t>Inflation</t>
  </si>
  <si>
    <t>Historical Percentages</t>
  </si>
  <si>
    <t>Percentages:</t>
  </si>
  <si>
    <t>Absolute values:</t>
  </si>
  <si>
    <t>Cost Drivers</t>
  </si>
  <si>
    <t>Financing Schedule</t>
  </si>
  <si>
    <t>Beginning cash balance</t>
  </si>
  <si>
    <t>(-) Minimum cash balance</t>
  </si>
  <si>
    <t>Excess Cash / (Cash Deficit)</t>
  </si>
  <si>
    <t>Total cash available for debt service</t>
  </si>
  <si>
    <t>(+) Cash flow available for debt service</t>
  </si>
  <si>
    <t>Cash available for sweep / (revolver draw-down)</t>
  </si>
  <si>
    <t>Optional debt repayment</t>
  </si>
  <si>
    <t>Revolver</t>
  </si>
  <si>
    <t>Beginning Balance</t>
  </si>
  <si>
    <t>(+) Revolver draw-down</t>
  </si>
  <si>
    <t>(-) Revolver pay-down</t>
  </si>
  <si>
    <t>Ending balance</t>
  </si>
  <si>
    <t>Bank Revolver Commitment</t>
  </si>
  <si>
    <t>Undrawn Revolver Balance</t>
  </si>
  <si>
    <t>Debt Triggers</t>
  </si>
  <si>
    <t>Fixed Rate</t>
  </si>
  <si>
    <t>Senior</t>
  </si>
  <si>
    <t>Preferred</t>
  </si>
  <si>
    <t>Security?</t>
  </si>
  <si>
    <t>/ Coupon</t>
  </si>
  <si>
    <t>Spread to</t>
  </si>
  <si>
    <t>SONIA</t>
  </si>
  <si>
    <t>Debt?</t>
  </si>
  <si>
    <t>Convertible</t>
  </si>
  <si>
    <t>Sweep</t>
  </si>
  <si>
    <t>No</t>
  </si>
  <si>
    <t>Interest Rates</t>
  </si>
  <si>
    <t>Undrawn commitment fee</t>
  </si>
  <si>
    <t>Interest Expense</t>
  </si>
  <si>
    <t>Total interest expense</t>
  </si>
  <si>
    <t>% of Revenue - kept as minimum cash requirement</t>
  </si>
  <si>
    <t>EBITDA</t>
  </si>
  <si>
    <t>EBITDA Margin</t>
  </si>
  <si>
    <t>EBIT Margin</t>
  </si>
  <si>
    <t>Effective Tax Rate</t>
  </si>
  <si>
    <t>Tax Expense</t>
  </si>
  <si>
    <t>Deferred tax expense / (credit)</t>
  </si>
  <si>
    <t>Current tax expense</t>
  </si>
  <si>
    <t>UK Corporate Tax Rate</t>
  </si>
  <si>
    <t>Closing deferred tax liability</t>
  </si>
  <si>
    <t>Deferred Tax Liability / Asset</t>
  </si>
  <si>
    <t>Equity Schedule</t>
  </si>
  <si>
    <t>Net deferred tax liability</t>
  </si>
  <si>
    <t>Deferred tax liability</t>
  </si>
  <si>
    <t>Dividend payout ratio</t>
  </si>
  <si>
    <t>Dividends declared</t>
  </si>
  <si>
    <t>Retained Earnings</t>
  </si>
  <si>
    <t>Opening - Retained Earnings</t>
  </si>
  <si>
    <t>(+) Net Income</t>
  </si>
  <si>
    <t>(-) Dividends</t>
  </si>
  <si>
    <t>(-) Share buybacks</t>
  </si>
  <si>
    <t>(-) Other movements</t>
  </si>
  <si>
    <t>Closing - Retained Earnings</t>
  </si>
  <si>
    <t>Cash Flow from Operations</t>
  </si>
  <si>
    <t>Balance?</t>
  </si>
  <si>
    <t>Current Lease Liability</t>
  </si>
  <si>
    <t>Non-current lease liability</t>
  </si>
  <si>
    <t>Gross Margin</t>
  </si>
  <si>
    <t>Net Margin</t>
  </si>
  <si>
    <t>Effective Tax Rates</t>
  </si>
  <si>
    <t>EBIT / Finance expense</t>
  </si>
  <si>
    <t>Coverage Ratios</t>
  </si>
  <si>
    <t>EBITDA / Total Debt Expense (inc. lease interest)</t>
  </si>
  <si>
    <t>EBITDA / Total Debt Expense (excl. lease interst)</t>
  </si>
  <si>
    <t>Leverage Ratios</t>
  </si>
  <si>
    <t>Net Debt / EBITDA</t>
  </si>
  <si>
    <t>Cash Flow Metrics</t>
  </si>
  <si>
    <t>Free Cash Flow</t>
  </si>
  <si>
    <t>Free Cash Flow - after Lease Interest</t>
  </si>
  <si>
    <t>=</t>
  </si>
  <si>
    <t>Interest Earned</t>
  </si>
  <si>
    <t>Total finance income</t>
  </si>
  <si>
    <t>Revenue - Franchise Stores</t>
  </si>
  <si>
    <t>Free Cash Flow / Net Income</t>
  </si>
  <si>
    <t>Return Metrics</t>
  </si>
  <si>
    <t>Return on Equity</t>
  </si>
  <si>
    <t>Return on Tangible Equity</t>
  </si>
  <si>
    <t>Return on Assets</t>
  </si>
  <si>
    <t>Current Ratio</t>
  </si>
  <si>
    <t>Quick Ratio</t>
  </si>
  <si>
    <t>Cash Ratio</t>
  </si>
  <si>
    <t>Profitability</t>
  </si>
  <si>
    <t xml:space="preserve">Base </t>
  </si>
  <si>
    <t>Upside</t>
  </si>
  <si>
    <t>Downside</t>
  </si>
  <si>
    <t>Macro Assumptions</t>
  </si>
  <si>
    <t>Revenue Assumptions</t>
  </si>
  <si>
    <t>Like-for-like sales growth rate - own stores</t>
  </si>
  <si>
    <t>Like-for-like sales growth rate - franchise stores</t>
  </si>
  <si>
    <t>Assumptions</t>
  </si>
  <si>
    <t>Food Cost Inflation</t>
  </si>
  <si>
    <t>Scenario Selector:</t>
  </si>
  <si>
    <t>Selected</t>
  </si>
  <si>
    <t>Total Stores</t>
  </si>
  <si>
    <t>Store Growth</t>
  </si>
  <si>
    <t xml:space="preserve">Upside </t>
  </si>
  <si>
    <t xml:space="preserve">Downside </t>
  </si>
  <si>
    <t>Shares Trading</t>
  </si>
  <si>
    <t>Discounted Cash Flow</t>
  </si>
  <si>
    <t>Tax Rate</t>
  </si>
  <si>
    <t>NOPAT</t>
  </si>
  <si>
    <t>Unlevered Free Cash Flow</t>
  </si>
  <si>
    <t>(+) D&amp;A</t>
  </si>
  <si>
    <t>(-) Capital expenditure</t>
  </si>
  <si>
    <t>(+) Change in NWC</t>
  </si>
  <si>
    <t>FCFF*</t>
  </si>
  <si>
    <t>Discount period</t>
  </si>
  <si>
    <t>PV of FCFF</t>
  </si>
  <si>
    <t>WACC</t>
  </si>
  <si>
    <t>Risk-free rate</t>
  </si>
  <si>
    <t xml:space="preserve">Equity-risk premium </t>
  </si>
  <si>
    <t xml:space="preserve">Beta </t>
  </si>
  <si>
    <t>Cost of Equity</t>
  </si>
  <si>
    <t>Cost of Debt</t>
  </si>
  <si>
    <t>Debt weight</t>
  </si>
  <si>
    <t>Equity weight</t>
  </si>
  <si>
    <t>Terminal Assumptions</t>
  </si>
  <si>
    <t>Terminal Growth</t>
  </si>
  <si>
    <t>Final Forecast Year</t>
  </si>
  <si>
    <t>Valuation Method</t>
  </si>
  <si>
    <t>Gordon Growth</t>
  </si>
  <si>
    <t>Shares outstanding</t>
  </si>
  <si>
    <t>Valuation Output</t>
  </si>
  <si>
    <t>PV of forecast FCFF</t>
  </si>
  <si>
    <t>Terminal Value</t>
  </si>
  <si>
    <t>Enterprise Value</t>
  </si>
  <si>
    <t>(+) Cash</t>
  </si>
  <si>
    <t>(-) Financial Debt</t>
  </si>
  <si>
    <t>(-) Lease liabilities</t>
  </si>
  <si>
    <t>Equity Value</t>
  </si>
  <si>
    <t>Implied share price</t>
  </si>
  <si>
    <t>Levered beta</t>
  </si>
  <si>
    <t>Mitchells &amp; Butlers</t>
  </si>
  <si>
    <t>J D Weatherspoon</t>
  </si>
  <si>
    <t>Domino's Pizza Group</t>
  </si>
  <si>
    <t>Market Cap</t>
  </si>
  <si>
    <t>Debt</t>
  </si>
  <si>
    <t>D/E</t>
  </si>
  <si>
    <t>Tax</t>
  </si>
  <si>
    <t>Company</t>
  </si>
  <si>
    <t>Ticker</t>
  </si>
  <si>
    <t>MAB</t>
  </si>
  <si>
    <t>JDW</t>
  </si>
  <si>
    <t>DOM</t>
  </si>
  <si>
    <t>Observation Date</t>
  </si>
  <si>
    <t>Young &amp; Co's Brewery</t>
  </si>
  <si>
    <t>YNGN</t>
  </si>
  <si>
    <t>Whitbread PLC</t>
  </si>
  <si>
    <t>WTB.L</t>
  </si>
  <si>
    <t>Mean unlevered beta</t>
  </si>
  <si>
    <t>Median unlevered beta</t>
  </si>
  <si>
    <t>* All of the above debt figures include both financial debt and lease liabilities</t>
  </si>
  <si>
    <t>Debt/ Equity</t>
  </si>
  <si>
    <t xml:space="preserve">Market cap </t>
  </si>
  <si>
    <t>Metrics</t>
  </si>
  <si>
    <t>Values</t>
  </si>
  <si>
    <t>Notes</t>
  </si>
  <si>
    <t>* Taken on the 13th October 2026</t>
  </si>
  <si>
    <t>Debt-to-equity</t>
  </si>
  <si>
    <t>Levered ϐ</t>
  </si>
  <si>
    <t>Unlevered ϐ</t>
  </si>
  <si>
    <t>Discounted Cash Flow - WACC Components</t>
  </si>
  <si>
    <t>Comparable Company Beta</t>
  </si>
  <si>
    <t>Equity Risk Premium</t>
  </si>
  <si>
    <t>Market implied ERP</t>
  </si>
  <si>
    <t>UK specific ERP</t>
  </si>
  <si>
    <t>Total ERP</t>
  </si>
  <si>
    <t>Source - Damodaran, July 2026</t>
  </si>
  <si>
    <t>Discounted Cash Flow - FCFF and Equity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</si>
</sst>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164" formatCode="[$-F800]dddd\,\ mmmm\ dd\,\ yyyy"/>
    <numFmt numFmtId="165" formatCode="0.0"/>
    <numFmt numFmtId="166" formatCode="0.0&quot;p&quot;"/>
    <numFmt numFmtId="167" formatCode="0.0%"/>
    <numFmt numFmtId="168" formatCode="#,##0.0;\(#,##0.0\);\-"/>
    <numFmt numFmtId="169" formatCode="&quot;£&quot;#,##0.0;\(&quot;£&quot;#,##0.0\);\-"/>
    <numFmt numFmtId="170" formatCode="&quot;£&quot;#,##0.0"/>
    <numFmt numFmtId="171" formatCode="&quot;£&quot;#,##0.00"/>
    <numFmt numFmtId="172" formatCode="&quot;FY&quot;0"/>
    <numFmt numFmtId="173" formatCode="0&quot;bps&quot;"/>
    <numFmt numFmtId="174" formatCode="0&quot;A&quot;"/>
    <numFmt numFmtId="175" formatCode="0&quot;F&quot;"/>
    <numFmt numFmtId="176" formatCode="0.000%"/>
    <numFmt numFmtId="177" formatCode="0\ &quot;years&quot;"/>
    <numFmt numFmtId="178" formatCode="#,##0;\(#,##0\);\-"/>
    <numFmt numFmtId="179" formatCode="0&quot;RM&quot;"/>
    <numFmt numFmtId="180" formatCode="#,##0.0;\(&quot;£&quot;#,##0.0\);\-"/>
    <numFmt numFmtId="181" formatCode="0&quot;PF&quot;"/>
    <numFmt numFmtId="182" formatCode="0.0,,&quot;m&quot;"/>
    <numFmt numFmtId="183" formatCode="0.0,&quot;k&quot;"/>
    <numFmt numFmtId="184" formatCode="&quot;$&quot;0"/>
    <numFmt numFmtId="185" formatCode="0&quot; years&quot;"/>
    <numFmt numFmtId="186" formatCode="0&quot; days&quot;"/>
    <numFmt numFmtId="187" formatCode="0.0%;\(0.0%\);\–"/>
    <numFmt numFmtId="188" formatCode="0.00&quot; sen&quot;"/>
    <numFmt numFmtId="189" formatCode="#,##0.0,,&quot;m&quot;"/>
    <numFmt numFmtId="190" formatCode="0.00&quot; sen&quot;;\(0.00&quot; sen&quot;\);\-"/>
    <numFmt numFmtId="191" formatCode="#,##0,;\(#,##0,\);\-"/>
    <numFmt numFmtId="192" formatCode="&quot;£&quot;#,##0.0;\(&quot;£&quot;#,##0.0\);\–"/>
    <numFmt numFmtId="193" formatCode="0&quot;H&quot;"/>
    <numFmt numFmtId="194" formatCode="&quot;£&quot;#,##0.0;\ \(&quot;£&quot;#,##0.0\);\–"/>
    <numFmt numFmtId="195" formatCode="0.00,,&quot;m&quot;;\(0.00,,&quot;m&quot;\);\–"/>
    <numFmt numFmtId="196" formatCode="#,##0.0&quot;k&quot;;\(#,##0.0&quot;k&quot;\);\–"/>
    <numFmt numFmtId="197" formatCode="&quot;£&quot;#,##0.0,&quot;k&quot;;\(&quot;£&quot;#,##0.0,&quot;k&quot;\);\-"/>
    <numFmt numFmtId="198" formatCode="&quot;£&quot;#,##0.0,,&quot;m&quot;;\(&quot;£&quot;#,##0.0,,&quot;m&quot;\);\-"/>
    <numFmt numFmtId="199" formatCode="&quot;£&quot;#,##0;\(&quot;£&quot;#,##0\);\-"/>
    <numFmt numFmtId="200" formatCode="0.00&quot;x&quot;"/>
    <numFmt numFmtId="201" formatCode="0.00&quot;p&quot;"/>
    <numFmt numFmtId="202" formatCode="#,##0;\(#,##0\);\–"/>
    <numFmt numFmtId="203" formatCode="0&quot; p&quot;;\(0&quot;p&quot;\);\-"/>
    <numFmt numFmtId="208" formatCode="#,##0.00,,&quot;m&quot;"/>
    <numFmt numFmtId="213" formatCode="&quot;£&quot;#,##0.00,,,&quot;bn&quot;;\(&quot;£&quot;#,##0.00,,,&quot;bn&quot;\);\–"/>
    <numFmt numFmtId="217" formatCode="&quot;£&quot;#,##0.000,,,&quot;bn&quot;;\(&quot;£&quot;#,##0.000,,,&quot;bn&quot;\);\–"/>
  </numFmts>
  <fonts count="5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name val="Arial"/>
      <family val="2"/>
    </font>
    <font>
      <b/>
      <sz val="11"/>
      <color theme="1" tint="0.34998626667073579"/>
      <name val="Arial"/>
      <family val="2"/>
    </font>
    <font>
      <b/>
      <sz val="11"/>
      <color theme="4"/>
      <name val="Arial"/>
      <family val="2"/>
    </font>
    <font>
      <sz val="10"/>
      <color theme="1"/>
      <name val="Arial"/>
      <family val="2"/>
    </font>
    <font>
      <sz val="10"/>
      <color theme="3" tint="0.499984740745262"/>
      <name val="Arial"/>
      <family val="2"/>
    </font>
    <font>
      <b/>
      <sz val="9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theme="1"/>
      <name val="Open Sans"/>
    </font>
    <font>
      <b/>
      <sz val="20"/>
      <color theme="0"/>
      <name val="Open Sans"/>
    </font>
    <font>
      <sz val="20"/>
      <color theme="0"/>
      <name val="Open Sans"/>
    </font>
    <font>
      <sz val="11"/>
      <color theme="0"/>
      <name val="Open Sans"/>
    </font>
    <font>
      <b/>
      <sz val="14"/>
      <color theme="0"/>
      <name val="Open Sans"/>
    </font>
    <font>
      <sz val="14"/>
      <color theme="0"/>
      <name val="Open Sans"/>
    </font>
    <font>
      <sz val="11"/>
      <name val="Open Sans"/>
    </font>
    <font>
      <b/>
      <sz val="11"/>
      <name val="Open Sans"/>
    </font>
    <font>
      <b/>
      <sz val="11"/>
      <color theme="1" tint="0.34998626667073579"/>
      <name val="Open Sans"/>
    </font>
    <font>
      <b/>
      <sz val="11"/>
      <color theme="4"/>
      <name val="Open Sans"/>
    </font>
    <font>
      <b/>
      <sz val="9"/>
      <color theme="1" tint="0.34998626667073579"/>
      <name val="Open Sans"/>
    </font>
    <font>
      <sz val="10"/>
      <color theme="1"/>
      <name val="Open Sans"/>
    </font>
    <font>
      <sz val="10"/>
      <color theme="3" tint="0.499984740745262"/>
      <name val="Open Sans"/>
    </font>
    <font>
      <sz val="10"/>
      <name val="Open Sans"/>
    </font>
    <font>
      <b/>
      <sz val="10"/>
      <color theme="1"/>
      <name val="Open Sans"/>
    </font>
    <font>
      <b/>
      <sz val="10"/>
      <color theme="3" tint="0.499984740745262"/>
      <name val="Open Sans"/>
    </font>
    <font>
      <b/>
      <sz val="10"/>
      <name val="Open Sans"/>
    </font>
    <font>
      <sz val="10"/>
      <color theme="4" tint="0.39997558519241921"/>
      <name val="Open Sans"/>
    </font>
    <font>
      <b/>
      <sz val="11"/>
      <color theme="1"/>
      <name val="Open Sans"/>
    </font>
    <font>
      <sz val="10"/>
      <color theme="9"/>
      <name val="Open Sans"/>
    </font>
    <font>
      <sz val="10"/>
      <color theme="1" tint="0.249977111117893"/>
      <name val="Open Sans"/>
    </font>
    <font>
      <sz val="11"/>
      <color theme="3" tint="0.499984740745262"/>
      <name val="Open Sans"/>
    </font>
    <font>
      <b/>
      <sz val="10"/>
      <color theme="9"/>
      <name val="Open Sans"/>
    </font>
    <font>
      <b/>
      <sz val="10"/>
      <color theme="1" tint="0.34998626667073579"/>
      <name val="Open Sans"/>
    </font>
    <font>
      <b/>
      <sz val="11"/>
      <color theme="3" tint="0.499984740745262"/>
      <name val="Open Sans"/>
    </font>
    <font>
      <sz val="10"/>
      <color rgb="FF7896AF"/>
      <name val="Open Sans"/>
    </font>
    <font>
      <i/>
      <sz val="10"/>
      <color theme="1"/>
      <name val="Open Sans"/>
    </font>
    <font>
      <i/>
      <u/>
      <sz val="10"/>
      <color theme="1"/>
      <name val="Open Sans"/>
    </font>
    <font>
      <b/>
      <sz val="10"/>
      <color rgb="FFC00000"/>
      <name val="Open Sans"/>
    </font>
    <font>
      <i/>
      <sz val="10"/>
      <color theme="3" tint="0.499984740745262"/>
      <name val="Open Sans"/>
    </font>
    <font>
      <sz val="10"/>
      <color rgb="FF00B050"/>
      <name val="Open Sans"/>
    </font>
    <font>
      <b/>
      <sz val="11"/>
      <color theme="0"/>
      <name val="Open Sans"/>
    </font>
    <font>
      <b/>
      <sz val="10"/>
      <color theme="0"/>
      <name val="Open Sans"/>
    </font>
    <font>
      <sz val="10"/>
      <color theme="0"/>
      <name val="Open Sans"/>
    </font>
    <font>
      <b/>
      <sz val="11"/>
      <color theme="3" tint="0.499984740745262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0"/>
      <color theme="3" tint="0.249977111117893"/>
      <name val="Open SAns"/>
    </font>
    <font>
      <sz val="11"/>
      <color rgb="FF00B0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896AF"/>
        <bgColor indexed="64"/>
      </patternFill>
    </fill>
    <fill>
      <patternFill patternType="solid">
        <fgColor rgb="FFFFF5D2"/>
        <bgColor indexed="64"/>
      </patternFill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2" tint="-0.499984740745262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/>
      <top style="thin">
        <color theme="3" tint="0.249977111117893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hair">
        <color theme="3" tint="0.249977111117893"/>
      </bottom>
      <diagonal/>
    </border>
    <border>
      <left/>
      <right/>
      <top style="hair">
        <color theme="3" tint="0.249977111117893"/>
      </top>
      <bottom/>
      <diagonal/>
    </border>
    <border>
      <left/>
      <right/>
      <top style="hair">
        <color theme="3" tint="0.249977111117893"/>
      </top>
      <bottom style="medium">
        <color theme="3" tint="0.249977111117893"/>
      </bottom>
      <diagonal/>
    </border>
    <border>
      <left/>
      <right/>
      <top style="thin">
        <color theme="3" tint="0.249977111117893"/>
      </top>
      <bottom style="medium">
        <color theme="3" tint="0.249977111117893"/>
      </bottom>
      <diagonal/>
    </border>
    <border>
      <left/>
      <right/>
      <top style="hair">
        <color theme="3" tint="0.249977111117893"/>
      </top>
      <bottom style="hair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/>
      <top/>
      <bottom/>
      <diagonal/>
    </border>
    <border>
      <left/>
      <right style="thin">
        <color theme="3" tint="0.249977111117893"/>
      </right>
      <top/>
      <bottom/>
      <diagonal/>
    </border>
    <border>
      <left style="thin">
        <color theme="3" tint="0.249977111117893"/>
      </left>
      <right/>
      <top/>
      <bottom style="medium">
        <color theme="3" tint="0.249977111117893"/>
      </bottom>
      <diagonal/>
    </border>
    <border>
      <left/>
      <right style="thin">
        <color theme="3" tint="0.249977111117893"/>
      </right>
      <top/>
      <bottom style="medium">
        <color theme="3" tint="0.249977111117893"/>
      </bottom>
      <diagonal/>
    </border>
    <border>
      <left style="thin">
        <color theme="3" tint="0.249977111117893"/>
      </left>
      <right/>
      <top/>
      <bottom style="thin">
        <color theme="3" tint="0.249977111117893"/>
      </bottom>
      <diagonal/>
    </border>
    <border>
      <left/>
      <right style="thin">
        <color theme="3" tint="0.249977111117893"/>
      </right>
      <top/>
      <bottom style="thin">
        <color theme="3" tint="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5">
    <xf numFmtId="0" fontId="0" fillId="0" borderId="0" xfId="0"/>
    <xf numFmtId="0" fontId="3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4" fillId="0" borderId="0" xfId="0" applyFont="1"/>
    <xf numFmtId="167" fontId="0" fillId="0" borderId="0" xfId="1" applyNumberFormat="1" applyFont="1" applyBorder="1"/>
    <xf numFmtId="168" fontId="0" fillId="0" borderId="0" xfId="0" applyNumberFormat="1"/>
    <xf numFmtId="169" fontId="4" fillId="0" borderId="0" xfId="0" applyNumberFormat="1" applyFont="1"/>
    <xf numFmtId="169" fontId="2" fillId="0" borderId="0" xfId="0" applyNumberFormat="1" applyFont="1"/>
    <xf numFmtId="9" fontId="0" fillId="0" borderId="0" xfId="1" applyFont="1" applyFill="1" applyBorder="1"/>
    <xf numFmtId="170" fontId="4" fillId="0" borderId="0" xfId="0" applyNumberFormat="1" applyFont="1"/>
    <xf numFmtId="10" fontId="4" fillId="0" borderId="0" xfId="1" applyNumberFormat="1" applyFont="1"/>
    <xf numFmtId="9" fontId="4" fillId="0" borderId="0" xfId="1" applyFont="1"/>
    <xf numFmtId="167" fontId="4" fillId="0" borderId="0" xfId="1" applyNumberFormat="1" applyFont="1"/>
    <xf numFmtId="173" fontId="4" fillId="0" borderId="0" xfId="0" applyNumberFormat="1" applyFont="1"/>
    <xf numFmtId="9" fontId="4" fillId="0" borderId="0" xfId="1" applyFont="1" applyFill="1"/>
    <xf numFmtId="10" fontId="4" fillId="0" borderId="0" xfId="1" applyNumberFormat="1" applyFont="1" applyFill="1"/>
    <xf numFmtId="167" fontId="4" fillId="0" borderId="0" xfId="1" applyNumberFormat="1" applyFont="1" applyFill="1"/>
    <xf numFmtId="176" fontId="4" fillId="0" borderId="0" xfId="1" applyNumberFormat="1" applyFont="1" applyFill="1"/>
    <xf numFmtId="176" fontId="5" fillId="0" borderId="0" xfId="1" applyNumberFormat="1" applyFont="1" applyFill="1"/>
    <xf numFmtId="10" fontId="6" fillId="0" borderId="0" xfId="1" applyNumberFormat="1" applyFont="1" applyFill="1"/>
    <xf numFmtId="10" fontId="5" fillId="0" borderId="0" xfId="1" applyNumberFormat="1" applyFont="1" applyFill="1"/>
    <xf numFmtId="10" fontId="1" fillId="0" borderId="0" xfId="1" applyNumberFormat="1" applyFont="1" applyFill="1"/>
    <xf numFmtId="177" fontId="4" fillId="0" borderId="0" xfId="0" applyNumberFormat="1" applyFont="1"/>
    <xf numFmtId="9" fontId="0" fillId="0" borderId="0" xfId="1" applyFont="1" applyBorder="1"/>
    <xf numFmtId="167" fontId="4" fillId="0" borderId="0" xfId="1" applyNumberFormat="1" applyFont="1" applyBorder="1"/>
    <xf numFmtId="174" fontId="2" fillId="0" borderId="0" xfId="0" applyNumberFormat="1" applyFont="1"/>
    <xf numFmtId="175" fontId="2" fillId="0" borderId="0" xfId="0" applyNumberFormat="1" applyFont="1"/>
    <xf numFmtId="170" fontId="0" fillId="0" borderId="0" xfId="0" applyNumberFormat="1"/>
    <xf numFmtId="170" fontId="2" fillId="0" borderId="0" xfId="0" applyNumberFormat="1" applyFont="1"/>
    <xf numFmtId="169" fontId="0" fillId="0" borderId="0" xfId="0" applyNumberFormat="1"/>
    <xf numFmtId="167" fontId="2" fillId="0" borderId="0" xfId="1" applyNumberFormat="1" applyFont="1" applyBorder="1"/>
    <xf numFmtId="173" fontId="0" fillId="0" borderId="0" xfId="0" applyNumberFormat="1"/>
    <xf numFmtId="171" fontId="0" fillId="0" borderId="0" xfId="0" applyNumberFormat="1"/>
    <xf numFmtId="173" fontId="2" fillId="0" borderId="0" xfId="0" applyNumberFormat="1" applyFont="1"/>
    <xf numFmtId="168" fontId="2" fillId="0" borderId="0" xfId="0" applyNumberFormat="1" applyFont="1"/>
    <xf numFmtId="169" fontId="5" fillId="0" borderId="0" xfId="0" applyNumberFormat="1" applyFont="1"/>
    <xf numFmtId="165" fontId="4" fillId="0" borderId="0" xfId="0" applyNumberFormat="1" applyFont="1"/>
    <xf numFmtId="1" fontId="7" fillId="0" borderId="0" xfId="0" applyNumberFormat="1" applyFont="1"/>
    <xf numFmtId="0" fontId="8" fillId="0" borderId="0" xfId="0" applyFont="1"/>
    <xf numFmtId="0" fontId="11" fillId="0" borderId="0" xfId="0" applyFont="1"/>
    <xf numFmtId="9" fontId="12" fillId="0" borderId="0" xfId="1" applyFont="1" applyBorder="1"/>
    <xf numFmtId="175" fontId="13" fillId="0" borderId="0" xfId="0" applyNumberFormat="1" applyFont="1"/>
    <xf numFmtId="9" fontId="12" fillId="0" borderId="0" xfId="1" applyFont="1"/>
    <xf numFmtId="175" fontId="10" fillId="0" borderId="1" xfId="0" applyNumberFormat="1" applyFont="1" applyBorder="1" applyAlignment="1">
      <alignment horizontal="center"/>
    </xf>
    <xf numFmtId="165" fontId="12" fillId="0" borderId="0" xfId="1" applyNumberFormat="1" applyFont="1" applyBorder="1"/>
    <xf numFmtId="167" fontId="12" fillId="0" borderId="0" xfId="1" applyNumberFormat="1" applyFont="1" applyFill="1" applyBorder="1"/>
    <xf numFmtId="167" fontId="12" fillId="0" borderId="0" xfId="1" applyNumberFormat="1" applyFont="1" applyFill="1"/>
    <xf numFmtId="9" fontId="14" fillId="0" borderId="0" xfId="1" applyFont="1" applyFill="1" applyAlignment="1">
      <alignment horizontal="left"/>
    </xf>
    <xf numFmtId="0" fontId="15" fillId="0" borderId="0" xfId="0" applyFont="1"/>
    <xf numFmtId="0" fontId="16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20" fillId="4" borderId="0" xfId="0" applyFont="1" applyFill="1" applyAlignment="1">
      <alignment horizontal="left"/>
    </xf>
    <xf numFmtId="0" fontId="21" fillId="0" borderId="0" xfId="0" applyFont="1" applyAlignment="1">
      <alignment horizontal="centerContinuous"/>
    </xf>
    <xf numFmtId="0" fontId="21" fillId="0" borderId="0" xfId="0" applyFont="1"/>
    <xf numFmtId="0" fontId="22" fillId="0" borderId="7" xfId="0" applyFont="1" applyBorder="1" applyAlignment="1">
      <alignment horizontal="centerContinuous"/>
    </xf>
    <xf numFmtId="193" fontId="23" fillId="2" borderId="9" xfId="0" applyNumberFormat="1" applyFont="1" applyFill="1" applyBorder="1" applyAlignment="1">
      <alignment horizontal="center"/>
    </xf>
    <xf numFmtId="175" fontId="24" fillId="3" borderId="9" xfId="0" applyNumberFormat="1" applyFont="1" applyFill="1" applyBorder="1" applyAlignment="1">
      <alignment horizontal="center"/>
    </xf>
    <xf numFmtId="0" fontId="21" fillId="0" borderId="6" xfId="0" applyFont="1" applyBorder="1"/>
    <xf numFmtId="181" fontId="25" fillId="0" borderId="6" xfId="0" applyNumberFormat="1" applyFont="1" applyBorder="1"/>
    <xf numFmtId="175" fontId="25" fillId="0" borderId="6" xfId="0" applyNumberFormat="1" applyFont="1" applyBorder="1"/>
    <xf numFmtId="181" fontId="22" fillId="0" borderId="0" xfId="0" applyNumberFormat="1" applyFont="1"/>
    <xf numFmtId="175" fontId="22" fillId="0" borderId="0" xfId="0" applyNumberFormat="1" applyFont="1"/>
    <xf numFmtId="9" fontId="26" fillId="0" borderId="0" xfId="1" applyFont="1"/>
    <xf numFmtId="0" fontId="26" fillId="0" borderId="0" xfId="0" applyFont="1"/>
    <xf numFmtId="192" fontId="27" fillId="0" borderId="0" xfId="0" applyNumberFormat="1" applyFont="1"/>
    <xf numFmtId="192" fontId="26" fillId="0" borderId="0" xfId="0" applyNumberFormat="1" applyFont="1"/>
    <xf numFmtId="0" fontId="28" fillId="0" borderId="6" xfId="0" applyFont="1" applyBorder="1"/>
    <xf numFmtId="192" fontId="26" fillId="0" borderId="6" xfId="0" applyNumberFormat="1" applyFont="1" applyBorder="1"/>
    <xf numFmtId="0" fontId="29" fillId="0" borderId="0" xfId="0" applyFont="1"/>
    <xf numFmtId="192" fontId="29" fillId="0" borderId="0" xfId="0" applyNumberFormat="1" applyFont="1"/>
    <xf numFmtId="0" fontId="26" fillId="0" borderId="6" xfId="0" applyFont="1" applyBorder="1"/>
    <xf numFmtId="0" fontId="29" fillId="0" borderId="6" xfId="0" applyFont="1" applyBorder="1"/>
    <xf numFmtId="192" fontId="27" fillId="0" borderId="6" xfId="0" applyNumberFormat="1" applyFont="1" applyBorder="1"/>
    <xf numFmtId="192" fontId="30" fillId="0" borderId="6" xfId="0" applyNumberFormat="1" applyFont="1" applyBorder="1"/>
    <xf numFmtId="192" fontId="29" fillId="0" borderId="6" xfId="0" applyNumberFormat="1" applyFont="1" applyBorder="1"/>
    <xf numFmtId="0" fontId="26" fillId="0" borderId="7" xfId="0" applyFont="1" applyBorder="1"/>
    <xf numFmtId="192" fontId="27" fillId="0" borderId="7" xfId="0" applyNumberFormat="1" applyFont="1" applyBorder="1"/>
    <xf numFmtId="192" fontId="26" fillId="0" borderId="7" xfId="0" applyNumberFormat="1" applyFont="1" applyBorder="1"/>
    <xf numFmtId="192" fontId="30" fillId="0" borderId="0" xfId="0" applyNumberFormat="1" applyFont="1"/>
    <xf numFmtId="192" fontId="31" fillId="0" borderId="0" xfId="0" applyNumberFormat="1" applyFont="1"/>
    <xf numFmtId="0" fontId="29" fillId="0" borderId="7" xfId="0" applyFont="1" applyBorder="1"/>
    <xf numFmtId="0" fontId="29" fillId="0" borderId="8" xfId="0" applyFont="1" applyBorder="1"/>
    <xf numFmtId="192" fontId="31" fillId="0" borderId="8" xfId="0" applyNumberFormat="1" applyFont="1" applyBorder="1"/>
    <xf numFmtId="192" fontId="31" fillId="0" borderId="6" xfId="0" applyNumberFormat="1" applyFont="1" applyBorder="1"/>
    <xf numFmtId="192" fontId="28" fillId="0" borderId="6" xfId="0" applyNumberFormat="1" applyFont="1" applyBorder="1"/>
    <xf numFmtId="166" fontId="32" fillId="0" borderId="0" xfId="0" applyNumberFormat="1" applyFont="1"/>
    <xf numFmtId="190" fontId="26" fillId="0" borderId="0" xfId="0" applyNumberFormat="1" applyFont="1"/>
    <xf numFmtId="181" fontId="25" fillId="0" borderId="0" xfId="0" applyNumberFormat="1" applyFont="1"/>
    <xf numFmtId="175" fontId="25" fillId="0" borderId="0" xfId="0" applyNumberFormat="1" applyFont="1"/>
    <xf numFmtId="0" fontId="33" fillId="3" borderId="3" xfId="0" applyFont="1" applyFill="1" applyBorder="1"/>
    <xf numFmtId="0" fontId="29" fillId="3" borderId="4" xfId="0" applyFont="1" applyFill="1" applyBorder="1"/>
    <xf numFmtId="0" fontId="26" fillId="3" borderId="4" xfId="0" applyFont="1" applyFill="1" applyBorder="1"/>
    <xf numFmtId="169" fontId="27" fillId="3" borderId="4" xfId="0" applyNumberFormat="1" applyFont="1" applyFill="1" applyBorder="1"/>
    <xf numFmtId="169" fontId="26" fillId="3" borderId="4" xfId="0" applyNumberFormat="1" applyFont="1" applyFill="1" applyBorder="1"/>
    <xf numFmtId="169" fontId="26" fillId="3" borderId="5" xfId="0" applyNumberFormat="1" applyFont="1" applyFill="1" applyBorder="1"/>
    <xf numFmtId="169" fontId="27" fillId="0" borderId="0" xfId="0" applyNumberFormat="1" applyFont="1"/>
    <xf numFmtId="169" fontId="26" fillId="0" borderId="0" xfId="0" applyNumberFormat="1" applyFont="1"/>
    <xf numFmtId="0" fontId="26" fillId="0" borderId="2" xfId="0" applyFont="1" applyBorder="1"/>
    <xf numFmtId="168" fontId="26" fillId="0" borderId="0" xfId="0" applyNumberFormat="1" applyFont="1"/>
    <xf numFmtId="0" fontId="29" fillId="3" borderId="3" xfId="0" applyFont="1" applyFill="1" applyBorder="1"/>
    <xf numFmtId="0" fontId="33" fillId="0" borderId="0" xfId="0" applyFont="1"/>
    <xf numFmtId="178" fontId="15" fillId="0" borderId="0" xfId="0" applyNumberFormat="1" applyFont="1"/>
    <xf numFmtId="1" fontId="15" fillId="0" borderId="0" xfId="0" applyNumberFormat="1" applyFont="1"/>
    <xf numFmtId="181" fontId="29" fillId="0" borderId="0" xfId="0" applyNumberFormat="1" applyFont="1"/>
    <xf numFmtId="175" fontId="29" fillId="0" borderId="0" xfId="0" applyNumberFormat="1" applyFont="1"/>
    <xf numFmtId="178" fontId="28" fillId="0" borderId="0" xfId="0" applyNumberFormat="1" applyFont="1"/>
    <xf numFmtId="178" fontId="31" fillId="0" borderId="0" xfId="0" applyNumberFormat="1" applyFont="1"/>
    <xf numFmtId="181" fontId="33" fillId="0" borderId="0" xfId="0" applyNumberFormat="1" applyFont="1"/>
    <xf numFmtId="175" fontId="33" fillId="0" borderId="0" xfId="0" applyNumberFormat="1" applyFont="1"/>
    <xf numFmtId="174" fontId="29" fillId="0" borderId="0" xfId="0" applyNumberFormat="1" applyFont="1"/>
    <xf numFmtId="179" fontId="26" fillId="0" borderId="0" xfId="1" applyNumberFormat="1" applyFont="1" applyBorder="1"/>
    <xf numFmtId="1" fontId="26" fillId="0" borderId="0" xfId="0" applyNumberFormat="1" applyFont="1"/>
    <xf numFmtId="174" fontId="33" fillId="0" borderId="0" xfId="0" applyNumberFormat="1" applyFont="1"/>
    <xf numFmtId="167" fontId="26" fillId="0" borderId="0" xfId="1" applyNumberFormat="1" applyFont="1" applyBorder="1"/>
    <xf numFmtId="9" fontId="28" fillId="0" borderId="0" xfId="1" applyFont="1" applyBorder="1"/>
    <xf numFmtId="169" fontId="36" fillId="0" borderId="0" xfId="0" applyNumberFormat="1" applyFont="1"/>
    <xf numFmtId="169" fontId="15" fillId="0" borderId="0" xfId="0" applyNumberFormat="1" applyFont="1"/>
    <xf numFmtId="169" fontId="35" fillId="0" borderId="0" xfId="0" applyNumberFormat="1" applyFont="1"/>
    <xf numFmtId="167" fontId="35" fillId="0" borderId="0" xfId="1" applyNumberFormat="1" applyFont="1" applyBorder="1"/>
    <xf numFmtId="183" fontId="36" fillId="0" borderId="0" xfId="0" applyNumberFormat="1" applyFont="1"/>
    <xf numFmtId="169" fontId="28" fillId="0" borderId="0" xfId="0" applyNumberFormat="1" applyFont="1"/>
    <xf numFmtId="178" fontId="26" fillId="0" borderId="0" xfId="0" applyNumberFormat="1" applyFont="1"/>
    <xf numFmtId="167" fontId="15" fillId="0" borderId="0" xfId="1" applyNumberFormat="1" applyFont="1" applyBorder="1"/>
    <xf numFmtId="170" fontId="29" fillId="0" borderId="0" xfId="0" applyNumberFormat="1" applyFont="1"/>
    <xf numFmtId="178" fontId="34" fillId="0" borderId="0" xfId="0" applyNumberFormat="1" applyFont="1"/>
    <xf numFmtId="178" fontId="33" fillId="0" borderId="0" xfId="0" applyNumberFormat="1" applyFont="1"/>
    <xf numFmtId="170" fontId="26" fillId="0" borderId="0" xfId="0" applyNumberFormat="1" applyFont="1"/>
    <xf numFmtId="167" fontId="26" fillId="0" borderId="0" xfId="0" applyNumberFormat="1" applyFont="1"/>
    <xf numFmtId="167" fontId="26" fillId="0" borderId="0" xfId="1" applyNumberFormat="1" applyFont="1"/>
    <xf numFmtId="10" fontId="33" fillId="0" borderId="0" xfId="1" applyNumberFormat="1" applyFont="1"/>
    <xf numFmtId="0" fontId="31" fillId="0" borderId="0" xfId="0" applyFont="1"/>
    <xf numFmtId="189" fontId="15" fillId="0" borderId="0" xfId="0" applyNumberFormat="1" applyFont="1"/>
    <xf numFmtId="178" fontId="27" fillId="0" borderId="6" xfId="0" applyNumberFormat="1" applyFont="1" applyBorder="1"/>
    <xf numFmtId="191" fontId="34" fillId="0" borderId="6" xfId="0" applyNumberFormat="1" applyFont="1" applyBorder="1"/>
    <xf numFmtId="0" fontId="26" fillId="0" borderId="10" xfId="0" applyFont="1" applyBorder="1"/>
    <xf numFmtId="192" fontId="27" fillId="0" borderId="10" xfId="0" applyNumberFormat="1" applyFont="1" applyBorder="1"/>
    <xf numFmtId="192" fontId="28" fillId="0" borderId="0" xfId="0" applyNumberFormat="1" applyFont="1"/>
    <xf numFmtId="192" fontId="27" fillId="0" borderId="2" xfId="0" applyNumberFormat="1" applyFont="1" applyBorder="1"/>
    <xf numFmtId="192" fontId="26" fillId="0" borderId="2" xfId="0" applyNumberFormat="1" applyFont="1" applyBorder="1"/>
    <xf numFmtId="0" fontId="26" fillId="0" borderId="0" xfId="0" applyFont="1" applyAlignment="1">
      <alignment horizontal="left" indent="2"/>
    </xf>
    <xf numFmtId="0" fontId="26" fillId="0" borderId="10" xfId="0" applyFont="1" applyBorder="1" applyAlignment="1">
      <alignment horizontal="left" indent="2"/>
    </xf>
    <xf numFmtId="0" fontId="29" fillId="0" borderId="11" xfId="0" applyFont="1" applyBorder="1"/>
    <xf numFmtId="0" fontId="26" fillId="0" borderId="11" xfId="0" applyFont="1" applyBorder="1"/>
    <xf numFmtId="192" fontId="26" fillId="0" borderId="11" xfId="0" applyNumberFormat="1" applyFont="1" applyBorder="1"/>
    <xf numFmtId="0" fontId="26" fillId="0" borderId="11" xfId="0" applyFont="1" applyBorder="1" applyAlignment="1">
      <alignment horizontal="left" indent="2"/>
    </xf>
    <xf numFmtId="181" fontId="29" fillId="0" borderId="11" xfId="0" applyNumberFormat="1" applyFont="1" applyBorder="1"/>
    <xf numFmtId="178" fontId="28" fillId="0" borderId="10" xfId="0" applyNumberFormat="1" applyFont="1" applyBorder="1"/>
    <xf numFmtId="0" fontId="26" fillId="0" borderId="0" xfId="0" applyFont="1" applyAlignment="1">
      <alignment horizontal="left"/>
    </xf>
    <xf numFmtId="9" fontId="26" fillId="0" borderId="0" xfId="1" applyFont="1" applyFill="1" applyBorder="1"/>
    <xf numFmtId="179" fontId="26" fillId="0" borderId="0" xfId="0" applyNumberFormat="1" applyFont="1"/>
    <xf numFmtId="179" fontId="26" fillId="0" borderId="0" xfId="1" applyNumberFormat="1" applyFont="1" applyFill="1" applyBorder="1"/>
    <xf numFmtId="188" fontId="27" fillId="0" borderId="0" xfId="0" applyNumberFormat="1" applyFont="1"/>
    <xf numFmtId="188" fontId="26" fillId="0" borderId="0" xfId="0" applyNumberFormat="1" applyFont="1"/>
    <xf numFmtId="187" fontId="26" fillId="0" borderId="0" xfId="1" applyNumberFormat="1" applyFont="1" applyFill="1"/>
    <xf numFmtId="192" fontId="28" fillId="0" borderId="11" xfId="0" applyNumberFormat="1" applyFont="1" applyBorder="1"/>
    <xf numFmtId="182" fontId="27" fillId="0" borderId="0" xfId="0" applyNumberFormat="1" applyFont="1"/>
    <xf numFmtId="167" fontId="34" fillId="0" borderId="0" xfId="1" applyNumberFormat="1" applyFont="1" applyFill="1" applyBorder="1"/>
    <xf numFmtId="182" fontId="30" fillId="0" borderId="0" xfId="0" applyNumberFormat="1" applyFont="1"/>
    <xf numFmtId="167" fontId="26" fillId="0" borderId="0" xfId="1" applyNumberFormat="1" applyFont="1" applyFill="1" applyBorder="1"/>
    <xf numFmtId="167" fontId="27" fillId="0" borderId="0" xfId="1" applyNumberFormat="1" applyFont="1" applyFill="1" applyBorder="1"/>
    <xf numFmtId="167" fontId="28" fillId="0" borderId="0" xfId="1" applyNumberFormat="1" applyFont="1" applyFill="1" applyBorder="1"/>
    <xf numFmtId="167" fontId="29" fillId="0" borderId="0" xfId="1" applyNumberFormat="1" applyFont="1" applyFill="1" applyBorder="1"/>
    <xf numFmtId="3" fontId="27" fillId="0" borderId="0" xfId="0" applyNumberFormat="1" applyFont="1"/>
    <xf numFmtId="3" fontId="26" fillId="0" borderId="0" xfId="0" applyNumberFormat="1" applyFont="1"/>
    <xf numFmtId="9" fontId="28" fillId="0" borderId="0" xfId="1" applyFont="1" applyFill="1" applyBorder="1"/>
    <xf numFmtId="179" fontId="27" fillId="0" borderId="0" xfId="0" applyNumberFormat="1" applyFont="1"/>
    <xf numFmtId="179" fontId="30" fillId="0" borderId="0" xfId="0" applyNumberFormat="1" applyFont="1"/>
    <xf numFmtId="180" fontId="28" fillId="0" borderId="0" xfId="0" applyNumberFormat="1" applyFont="1"/>
    <xf numFmtId="194" fontId="30" fillId="0" borderId="0" xfId="0" applyNumberFormat="1" applyFont="1"/>
    <xf numFmtId="194" fontId="31" fillId="0" borderId="0" xfId="0" applyNumberFormat="1" applyFont="1"/>
    <xf numFmtId="1" fontId="27" fillId="0" borderId="0" xfId="0" applyNumberFormat="1" applyFont="1"/>
    <xf numFmtId="1" fontId="26" fillId="0" borderId="0" xfId="1" applyNumberFormat="1" applyFont="1" applyFill="1" applyBorder="1"/>
    <xf numFmtId="1" fontId="28" fillId="0" borderId="0" xfId="0" applyNumberFormat="1" applyFont="1"/>
    <xf numFmtId="1" fontId="34" fillId="0" borderId="0" xfId="0" applyNumberFormat="1" applyFont="1"/>
    <xf numFmtId="1" fontId="31" fillId="0" borderId="0" xfId="0" applyNumberFormat="1" applyFont="1"/>
    <xf numFmtId="179" fontId="27" fillId="0" borderId="6" xfId="0" applyNumberFormat="1" applyFont="1" applyBorder="1"/>
    <xf numFmtId="167" fontId="27" fillId="0" borderId="7" xfId="1" applyNumberFormat="1" applyFont="1" applyFill="1" applyBorder="1"/>
    <xf numFmtId="0" fontId="26" fillId="0" borderId="4" xfId="0" applyFont="1" applyBorder="1"/>
    <xf numFmtId="1" fontId="27" fillId="0" borderId="4" xfId="0" applyNumberFormat="1" applyFont="1" applyBorder="1"/>
    <xf numFmtId="195" fontId="26" fillId="0" borderId="0" xfId="1" applyNumberFormat="1" applyFont="1" applyFill="1" applyBorder="1"/>
    <xf numFmtId="196" fontId="26" fillId="0" borderId="0" xfId="0" applyNumberFormat="1" applyFont="1"/>
    <xf numFmtId="196" fontId="26" fillId="0" borderId="0" xfId="1" applyNumberFormat="1" applyFont="1" applyFill="1" applyBorder="1"/>
    <xf numFmtId="9" fontId="27" fillId="0" borderId="4" xfId="1" applyFont="1" applyFill="1" applyBorder="1"/>
    <xf numFmtId="1" fontId="30" fillId="0" borderId="0" xfId="1" applyNumberFormat="1" applyFont="1" applyFill="1" applyBorder="1"/>
    <xf numFmtId="165" fontId="29" fillId="0" borderId="0" xfId="1" applyNumberFormat="1" applyFont="1" applyFill="1" applyBorder="1"/>
    <xf numFmtId="1" fontId="29" fillId="0" borderId="0" xfId="1" applyNumberFormat="1" applyFont="1" applyFill="1" applyBorder="1"/>
    <xf numFmtId="1" fontId="27" fillId="0" borderId="4" xfId="1" applyNumberFormat="1" applyFont="1" applyFill="1" applyBorder="1"/>
    <xf numFmtId="165" fontId="26" fillId="0" borderId="0" xfId="0" applyNumberFormat="1" applyFont="1"/>
    <xf numFmtId="1" fontId="27" fillId="0" borderId="0" xfId="1" applyNumberFormat="1" applyFont="1" applyFill="1" applyBorder="1"/>
    <xf numFmtId="0" fontId="26" fillId="0" borderId="8" xfId="0" applyFont="1" applyBorder="1"/>
    <xf numFmtId="179" fontId="30" fillId="0" borderId="8" xfId="0" applyNumberFormat="1" applyFont="1" applyBorder="1"/>
    <xf numFmtId="196" fontId="26" fillId="0" borderId="8" xfId="0" applyNumberFormat="1" applyFont="1" applyBorder="1"/>
    <xf numFmtId="169" fontId="30" fillId="0" borderId="0" xfId="0" applyNumberFormat="1" applyFont="1"/>
    <xf numFmtId="169" fontId="29" fillId="0" borderId="0" xfId="0" applyNumberFormat="1" applyFont="1"/>
    <xf numFmtId="186" fontId="34" fillId="0" borderId="0" xfId="1" applyNumberFormat="1" applyFont="1" applyFill="1" applyBorder="1"/>
    <xf numFmtId="195" fontId="26" fillId="0" borderId="6" xfId="1" applyNumberFormat="1" applyFont="1" applyFill="1" applyBorder="1"/>
    <xf numFmtId="196" fontId="26" fillId="0" borderId="6" xfId="0" applyNumberFormat="1" applyFont="1" applyBorder="1"/>
    <xf numFmtId="196" fontId="26" fillId="0" borderId="6" xfId="1" applyNumberFormat="1" applyFont="1" applyFill="1" applyBorder="1"/>
    <xf numFmtId="1" fontId="28" fillId="0" borderId="0" xfId="1" applyNumberFormat="1" applyFont="1" applyFill="1" applyBorder="1"/>
    <xf numFmtId="1" fontId="28" fillId="0" borderId="0" xfId="1" applyNumberFormat="1" applyFont="1" applyBorder="1"/>
    <xf numFmtId="169" fontId="39" fillId="0" borderId="0" xfId="0" applyNumberFormat="1" applyFont="1"/>
    <xf numFmtId="169" fontId="33" fillId="0" borderId="0" xfId="0" applyNumberFormat="1" applyFont="1"/>
    <xf numFmtId="167" fontId="28" fillId="0" borderId="0" xfId="1" applyNumberFormat="1" applyFont="1"/>
    <xf numFmtId="169" fontId="31" fillId="0" borderId="0" xfId="0" applyNumberFormat="1" applyFont="1"/>
    <xf numFmtId="184" fontId="34" fillId="0" borderId="0" xfId="0" applyNumberFormat="1" applyFont="1"/>
    <xf numFmtId="9" fontId="34" fillId="0" borderId="0" xfId="1" applyFont="1" applyFill="1" applyBorder="1"/>
    <xf numFmtId="184" fontId="29" fillId="0" borderId="0" xfId="0" applyNumberFormat="1" applyFont="1"/>
    <xf numFmtId="165" fontId="29" fillId="0" borderId="0" xfId="0" applyNumberFormat="1" applyFont="1"/>
    <xf numFmtId="181" fontId="23" fillId="0" borderId="1" xfId="0" applyNumberFormat="1" applyFont="1" applyBorder="1" applyAlignment="1">
      <alignment horizontal="center"/>
    </xf>
    <xf numFmtId="175" fontId="24" fillId="0" borderId="1" xfId="0" applyNumberFormat="1" applyFont="1" applyBorder="1" applyAlignment="1">
      <alignment horizontal="center"/>
    </xf>
    <xf numFmtId="170" fontId="27" fillId="0" borderId="0" xfId="0" applyNumberFormat="1" applyFont="1"/>
    <xf numFmtId="168" fontId="31" fillId="0" borderId="0" xfId="0" applyNumberFormat="1" applyFont="1"/>
    <xf numFmtId="178" fontId="37" fillId="0" borderId="0" xfId="0" applyNumberFormat="1" applyFont="1"/>
    <xf numFmtId="168" fontId="28" fillId="0" borderId="0" xfId="0" applyNumberFormat="1" applyFont="1"/>
    <xf numFmtId="0" fontId="33" fillId="0" borderId="10" xfId="0" applyFont="1" applyBorder="1"/>
    <xf numFmtId="0" fontId="15" fillId="0" borderId="10" xfId="0" applyFont="1" applyBorder="1"/>
    <xf numFmtId="169" fontId="36" fillId="0" borderId="10" xfId="0" applyNumberFormat="1" applyFont="1" applyBorder="1"/>
    <xf numFmtId="169" fontId="15" fillId="0" borderId="10" xfId="0" applyNumberFormat="1" applyFont="1" applyBorder="1"/>
    <xf numFmtId="169" fontId="27" fillId="0" borderId="8" xfId="0" applyNumberFormat="1" applyFont="1" applyBorder="1"/>
    <xf numFmtId="184" fontId="34" fillId="0" borderId="8" xfId="0" applyNumberFormat="1" applyFont="1" applyBorder="1"/>
    <xf numFmtId="198" fontId="28" fillId="0" borderId="8" xfId="0" applyNumberFormat="1" applyFont="1" applyBorder="1"/>
    <xf numFmtId="192" fontId="28" fillId="0" borderId="0" xfId="1" applyNumberFormat="1" applyFont="1" applyFill="1" applyBorder="1"/>
    <xf numFmtId="178" fontId="29" fillId="0" borderId="8" xfId="0" applyNumberFormat="1" applyFont="1" applyBorder="1"/>
    <xf numFmtId="192" fontId="28" fillId="0" borderId="8" xfId="1" applyNumberFormat="1" applyFont="1" applyFill="1" applyBorder="1"/>
    <xf numFmtId="165" fontId="29" fillId="0" borderId="7" xfId="0" applyNumberFormat="1" applyFont="1" applyBorder="1"/>
    <xf numFmtId="198" fontId="31" fillId="0" borderId="0" xfId="0" applyNumberFormat="1" applyFont="1"/>
    <xf numFmtId="9" fontId="27" fillId="5" borderId="10" xfId="1" applyFont="1" applyFill="1" applyBorder="1"/>
    <xf numFmtId="197" fontId="27" fillId="5" borderId="0" xfId="0" applyNumberFormat="1" applyFont="1" applyFill="1"/>
    <xf numFmtId="184" fontId="40" fillId="5" borderId="0" xfId="0" applyNumberFormat="1" applyFont="1" applyFill="1" applyAlignment="1">
      <alignment horizontal="right"/>
    </xf>
    <xf numFmtId="185" fontId="40" fillId="5" borderId="0" xfId="0" applyNumberFormat="1" applyFont="1" applyFill="1" applyAlignment="1">
      <alignment horizontal="right"/>
    </xf>
    <xf numFmtId="198" fontId="28" fillId="0" borderId="0" xfId="0" applyNumberFormat="1" applyFont="1"/>
    <xf numFmtId="169" fontId="27" fillId="0" borderId="11" xfId="0" applyNumberFormat="1" applyFont="1" applyBorder="1"/>
    <xf numFmtId="184" fontId="34" fillId="0" borderId="11" xfId="0" applyNumberFormat="1" applyFont="1" applyBorder="1"/>
    <xf numFmtId="198" fontId="28" fillId="0" borderId="11" xfId="0" applyNumberFormat="1" applyFont="1" applyBorder="1"/>
    <xf numFmtId="197" fontId="26" fillId="0" borderId="0" xfId="0" applyNumberFormat="1" applyFont="1"/>
    <xf numFmtId="9" fontId="27" fillId="5" borderId="0" xfId="1" applyFont="1" applyFill="1" applyBorder="1"/>
    <xf numFmtId="169" fontId="26" fillId="0" borderId="11" xfId="0" applyNumberFormat="1" applyFont="1" applyBorder="1"/>
    <xf numFmtId="178" fontId="28" fillId="0" borderId="8" xfId="0" applyNumberFormat="1" applyFont="1" applyBorder="1"/>
    <xf numFmtId="169" fontId="27" fillId="5" borderId="7" xfId="0" applyNumberFormat="1" applyFont="1" applyFill="1" applyBorder="1"/>
    <xf numFmtId="198" fontId="28" fillId="2" borderId="0" xfId="0" applyNumberFormat="1" applyFont="1" applyFill="1"/>
    <xf numFmtId="167" fontId="27" fillId="5" borderId="0" xfId="1" applyNumberFormat="1" applyFont="1" applyFill="1" applyBorder="1"/>
    <xf numFmtId="170" fontId="28" fillId="0" borderId="0" xfId="0" applyNumberFormat="1" applyFont="1"/>
    <xf numFmtId="185" fontId="27" fillId="5" borderId="0" xfId="0" applyNumberFormat="1" applyFont="1" applyFill="1"/>
    <xf numFmtId="0" fontId="27" fillId="5" borderId="0" xfId="0" applyFont="1" applyFill="1" applyAlignment="1">
      <alignment horizontal="right"/>
    </xf>
    <xf numFmtId="170" fontId="28" fillId="2" borderId="0" xfId="0" applyNumberFormat="1" applyFont="1" applyFill="1"/>
    <xf numFmtId="170" fontId="29" fillId="0" borderId="11" xfId="0" applyNumberFormat="1" applyFont="1" applyBorder="1"/>
    <xf numFmtId="185" fontId="27" fillId="0" borderId="0" xfId="0" applyNumberFormat="1" applyFont="1"/>
    <xf numFmtId="0" fontId="27" fillId="0" borderId="0" xfId="0" applyFont="1" applyAlignment="1">
      <alignment horizontal="right"/>
    </xf>
    <xf numFmtId="170" fontId="28" fillId="0" borderId="11" xfId="0" applyNumberFormat="1" applyFont="1" applyBorder="1"/>
    <xf numFmtId="169" fontId="26" fillId="0" borderId="10" xfId="0" applyNumberFormat="1" applyFont="1" applyBorder="1"/>
    <xf numFmtId="10" fontId="27" fillId="5" borderId="0" xfId="1" applyNumberFormat="1" applyFont="1" applyFill="1" applyBorder="1"/>
    <xf numFmtId="169" fontId="29" fillId="0" borderId="11" xfId="0" applyNumberFormat="1" applyFont="1" applyBorder="1"/>
    <xf numFmtId="0" fontId="29" fillId="0" borderId="10" xfId="0" applyFont="1" applyBorder="1"/>
    <xf numFmtId="169" fontId="29" fillId="0" borderId="10" xfId="0" applyNumberFormat="1" applyFont="1" applyBorder="1"/>
    <xf numFmtId="1" fontId="30" fillId="5" borderId="0" xfId="1" applyNumberFormat="1" applyFont="1" applyFill="1" applyBorder="1"/>
    <xf numFmtId="10" fontId="35" fillId="0" borderId="0" xfId="1" applyNumberFormat="1" applyFont="1"/>
    <xf numFmtId="10" fontId="35" fillId="0" borderId="0" xfId="1" applyNumberFormat="1" applyFont="1" applyBorder="1"/>
    <xf numFmtId="10" fontId="26" fillId="5" borderId="0" xfId="1" applyNumberFormat="1" applyFont="1" applyFill="1" applyBorder="1"/>
    <xf numFmtId="186" fontId="21" fillId="0" borderId="0" xfId="0" applyNumberFormat="1" applyFont="1"/>
    <xf numFmtId="9" fontId="27" fillId="5" borderId="0" xfId="1" applyFont="1" applyFill="1"/>
    <xf numFmtId="199" fontId="26" fillId="0" borderId="0" xfId="0" applyNumberFormat="1" applyFont="1"/>
    <xf numFmtId="169" fontId="27" fillId="0" borderId="10" xfId="0" applyNumberFormat="1" applyFont="1" applyBorder="1"/>
    <xf numFmtId="1" fontId="27" fillId="0" borderId="10" xfId="0" applyNumberFormat="1" applyFont="1" applyBorder="1"/>
    <xf numFmtId="0" fontId="28" fillId="0" borderId="8" xfId="0" applyFont="1" applyBorder="1"/>
    <xf numFmtId="169" fontId="28" fillId="0" borderId="8" xfId="0" applyNumberFormat="1" applyFont="1" applyBorder="1"/>
    <xf numFmtId="0" fontId="28" fillId="0" borderId="0" xfId="0" applyFont="1"/>
    <xf numFmtId="9" fontId="27" fillId="0" borderId="0" xfId="1" applyFont="1" applyBorder="1"/>
    <xf numFmtId="167" fontId="28" fillId="0" borderId="0" xfId="1" applyNumberFormat="1" applyFont="1" applyBorder="1"/>
    <xf numFmtId="0" fontId="28" fillId="0" borderId="7" xfId="0" applyFont="1" applyBorder="1"/>
    <xf numFmtId="169" fontId="27" fillId="0" borderId="7" xfId="0" applyNumberFormat="1" applyFont="1" applyBorder="1"/>
    <xf numFmtId="198" fontId="27" fillId="0" borderId="8" xfId="0" applyNumberFormat="1" applyFont="1" applyBorder="1"/>
    <xf numFmtId="169" fontId="26" fillId="0" borderId="7" xfId="0" applyNumberFormat="1" applyFont="1" applyBorder="1"/>
    <xf numFmtId="1" fontId="34" fillId="0" borderId="6" xfId="0" applyNumberFormat="1" applyFont="1" applyBorder="1"/>
    <xf numFmtId="169" fontId="26" fillId="0" borderId="6" xfId="0" applyNumberFormat="1" applyFont="1" applyBorder="1"/>
    <xf numFmtId="167" fontId="26" fillId="0" borderId="7" xfId="1" applyNumberFormat="1" applyFont="1" applyBorder="1"/>
    <xf numFmtId="167" fontId="27" fillId="0" borderId="0" xfId="1" applyNumberFormat="1" applyFont="1"/>
    <xf numFmtId="167" fontId="26" fillId="5" borderId="0" xfId="1" applyNumberFormat="1" applyFont="1" applyFill="1"/>
    <xf numFmtId="167" fontId="28" fillId="5" borderId="0" xfId="1" applyNumberFormat="1" applyFont="1" applyFill="1"/>
    <xf numFmtId="169" fontId="29" fillId="0" borderId="8" xfId="0" applyNumberFormat="1" applyFont="1" applyBorder="1"/>
    <xf numFmtId="169" fontId="26" fillId="0" borderId="8" xfId="0" applyNumberFormat="1" applyFont="1" applyBorder="1"/>
    <xf numFmtId="178" fontId="27" fillId="0" borderId="11" xfId="0" applyNumberFormat="1" applyFont="1" applyBorder="1"/>
    <xf numFmtId="0" fontId="42" fillId="0" borderId="0" xfId="0" applyFont="1"/>
    <xf numFmtId="178" fontId="29" fillId="0" borderId="0" xfId="0" applyNumberFormat="1" applyFont="1"/>
    <xf numFmtId="169" fontId="29" fillId="0" borderId="7" xfId="0" applyNumberFormat="1" applyFont="1" applyBorder="1"/>
    <xf numFmtId="0" fontId="43" fillId="0" borderId="0" xfId="0" applyFont="1"/>
    <xf numFmtId="169" fontId="43" fillId="0" borderId="8" xfId="0" applyNumberFormat="1" applyFont="1" applyBorder="1"/>
    <xf numFmtId="169" fontId="27" fillId="5" borderId="0" xfId="0" applyNumberFormat="1" applyFont="1" applyFill="1"/>
    <xf numFmtId="0" fontId="33" fillId="0" borderId="0" xfId="0" applyFont="1" applyAlignment="1">
      <alignment horizontal="center"/>
    </xf>
    <xf numFmtId="178" fontId="33" fillId="0" borderId="0" xfId="0" applyNumberFormat="1" applyFont="1" applyAlignment="1">
      <alignment horizontal="center"/>
    </xf>
    <xf numFmtId="0" fontId="33" fillId="0" borderId="6" xfId="0" applyFont="1" applyBorder="1"/>
    <xf numFmtId="0" fontId="33" fillId="0" borderId="6" xfId="0" applyFont="1" applyBorder="1" applyAlignment="1">
      <alignment horizontal="center"/>
    </xf>
    <xf numFmtId="178" fontId="33" fillId="0" borderId="6" xfId="0" applyNumberFormat="1" applyFont="1" applyBorder="1" applyAlignment="1">
      <alignment horizontal="center"/>
    </xf>
    <xf numFmtId="0" fontId="15" fillId="0" borderId="6" xfId="0" applyFont="1" applyBorder="1"/>
    <xf numFmtId="169" fontId="15" fillId="0" borderId="6" xfId="0" applyNumberFormat="1" applyFont="1" applyBorder="1"/>
    <xf numFmtId="0" fontId="30" fillId="5" borderId="0" xfId="0" applyFont="1" applyFill="1"/>
    <xf numFmtId="178" fontId="30" fillId="5" borderId="0" xfId="0" applyNumberFormat="1" applyFont="1" applyFill="1" applyAlignment="1">
      <alignment horizontal="center" vertical="center"/>
    </xf>
    <xf numFmtId="10" fontId="30" fillId="5" borderId="0" xfId="1" applyNumberFormat="1" applyFont="1" applyFill="1" applyAlignment="1">
      <alignment horizontal="center" vertical="center"/>
    </xf>
    <xf numFmtId="9" fontId="30" fillId="5" borderId="0" xfId="1" applyFont="1" applyFill="1" applyAlignment="1">
      <alignment horizontal="center" vertical="center"/>
    </xf>
    <xf numFmtId="10" fontId="26" fillId="0" borderId="0" xfId="1" applyNumberFormat="1" applyFont="1" applyFill="1" applyBorder="1"/>
    <xf numFmtId="10" fontId="44" fillId="5" borderId="0" xfId="1" applyNumberFormat="1" applyFont="1" applyFill="1" applyBorder="1"/>
    <xf numFmtId="9" fontId="44" fillId="5" borderId="0" xfId="1" applyFont="1" applyFill="1" applyBorder="1"/>
    <xf numFmtId="9" fontId="41" fillId="0" borderId="0" xfId="1" applyFont="1" applyFill="1" applyBorder="1"/>
    <xf numFmtId="167" fontId="44" fillId="5" borderId="0" xfId="1" applyNumberFormat="1" applyFont="1" applyFill="1" applyBorder="1"/>
    <xf numFmtId="167" fontId="41" fillId="0" borderId="0" xfId="1" applyNumberFormat="1" applyFont="1" applyFill="1" applyBorder="1"/>
    <xf numFmtId="169" fontId="41" fillId="0" borderId="0" xfId="0" applyNumberFormat="1" applyFont="1"/>
    <xf numFmtId="10" fontId="41" fillId="0" borderId="0" xfId="1" applyNumberFormat="1" applyFont="1" applyFill="1" applyBorder="1"/>
    <xf numFmtId="169" fontId="26" fillId="0" borderId="0" xfId="1" applyNumberFormat="1" applyFont="1" applyFill="1" applyBorder="1"/>
    <xf numFmtId="9" fontId="34" fillId="0" borderId="0" xfId="1" applyFont="1" applyBorder="1"/>
    <xf numFmtId="0" fontId="26" fillId="0" borderId="12" xfId="0" applyFont="1" applyBorder="1"/>
    <xf numFmtId="0" fontId="29" fillId="0" borderId="12" xfId="0" applyFont="1" applyBorder="1"/>
    <xf numFmtId="169" fontId="26" fillId="0" borderId="12" xfId="0" applyNumberFormat="1" applyFont="1" applyBorder="1"/>
    <xf numFmtId="181" fontId="29" fillId="0" borderId="8" xfId="0" applyNumberFormat="1" applyFont="1" applyBorder="1"/>
    <xf numFmtId="191" fontId="28" fillId="2" borderId="0" xfId="0" applyNumberFormat="1" applyFont="1" applyFill="1"/>
    <xf numFmtId="191" fontId="28" fillId="2" borderId="10" xfId="0" applyNumberFormat="1" applyFont="1" applyFill="1" applyBorder="1"/>
    <xf numFmtId="191" fontId="27" fillId="0" borderId="6" xfId="0" applyNumberFormat="1" applyFont="1" applyBorder="1"/>
    <xf numFmtId="192" fontId="26" fillId="0" borderId="10" xfId="0" applyNumberFormat="1" applyFont="1" applyBorder="1" applyAlignment="1">
      <alignment horizontal="right"/>
    </xf>
    <xf numFmtId="0" fontId="26" fillId="0" borderId="13" xfId="0" applyFont="1" applyBorder="1"/>
    <xf numFmtId="192" fontId="28" fillId="0" borderId="13" xfId="0" applyNumberFormat="1" applyFont="1" applyBorder="1"/>
    <xf numFmtId="181" fontId="38" fillId="0" borderId="0" xfId="0" applyNumberFormat="1" applyFont="1"/>
    <xf numFmtId="173" fontId="15" fillId="0" borderId="0" xfId="0" applyNumberFormat="1" applyFont="1"/>
    <xf numFmtId="170" fontId="26" fillId="0" borderId="8" xfId="0" applyNumberFormat="1" applyFont="1" applyBorder="1"/>
    <xf numFmtId="169" fontId="26" fillId="0" borderId="8" xfId="1" applyNumberFormat="1" applyFont="1" applyFill="1" applyBorder="1"/>
    <xf numFmtId="167" fontId="27" fillId="5" borderId="0" xfId="1" applyNumberFormat="1" applyFont="1" applyFill="1"/>
    <xf numFmtId="10" fontId="27" fillId="5" borderId="0" xfId="1" applyNumberFormat="1" applyFont="1" applyFill="1"/>
    <xf numFmtId="167" fontId="27" fillId="0" borderId="0" xfId="1" applyNumberFormat="1" applyFont="1" applyBorder="1"/>
    <xf numFmtId="167" fontId="26" fillId="0" borderId="6" xfId="1" applyNumberFormat="1" applyFont="1" applyBorder="1"/>
    <xf numFmtId="178" fontId="26" fillId="5" borderId="0" xfId="0" applyNumberFormat="1" applyFont="1" applyFill="1"/>
    <xf numFmtId="167" fontId="27" fillId="5" borderId="6" xfId="1" applyNumberFormat="1" applyFont="1" applyFill="1" applyBorder="1"/>
    <xf numFmtId="170" fontId="26" fillId="0" borderId="6" xfId="0" applyNumberFormat="1" applyFont="1" applyBorder="1"/>
    <xf numFmtId="178" fontId="26" fillId="0" borderId="6" xfId="0" applyNumberFormat="1" applyFont="1" applyBorder="1"/>
    <xf numFmtId="9" fontId="27" fillId="0" borderId="6" xfId="1" applyFont="1" applyBorder="1"/>
    <xf numFmtId="178" fontId="26" fillId="5" borderId="6" xfId="0" applyNumberFormat="1" applyFont="1" applyFill="1" applyBorder="1"/>
    <xf numFmtId="192" fontId="28" fillId="0" borderId="0" xfId="1" applyNumberFormat="1" applyFont="1" applyBorder="1"/>
    <xf numFmtId="192" fontId="31" fillId="0" borderId="0" xfId="1" applyNumberFormat="1" applyFont="1" applyBorder="1"/>
    <xf numFmtId="181" fontId="38" fillId="0" borderId="6" xfId="0" applyNumberFormat="1" applyFont="1" applyBorder="1"/>
    <xf numFmtId="0" fontId="26" fillId="0" borderId="0" xfId="0" applyFont="1" applyAlignment="1">
      <alignment horizontal="left" indent="1"/>
    </xf>
    <xf numFmtId="0" fontId="28" fillId="0" borderId="11" xfId="0" applyFont="1" applyBorder="1" applyAlignment="1">
      <alignment horizontal="left" indent="1"/>
    </xf>
    <xf numFmtId="0" fontId="28" fillId="0" borderId="11" xfId="0" applyFont="1" applyBorder="1"/>
    <xf numFmtId="181" fontId="38" fillId="0" borderId="11" xfId="0" applyNumberFormat="1" applyFont="1" applyBorder="1"/>
    <xf numFmtId="0" fontId="26" fillId="0" borderId="6" xfId="0" applyFont="1" applyBorder="1" applyAlignment="1">
      <alignment horizontal="left" indent="1"/>
    </xf>
    <xf numFmtId="178" fontId="27" fillId="5" borderId="6" xfId="0" applyNumberFormat="1" applyFont="1" applyFill="1" applyBorder="1"/>
    <xf numFmtId="178" fontId="27" fillId="5" borderId="0" xfId="0" applyNumberFormat="1" applyFont="1" applyFill="1"/>
    <xf numFmtId="181" fontId="29" fillId="0" borderId="12" xfId="0" applyNumberFormat="1" applyFont="1" applyBorder="1"/>
    <xf numFmtId="0" fontId="26" fillId="0" borderId="11" xfId="0" applyFont="1" applyBorder="1" applyAlignment="1">
      <alignment horizontal="left"/>
    </xf>
    <xf numFmtId="169" fontId="26" fillId="0" borderId="14" xfId="0" applyNumberFormat="1" applyFont="1" applyBorder="1"/>
    <xf numFmtId="181" fontId="29" fillId="0" borderId="6" xfId="0" applyNumberFormat="1" applyFont="1" applyBorder="1"/>
    <xf numFmtId="181" fontId="26" fillId="0" borderId="7" xfId="0" applyNumberFormat="1" applyFont="1" applyBorder="1"/>
    <xf numFmtId="192" fontId="26" fillId="0" borderId="10" xfId="0" applyNumberFormat="1" applyFont="1" applyBorder="1"/>
    <xf numFmtId="1" fontId="27" fillId="5" borderId="4" xfId="0" applyNumberFormat="1" applyFont="1" applyFill="1" applyBorder="1"/>
    <xf numFmtId="1" fontId="27" fillId="5" borderId="4" xfId="1" applyNumberFormat="1" applyFont="1" applyFill="1" applyBorder="1"/>
    <xf numFmtId="167" fontId="35" fillId="0" borderId="0" xfId="1" applyNumberFormat="1" applyFont="1"/>
    <xf numFmtId="167" fontId="26" fillId="0" borderId="0" xfId="1" applyNumberFormat="1" applyFont="1" applyFill="1"/>
    <xf numFmtId="200" fontId="28" fillId="0" borderId="0" xfId="0" applyNumberFormat="1" applyFont="1"/>
    <xf numFmtId="200" fontId="28" fillId="0" borderId="0" xfId="0" applyNumberFormat="1" applyFont="1" applyAlignment="1">
      <alignment horizontal="right"/>
    </xf>
    <xf numFmtId="200" fontId="28" fillId="2" borderId="0" xfId="0" applyNumberFormat="1" applyFont="1" applyFill="1" applyAlignment="1">
      <alignment horizontal="right"/>
    </xf>
    <xf numFmtId="174" fontId="29" fillId="2" borderId="0" xfId="0" applyNumberFormat="1" applyFont="1" applyFill="1"/>
    <xf numFmtId="187" fontId="26" fillId="2" borderId="0" xfId="1" applyNumberFormat="1" applyFont="1" applyFill="1"/>
    <xf numFmtId="181" fontId="9" fillId="0" borderId="1" xfId="0" applyNumberFormat="1" applyFont="1" applyBorder="1" applyAlignment="1">
      <alignment horizontal="center"/>
    </xf>
    <xf numFmtId="181" fontId="13" fillId="0" borderId="0" xfId="0" applyNumberFormat="1" applyFont="1"/>
    <xf numFmtId="167" fontId="45" fillId="5" borderId="7" xfId="1" applyNumberFormat="1" applyFont="1" applyFill="1" applyBorder="1"/>
    <xf numFmtId="172" fontId="29" fillId="0" borderId="0" xfId="1" applyNumberFormat="1" applyFont="1" applyBorder="1"/>
    <xf numFmtId="172" fontId="29" fillId="0" borderId="0" xfId="1" applyNumberFormat="1" applyFont="1"/>
    <xf numFmtId="184" fontId="27" fillId="0" borderId="0" xfId="1" applyNumberFormat="1" applyFont="1" applyBorder="1"/>
    <xf numFmtId="184" fontId="27" fillId="0" borderId="0" xfId="1" applyNumberFormat="1" applyFont="1"/>
    <xf numFmtId="184" fontId="26" fillId="0" borderId="0" xfId="1" applyNumberFormat="1" applyFont="1" applyBorder="1"/>
    <xf numFmtId="10" fontId="27" fillId="0" borderId="0" xfId="1" applyNumberFormat="1" applyFont="1"/>
    <xf numFmtId="1" fontId="27" fillId="0" borderId="0" xfId="1" applyNumberFormat="1" applyFont="1" applyBorder="1"/>
    <xf numFmtId="1" fontId="27" fillId="0" borderId="0" xfId="1" applyNumberFormat="1" applyFont="1"/>
    <xf numFmtId="9" fontId="27" fillId="0" borderId="0" xfId="1" applyFont="1" applyFill="1"/>
    <xf numFmtId="10" fontId="27" fillId="0" borderId="0" xfId="1" applyNumberFormat="1" applyFont="1" applyFill="1" applyBorder="1"/>
    <xf numFmtId="10" fontId="27" fillId="0" borderId="0" xfId="1" applyNumberFormat="1" applyFont="1" applyFill="1"/>
    <xf numFmtId="167" fontId="27" fillId="0" borderId="0" xfId="1" applyNumberFormat="1" applyFont="1" applyFill="1"/>
    <xf numFmtId="0" fontId="46" fillId="4" borderId="0" xfId="0" applyFont="1" applyFill="1" applyAlignment="1">
      <alignment horizontal="right"/>
    </xf>
    <xf numFmtId="0" fontId="46" fillId="4" borderId="0" xfId="0" applyFont="1" applyFill="1"/>
    <xf numFmtId="0" fontId="18" fillId="4" borderId="0" xfId="0" applyFont="1" applyFill="1"/>
    <xf numFmtId="167" fontId="45" fillId="5" borderId="0" xfId="1" applyNumberFormat="1" applyFont="1" applyFill="1" applyBorder="1"/>
    <xf numFmtId="10" fontId="45" fillId="5" borderId="10" xfId="1" applyNumberFormat="1" applyFont="1" applyFill="1" applyBorder="1"/>
    <xf numFmtId="10" fontId="45" fillId="5" borderId="7" xfId="1" applyNumberFormat="1" applyFont="1" applyFill="1" applyBorder="1"/>
    <xf numFmtId="0" fontId="26" fillId="0" borderId="7" xfId="0" applyFont="1" applyBorder="1" applyAlignment="1">
      <alignment horizontal="left" indent="2"/>
    </xf>
    <xf numFmtId="184" fontId="27" fillId="0" borderId="7" xfId="1" applyNumberFormat="1" applyFont="1" applyBorder="1"/>
    <xf numFmtId="10" fontId="27" fillId="0" borderId="7" xfId="1" applyNumberFormat="1" applyFont="1" applyFill="1" applyBorder="1"/>
    <xf numFmtId="0" fontId="47" fillId="4" borderId="0" xfId="0" applyFont="1" applyFill="1" applyAlignment="1">
      <alignment horizontal="left"/>
    </xf>
    <xf numFmtId="0" fontId="48" fillId="4" borderId="0" xfId="0" applyFont="1" applyFill="1"/>
    <xf numFmtId="172" fontId="47" fillId="4" borderId="0" xfId="1" applyNumberFormat="1" applyFont="1" applyFill="1" applyBorder="1"/>
    <xf numFmtId="172" fontId="47" fillId="4" borderId="0" xfId="1" applyNumberFormat="1" applyFont="1" applyFill="1"/>
    <xf numFmtId="184" fontId="31" fillId="6" borderId="0" xfId="1" applyNumberFormat="1" applyFont="1" applyFill="1" applyBorder="1"/>
    <xf numFmtId="167" fontId="31" fillId="6" borderId="0" xfId="1" applyNumberFormat="1" applyFont="1" applyFill="1"/>
    <xf numFmtId="0" fontId="29" fillId="0" borderId="0" xfId="0" applyFont="1" applyAlignment="1">
      <alignment horizontal="left" indent="2"/>
    </xf>
    <xf numFmtId="10" fontId="45" fillId="5" borderId="0" xfId="1" applyNumberFormat="1" applyFont="1" applyFill="1" applyBorder="1"/>
    <xf numFmtId="202" fontId="26" fillId="5" borderId="0" xfId="0" applyNumberFormat="1" applyFont="1" applyFill="1"/>
    <xf numFmtId="201" fontId="28" fillId="0" borderId="0" xfId="0" applyNumberFormat="1" applyFont="1"/>
    <xf numFmtId="166" fontId="28" fillId="0" borderId="0" xfId="0" applyNumberFormat="1" applyFont="1"/>
    <xf numFmtId="203" fontId="28" fillId="0" borderId="0" xfId="0" applyNumberFormat="1" applyFont="1"/>
    <xf numFmtId="175" fontId="25" fillId="0" borderId="6" xfId="0" applyNumberFormat="1" applyFont="1" applyBorder="1" applyAlignment="1">
      <alignment horizontal="right"/>
    </xf>
    <xf numFmtId="0" fontId="49" fillId="0" borderId="0" xfId="0" applyFont="1"/>
    <xf numFmtId="0" fontId="28" fillId="0" borderId="0" xfId="0" applyFont="1" applyBorder="1"/>
    <xf numFmtId="0" fontId="28" fillId="0" borderId="0" xfId="0" applyFont="1" applyFill="1" applyBorder="1"/>
    <xf numFmtId="0" fontId="0" fillId="0" borderId="6" xfId="0" applyBorder="1"/>
    <xf numFmtId="192" fontId="0" fillId="0" borderId="0" xfId="0" applyNumberFormat="1"/>
    <xf numFmtId="192" fontId="26" fillId="0" borderId="0" xfId="0" applyNumberFormat="1" applyFont="1" applyBorder="1"/>
    <xf numFmtId="0" fontId="51" fillId="0" borderId="0" xfId="0" applyFont="1"/>
    <xf numFmtId="0" fontId="51" fillId="0" borderId="15" xfId="0" applyFont="1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26" fillId="0" borderId="17" xfId="0" applyFont="1" applyBorder="1"/>
    <xf numFmtId="0" fontId="26" fillId="0" borderId="0" xfId="0" applyFont="1" applyBorder="1"/>
    <xf numFmtId="0" fontId="26" fillId="0" borderId="19" xfId="0" applyFont="1" applyBorder="1"/>
    <xf numFmtId="0" fontId="26" fillId="0" borderId="21" xfId="0" applyFont="1" applyBorder="1"/>
    <xf numFmtId="0" fontId="0" fillId="0" borderId="7" xfId="0" applyBorder="1"/>
    <xf numFmtId="0" fontId="0" fillId="0" borderId="22" xfId="0" applyBorder="1"/>
    <xf numFmtId="9" fontId="27" fillId="0" borderId="18" xfId="1" applyFont="1" applyBorder="1"/>
    <xf numFmtId="167" fontId="27" fillId="0" borderId="18" xfId="1" applyNumberFormat="1" applyFont="1" applyBorder="1"/>
    <xf numFmtId="9" fontId="27" fillId="0" borderId="20" xfId="1" applyFont="1" applyBorder="1"/>
    <xf numFmtId="9" fontId="28" fillId="0" borderId="18" xfId="1" applyFont="1" applyBorder="1"/>
    <xf numFmtId="167" fontId="5" fillId="0" borderId="22" xfId="0" applyNumberFormat="1" applyFont="1" applyBorder="1"/>
    <xf numFmtId="0" fontId="0" fillId="0" borderId="21" xfId="0" applyBorder="1"/>
    <xf numFmtId="0" fontId="50" fillId="0" borderId="15" xfId="0" applyFont="1" applyBorder="1"/>
    <xf numFmtId="0" fontId="0" fillId="0" borderId="0" xfId="0" applyBorder="1" applyAlignment="1">
      <alignment horizontal="left"/>
    </xf>
    <xf numFmtId="9" fontId="4" fillId="0" borderId="0" xfId="1" applyFont="1" applyBorder="1" applyAlignment="1">
      <alignment horizontal="left"/>
    </xf>
    <xf numFmtId="208" fontId="0" fillId="0" borderId="0" xfId="0" applyNumberFormat="1" applyBorder="1" applyAlignment="1">
      <alignment horizontal="left"/>
    </xf>
    <xf numFmtId="170" fontId="0" fillId="0" borderId="7" xfId="0" applyNumberFormat="1" applyBorder="1"/>
    <xf numFmtId="192" fontId="45" fillId="0" borderId="0" xfId="0" applyNumberFormat="1" applyFont="1"/>
    <xf numFmtId="9" fontId="52" fillId="0" borderId="0" xfId="1" applyFont="1"/>
    <xf numFmtId="192" fontId="45" fillId="0" borderId="6" xfId="0" applyNumberFormat="1" applyFont="1" applyBorder="1"/>
    <xf numFmtId="1" fontId="4" fillId="0" borderId="0" xfId="0" applyNumberFormat="1" applyFont="1" applyBorder="1" applyAlignment="1">
      <alignment horizontal="left"/>
    </xf>
    <xf numFmtId="10" fontId="27" fillId="0" borderId="18" xfId="1" applyNumberFormat="1" applyFont="1" applyBorder="1"/>
    <xf numFmtId="176" fontId="27" fillId="0" borderId="18" xfId="1" applyNumberFormat="1" applyFont="1" applyBorder="1"/>
    <xf numFmtId="181" fontId="25" fillId="0" borderId="6" xfId="0" applyNumberFormat="1" applyFont="1" applyFill="1" applyBorder="1"/>
    <xf numFmtId="175" fontId="25" fillId="0" borderId="6" xfId="0" applyNumberFormat="1" applyFont="1" applyFill="1" applyBorder="1"/>
    <xf numFmtId="175" fontId="25" fillId="0" borderId="6" xfId="0" applyNumberFormat="1" applyFont="1" applyFill="1" applyBorder="1" applyAlignment="1">
      <alignment horizontal="right"/>
    </xf>
    <xf numFmtId="0" fontId="47" fillId="0" borderId="0" xfId="0" applyFont="1" applyFill="1" applyAlignment="1">
      <alignment horizontal="left"/>
    </xf>
    <xf numFmtId="0" fontId="48" fillId="0" borderId="0" xfId="0" applyFont="1" applyFill="1"/>
    <xf numFmtId="0" fontId="47" fillId="0" borderId="0" xfId="0" applyFont="1" applyFill="1"/>
    <xf numFmtId="172" fontId="47" fillId="0" borderId="0" xfId="1" applyNumberFormat="1" applyFont="1" applyFill="1" applyBorder="1"/>
    <xf numFmtId="172" fontId="47" fillId="0" borderId="0" xfId="1" applyNumberFormat="1" applyFont="1" applyFill="1"/>
    <xf numFmtId="0" fontId="2" fillId="0" borderId="7" xfId="0" applyFont="1" applyBorder="1"/>
    <xf numFmtId="0" fontId="29" fillId="0" borderId="0" xfId="0" applyFont="1" applyBorder="1"/>
    <xf numFmtId="200" fontId="26" fillId="0" borderId="0" xfId="0" applyNumberFormat="1" applyFont="1" applyBorder="1" applyAlignment="1">
      <alignment horizontal="left"/>
    </xf>
    <xf numFmtId="9" fontId="26" fillId="0" borderId="0" xfId="1" applyFont="1" applyBorder="1" applyAlignment="1">
      <alignment horizontal="left"/>
    </xf>
    <xf numFmtId="213" fontId="27" fillId="0" borderId="0" xfId="0" applyNumberFormat="1" applyFont="1" applyBorder="1" applyAlignment="1">
      <alignment horizontal="left"/>
    </xf>
    <xf numFmtId="167" fontId="26" fillId="0" borderId="0" xfId="1" applyNumberFormat="1" applyFont="1" applyAlignment="1">
      <alignment horizontal="left"/>
    </xf>
    <xf numFmtId="0" fontId="26" fillId="0" borderId="7" xfId="0" applyFont="1" applyBorder="1" applyAlignment="1"/>
    <xf numFmtId="0" fontId="26" fillId="0" borderId="7" xfId="0" applyFont="1" applyFill="1" applyBorder="1" applyAlignment="1"/>
    <xf numFmtId="0" fontId="26" fillId="0" borderId="0" xfId="0" applyFont="1" applyBorder="1" applyAlignment="1"/>
    <xf numFmtId="0" fontId="26" fillId="0" borderId="0" xfId="0" applyFont="1" applyFill="1" applyBorder="1" applyAlignment="1"/>
    <xf numFmtId="14" fontId="26" fillId="0" borderId="0" xfId="0" applyNumberFormat="1" applyFont="1" applyBorder="1" applyAlignment="1"/>
    <xf numFmtId="200" fontId="27" fillId="0" borderId="0" xfId="0" applyNumberFormat="1" applyFont="1" applyBorder="1" applyAlignment="1">
      <alignment horizontal="left"/>
    </xf>
    <xf numFmtId="217" fontId="27" fillId="0" borderId="0" xfId="0" applyNumberFormat="1" applyFont="1" applyBorder="1" applyAlignment="1">
      <alignment horizontal="left"/>
    </xf>
    <xf numFmtId="167" fontId="26" fillId="0" borderId="0" xfId="1" applyNumberFormat="1" applyFont="1" applyBorder="1" applyAlignment="1">
      <alignment horizontal="left"/>
    </xf>
    <xf numFmtId="9" fontId="27" fillId="0" borderId="0" xfId="1" applyFont="1" applyBorder="1" applyAlignment="1">
      <alignment horizontal="left"/>
    </xf>
    <xf numFmtId="14" fontId="26" fillId="0" borderId="0" xfId="0" applyNumberFormat="1" applyFont="1" applyBorder="1" applyAlignment="1">
      <alignment horizontal="left"/>
    </xf>
    <xf numFmtId="200" fontId="27" fillId="0" borderId="0" xfId="0" applyNumberFormat="1" applyFont="1" applyAlignment="1">
      <alignment horizontal="left"/>
    </xf>
    <xf numFmtId="9" fontId="27" fillId="0" borderId="0" xfId="1" applyFont="1" applyAlignment="1">
      <alignment horizontal="left"/>
    </xf>
    <xf numFmtId="9" fontId="26" fillId="0" borderId="0" xfId="1" applyNumberFormat="1" applyFont="1" applyAlignment="1">
      <alignment horizontal="left"/>
    </xf>
    <xf numFmtId="10" fontId="0" fillId="0" borderId="0" xfId="1" applyNumberFormat="1" applyFont="1"/>
    <xf numFmtId="10" fontId="2" fillId="0" borderId="0" xfId="0" applyNumberFormat="1" applyFont="1"/>
    <xf numFmtId="10" fontId="0" fillId="0" borderId="7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896AF"/>
      <color rgb="FFFFF5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Drop" dropStyle="combo" dx="26" fmlaLink="$B10" fmlaRange="$F$15:$F$17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857250</xdr:colOff>
          <xdr:row>10</xdr:row>
          <xdr:rowOff>19050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8FFD-10C2-4AE9-904F-88D2A28BAA10}">
  <dimension ref="B2:B5"/>
  <sheetViews>
    <sheetView showGridLines="0" workbookViewId="0">
      <selection activeCell="B3" sqref="B3"/>
    </sheetView>
  </sheetViews>
  <sheetFormatPr defaultRowHeight="14.4" x14ac:dyDescent="0.3"/>
  <cols>
    <col min="2" max="2" width="50.77734375" customWidth="1"/>
  </cols>
  <sheetData>
    <row r="2" spans="2:2" ht="25.8" x14ac:dyDescent="0.5">
      <c r="B2" s="1" t="s">
        <v>54</v>
      </c>
    </row>
    <row r="4" spans="2:2" x14ac:dyDescent="0.3">
      <c r="B4" t="s">
        <v>0</v>
      </c>
    </row>
    <row r="5" spans="2:2" x14ac:dyDescent="0.3">
      <c r="B5" s="2">
        <f>DATE(2026, 10, 11)</f>
        <v>46306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388C-1872-4C5A-ABA2-7F84AC8755B5}">
  <dimension ref="A2:L77"/>
  <sheetViews>
    <sheetView showGridLines="0" tabSelected="1" workbookViewId="0">
      <selection activeCell="G24" sqref="G24"/>
    </sheetView>
  </sheetViews>
  <sheetFormatPr defaultRowHeight="14.4" x14ac:dyDescent="0.3"/>
  <cols>
    <col min="2" max="5" width="12.44140625" bestFit="1" customWidth="1"/>
    <col min="6" max="6" width="12.6640625" bestFit="1" customWidth="1"/>
    <col min="7" max="12" width="12.44140625" bestFit="1" customWidth="1"/>
  </cols>
  <sheetData>
    <row r="2" spans="1:12" ht="28.8" x14ac:dyDescent="0.65">
      <c r="A2" s="51"/>
      <c r="B2" s="52" t="str">
        <f>Cover!$B$2</f>
        <v>Greggs</v>
      </c>
      <c r="C2" s="52"/>
      <c r="D2" s="53"/>
      <c r="E2" s="54"/>
      <c r="F2" s="54"/>
      <c r="G2" s="54"/>
      <c r="H2" s="54"/>
      <c r="I2" s="54"/>
      <c r="J2" s="54"/>
      <c r="K2" s="54"/>
      <c r="L2" s="54"/>
    </row>
    <row r="3" spans="1:12" ht="21" x14ac:dyDescent="0.5">
      <c r="A3" s="51"/>
      <c r="B3" s="55" t="s">
        <v>360</v>
      </c>
      <c r="C3" s="56"/>
      <c r="D3" s="54"/>
      <c r="E3" s="54"/>
      <c r="F3" s="54"/>
      <c r="G3" s="54"/>
      <c r="H3" s="378"/>
      <c r="I3" s="379"/>
      <c r="J3" s="379"/>
      <c r="K3" s="379"/>
      <c r="L3" s="377"/>
    </row>
    <row r="4" spans="1:12" ht="15.6" x14ac:dyDescent="0.35">
      <c r="A4" s="51"/>
      <c r="B4" s="57"/>
      <c r="C4" s="57"/>
      <c r="D4" s="57"/>
      <c r="E4" s="57"/>
      <c r="F4" s="57"/>
      <c r="G4" s="57"/>
      <c r="H4" s="57"/>
      <c r="I4" s="57"/>
      <c r="J4" s="57"/>
      <c r="K4" s="58"/>
      <c r="L4" s="58"/>
    </row>
    <row r="5" spans="1:12" ht="15.6" x14ac:dyDescent="0.35">
      <c r="A5" s="51"/>
      <c r="B5" s="58"/>
      <c r="C5" s="58"/>
      <c r="D5" s="58"/>
      <c r="E5" s="58"/>
      <c r="F5" s="59" t="s">
        <v>63</v>
      </c>
      <c r="G5" s="59"/>
      <c r="H5" s="59"/>
      <c r="I5" s="59"/>
      <c r="J5" s="59"/>
      <c r="K5" s="59"/>
      <c r="L5" s="59"/>
    </row>
    <row r="6" spans="1:12" ht="15.6" x14ac:dyDescent="0.35">
      <c r="A6" s="51"/>
      <c r="B6" s="58"/>
      <c r="C6" s="58"/>
      <c r="D6" s="58"/>
      <c r="E6" s="58"/>
      <c r="F6" s="60">
        <v>2024</v>
      </c>
      <c r="G6" s="60">
        <v>2025</v>
      </c>
      <c r="H6" s="61">
        <f>G6+1</f>
        <v>2026</v>
      </c>
      <c r="I6" s="61">
        <f t="shared" ref="I6:L6" si="0">H6+1</f>
        <v>2027</v>
      </c>
      <c r="J6" s="61">
        <f t="shared" si="0"/>
        <v>2028</v>
      </c>
      <c r="K6" s="61">
        <f t="shared" si="0"/>
        <v>2029</v>
      </c>
      <c r="L6" s="61">
        <f t="shared" si="0"/>
        <v>2030</v>
      </c>
    </row>
    <row r="7" spans="1:12" ht="16.2" thickBot="1" x14ac:dyDescent="0.4">
      <c r="A7" s="51"/>
      <c r="B7" s="62" t="s">
        <v>62</v>
      </c>
      <c r="C7" s="62"/>
      <c r="D7" s="62"/>
      <c r="E7" s="62"/>
      <c r="F7" s="63" t="s">
        <v>64</v>
      </c>
      <c r="G7" s="63"/>
      <c r="H7" s="64"/>
      <c r="I7" s="64"/>
      <c r="J7" s="64"/>
      <c r="K7" s="64"/>
      <c r="L7" s="398" t="s">
        <v>46</v>
      </c>
    </row>
    <row r="9" spans="1:12" ht="15" x14ac:dyDescent="0.35">
      <c r="B9" s="405" t="s">
        <v>293</v>
      </c>
    </row>
    <row r="10" spans="1:12" x14ac:dyDescent="0.3">
      <c r="B10" s="399"/>
    </row>
    <row r="11" spans="1:12" ht="15" x14ac:dyDescent="0.35">
      <c r="B11" s="400" t="s">
        <v>48</v>
      </c>
      <c r="H11" s="429">
        <f>Model!H18</f>
        <v>244.63268134702412</v>
      </c>
      <c r="I11" s="429">
        <f>Model!I18</f>
        <v>259.07777663843808</v>
      </c>
      <c r="J11" s="429">
        <f>Model!J18</f>
        <v>282.71944873512189</v>
      </c>
      <c r="K11" s="429">
        <f>Model!K18</f>
        <v>315.41620664217908</v>
      </c>
      <c r="L11" s="429">
        <f>Model!L18</f>
        <v>360.24653772584747</v>
      </c>
    </row>
    <row r="12" spans="1:12" ht="15" x14ac:dyDescent="0.35">
      <c r="B12" s="400" t="s">
        <v>291</v>
      </c>
      <c r="H12" s="430">
        <f>Model!H489</f>
        <v>0.26</v>
      </c>
      <c r="I12" s="430">
        <f>Model!I489</f>
        <v>0.26</v>
      </c>
      <c r="J12" s="430">
        <f>Model!J489</f>
        <v>0.26</v>
      </c>
      <c r="K12" s="430">
        <f>Model!K489</f>
        <v>0.26</v>
      </c>
      <c r="L12" s="430">
        <f>Model!L489</f>
        <v>0.26</v>
      </c>
    </row>
    <row r="13" spans="1:12" ht="15" x14ac:dyDescent="0.35">
      <c r="B13" s="400" t="s">
        <v>292</v>
      </c>
      <c r="H13" s="70">
        <f>H11*(1-H12)</f>
        <v>181.02818419679784</v>
      </c>
      <c r="I13" s="70">
        <f t="shared" ref="I13:L13" si="1">I11*(1-I12)</f>
        <v>191.71755471244418</v>
      </c>
      <c r="J13" s="70">
        <f t="shared" si="1"/>
        <v>209.21239206399019</v>
      </c>
      <c r="K13" s="70">
        <f t="shared" si="1"/>
        <v>233.4079929152125</v>
      </c>
      <c r="L13" s="70">
        <f t="shared" si="1"/>
        <v>266.58243791712715</v>
      </c>
    </row>
    <row r="14" spans="1:12" ht="15" x14ac:dyDescent="0.35">
      <c r="B14" s="400" t="s">
        <v>294</v>
      </c>
      <c r="H14" s="429">
        <f>-Model!H24</f>
        <v>147.10816031451884</v>
      </c>
      <c r="I14" s="429">
        <f>-Model!I24</f>
        <v>174.57843649096475</v>
      </c>
      <c r="J14" s="429">
        <f>-Model!J24</f>
        <v>200.81556082217062</v>
      </c>
      <c r="K14" s="429">
        <f>-Model!K24</f>
        <v>226.16293560889463</v>
      </c>
      <c r="L14" s="429">
        <f>-Model!L24</f>
        <v>251.80238377631429</v>
      </c>
    </row>
    <row r="15" spans="1:12" ht="15" x14ac:dyDescent="0.35">
      <c r="B15" s="400" t="s">
        <v>295</v>
      </c>
      <c r="H15" s="429">
        <f>-Model!H115</f>
        <v>203.05821632008383</v>
      </c>
      <c r="I15" s="429">
        <f>-Model!I115</f>
        <v>192.77424512925822</v>
      </c>
      <c r="J15" s="429">
        <f>-Model!J115</f>
        <v>179.16540244701818</v>
      </c>
      <c r="K15" s="429">
        <f>-Model!K115</f>
        <v>176.36460499902239</v>
      </c>
      <c r="L15" s="429">
        <f>-Model!L115</f>
        <v>187.03805479865022</v>
      </c>
    </row>
    <row r="16" spans="1:12" ht="15.6" thickBot="1" x14ac:dyDescent="0.4">
      <c r="B16" s="71" t="s">
        <v>296</v>
      </c>
      <c r="C16" s="402"/>
      <c r="D16" s="402"/>
      <c r="E16" s="402"/>
      <c r="F16" s="402"/>
      <c r="G16" s="402"/>
      <c r="H16" s="431">
        <f>Model!H286</f>
        <v>6.5086943499716483</v>
      </c>
      <c r="I16" s="431">
        <f>Model!I286</f>
        <v>11.425812941073133</v>
      </c>
      <c r="J16" s="431">
        <f>Model!J286</f>
        <v>10.422618523257029</v>
      </c>
      <c r="K16" s="431">
        <f>Model!K286</f>
        <v>9.4733295511957749</v>
      </c>
      <c r="L16" s="431">
        <f>Model!L286</f>
        <v>8.3877542751645819</v>
      </c>
    </row>
    <row r="17" spans="2:12" ht="15" x14ac:dyDescent="0.35">
      <c r="B17" s="401" t="s">
        <v>297</v>
      </c>
      <c r="H17" s="404">
        <f>H13+H14-H15+H16</f>
        <v>131.5868225412045</v>
      </c>
      <c r="I17" s="404">
        <f t="shared" ref="I17:L17" si="2">I13+I14-I15+I16</f>
        <v>184.94755901522382</v>
      </c>
      <c r="J17" s="404">
        <f t="shared" si="2"/>
        <v>241.28516896239969</v>
      </c>
      <c r="K17" s="404">
        <f t="shared" si="2"/>
        <v>292.67965307628049</v>
      </c>
      <c r="L17" s="404">
        <f t="shared" si="2"/>
        <v>339.73452116995571</v>
      </c>
    </row>
    <row r="19" spans="2:12" ht="15" x14ac:dyDescent="0.35">
      <c r="B19" s="405" t="s">
        <v>290</v>
      </c>
    </row>
    <row r="20" spans="2:12" ht="15" x14ac:dyDescent="0.35">
      <c r="B20" s="401" t="s">
        <v>298</v>
      </c>
      <c r="H20" s="116">
        <v>1</v>
      </c>
      <c r="I20" s="116">
        <f>H20+1</f>
        <v>2</v>
      </c>
      <c r="J20" s="116">
        <f t="shared" ref="J20:L20" si="3">I20+1</f>
        <v>3</v>
      </c>
      <c r="K20" s="116">
        <f t="shared" si="3"/>
        <v>4</v>
      </c>
      <c r="L20" s="116">
        <f t="shared" si="3"/>
        <v>5</v>
      </c>
    </row>
    <row r="21" spans="2:12" ht="15" x14ac:dyDescent="0.35">
      <c r="B21" s="401" t="s">
        <v>299</v>
      </c>
      <c r="H21" s="70">
        <f>H17/(1+$D$33)^H20</f>
        <v>121.57045560201372</v>
      </c>
      <c r="I21" s="70">
        <f t="shared" ref="I21:L21" si="4">I17/(1+$D$33)^I20</f>
        <v>157.86283295453632</v>
      </c>
      <c r="J21" s="70">
        <f t="shared" si="4"/>
        <v>190.2731730880439</v>
      </c>
      <c r="K21" s="70">
        <f t="shared" si="4"/>
        <v>213.23333949450591</v>
      </c>
      <c r="L21" s="70">
        <f t="shared" si="4"/>
        <v>228.67458517991378</v>
      </c>
    </row>
    <row r="23" spans="2:12" ht="15" x14ac:dyDescent="0.35">
      <c r="B23" s="406" t="s">
        <v>300</v>
      </c>
      <c r="C23" s="407"/>
      <c r="D23" s="408"/>
      <c r="F23" s="424" t="s">
        <v>308</v>
      </c>
      <c r="G23" s="407"/>
      <c r="H23" s="407"/>
      <c r="I23" s="407"/>
      <c r="J23" s="407"/>
      <c r="K23" s="407"/>
      <c r="L23" s="408"/>
    </row>
    <row r="24" spans="2:12" x14ac:dyDescent="0.3">
      <c r="B24" s="409"/>
      <c r="C24" s="410"/>
      <c r="D24" s="411"/>
      <c r="F24" s="409"/>
      <c r="G24" s="410"/>
      <c r="H24" s="410"/>
      <c r="I24" s="410"/>
      <c r="J24" s="410"/>
      <c r="K24" s="410"/>
      <c r="L24" s="411"/>
    </row>
    <row r="25" spans="2:12" ht="15" x14ac:dyDescent="0.35">
      <c r="B25" s="412" t="s">
        <v>301</v>
      </c>
      <c r="C25" s="413"/>
      <c r="D25" s="434">
        <v>5.527E-2</v>
      </c>
      <c r="F25" s="409" t="s">
        <v>309</v>
      </c>
      <c r="G25" s="410"/>
      <c r="H25" s="426">
        <v>0.02</v>
      </c>
      <c r="I25" s="410"/>
      <c r="J25" s="410"/>
      <c r="K25" s="410"/>
      <c r="L25" s="411"/>
    </row>
    <row r="26" spans="2:12" ht="15" x14ac:dyDescent="0.35">
      <c r="B26" s="412" t="s">
        <v>302</v>
      </c>
      <c r="C26" s="413"/>
      <c r="D26" s="433">
        <f>D77</f>
        <v>4.9800000000000004E-2</v>
      </c>
      <c r="F26" s="409" t="s">
        <v>310</v>
      </c>
      <c r="G26" s="410"/>
      <c r="H26" s="432">
        <f>L6</f>
        <v>2030</v>
      </c>
      <c r="I26" s="410"/>
      <c r="J26" s="410"/>
      <c r="K26" s="410"/>
      <c r="L26" s="411"/>
    </row>
    <row r="27" spans="2:12" ht="15" x14ac:dyDescent="0.35">
      <c r="B27" s="412" t="s">
        <v>303</v>
      </c>
      <c r="C27" s="413"/>
      <c r="D27" s="418">
        <f>D71</f>
        <v>0.71533100171480646</v>
      </c>
      <c r="F27" s="409" t="s">
        <v>311</v>
      </c>
      <c r="G27" s="410"/>
      <c r="H27" s="425" t="s">
        <v>312</v>
      </c>
      <c r="I27" s="425"/>
      <c r="J27" s="410"/>
      <c r="K27" s="410"/>
      <c r="L27" s="411"/>
    </row>
    <row r="28" spans="2:12" ht="15" x14ac:dyDescent="0.35">
      <c r="B28" s="412" t="s">
        <v>304</v>
      </c>
      <c r="C28" s="413"/>
      <c r="D28" s="421">
        <f>D25+D26*D27</f>
        <v>9.0893483885397364E-2</v>
      </c>
      <c r="F28" s="409" t="s">
        <v>313</v>
      </c>
      <c r="G28" s="410"/>
      <c r="H28" s="427">
        <f>Model!D41</f>
        <v>102250000</v>
      </c>
      <c r="I28" s="410"/>
      <c r="J28" s="410"/>
      <c r="K28" s="410"/>
      <c r="L28" s="411"/>
    </row>
    <row r="29" spans="2:12" ht="15" x14ac:dyDescent="0.35">
      <c r="B29" s="412" t="s">
        <v>305</v>
      </c>
      <c r="C29" s="413"/>
      <c r="D29" s="419">
        <v>5.8999999999999997E-2</v>
      </c>
      <c r="F29" s="423"/>
      <c r="G29" s="416"/>
      <c r="H29" s="416"/>
      <c r="I29" s="416"/>
      <c r="J29" s="416"/>
      <c r="K29" s="416"/>
      <c r="L29" s="417"/>
    </row>
    <row r="30" spans="2:12" ht="15" x14ac:dyDescent="0.35">
      <c r="B30" s="412" t="s">
        <v>291</v>
      </c>
      <c r="C30" s="413"/>
      <c r="D30" s="418">
        <v>0.26</v>
      </c>
      <c r="F30" s="410"/>
      <c r="G30" s="410"/>
      <c r="H30" s="410"/>
      <c r="I30" s="410"/>
      <c r="J30" s="410"/>
      <c r="K30" s="410"/>
      <c r="L30" s="410"/>
    </row>
    <row r="31" spans="2:12" ht="15" x14ac:dyDescent="0.35">
      <c r="B31" s="412" t="s">
        <v>307</v>
      </c>
      <c r="C31" s="413"/>
      <c r="D31" s="418">
        <v>0.82</v>
      </c>
      <c r="F31" s="410"/>
      <c r="G31" s="410"/>
      <c r="H31" s="410"/>
      <c r="I31" s="410"/>
      <c r="J31" s="410"/>
      <c r="K31" s="410"/>
      <c r="L31" s="410"/>
    </row>
    <row r="32" spans="2:12" ht="15.6" thickBot="1" x14ac:dyDescent="0.4">
      <c r="B32" s="414" t="s">
        <v>306</v>
      </c>
      <c r="C32" s="75"/>
      <c r="D32" s="420">
        <v>0.18</v>
      </c>
      <c r="F32" s="410"/>
      <c r="G32" s="410"/>
      <c r="H32" s="410"/>
      <c r="I32" s="410"/>
      <c r="J32" s="410"/>
      <c r="K32" s="410"/>
      <c r="L32" s="410"/>
    </row>
    <row r="33" spans="2:12" ht="15" x14ac:dyDescent="0.35">
      <c r="B33" s="415" t="s">
        <v>300</v>
      </c>
      <c r="C33" s="416"/>
      <c r="D33" s="422">
        <f>D28*D31+D32*D29*(1-D30)</f>
        <v>8.239145678602583E-2</v>
      </c>
      <c r="F33" s="410"/>
      <c r="G33" s="410"/>
      <c r="H33" s="410"/>
      <c r="I33" s="410"/>
      <c r="J33" s="410"/>
      <c r="K33" s="410"/>
      <c r="L33" s="410"/>
    </row>
    <row r="36" spans="2:12" ht="15" x14ac:dyDescent="0.35">
      <c r="B36" s="405" t="s">
        <v>314</v>
      </c>
    </row>
    <row r="38" spans="2:12" ht="15" x14ac:dyDescent="0.35">
      <c r="B38" s="413" t="s">
        <v>315</v>
      </c>
      <c r="D38" s="403">
        <f>SUM(H21:L21)</f>
        <v>911.61438631901365</v>
      </c>
    </row>
    <row r="39" spans="2:12" ht="15" x14ac:dyDescent="0.35">
      <c r="B39" s="80" t="s">
        <v>316</v>
      </c>
      <c r="C39" s="416"/>
      <c r="D39" s="428">
        <f>(L17*(1+H25))/(D33+H25)</f>
        <v>3384.3566882490964</v>
      </c>
    </row>
    <row r="40" spans="2:12" ht="15" x14ac:dyDescent="0.35">
      <c r="B40" s="444" t="s">
        <v>317</v>
      </c>
      <c r="C40" s="5"/>
      <c r="D40" s="31">
        <f>SUM(D38:D39)</f>
        <v>4295.9710745681095</v>
      </c>
    </row>
    <row r="41" spans="2:12" ht="15" x14ac:dyDescent="0.35">
      <c r="B41" s="413"/>
      <c r="D41" s="30"/>
    </row>
    <row r="42" spans="2:12" ht="15" x14ac:dyDescent="0.35">
      <c r="B42" s="413" t="s">
        <v>318</v>
      </c>
      <c r="D42" s="30">
        <f>Model!G56</f>
        <v>70.8</v>
      </c>
    </row>
    <row r="43" spans="2:12" ht="15" x14ac:dyDescent="0.35">
      <c r="B43" s="413" t="s">
        <v>319</v>
      </c>
      <c r="D43" s="30">
        <f>-Model!G74</f>
        <v>25</v>
      </c>
    </row>
    <row r="44" spans="2:12" ht="15" x14ac:dyDescent="0.35">
      <c r="B44" s="80" t="s">
        <v>320</v>
      </c>
      <c r="C44" s="416"/>
      <c r="D44" s="428">
        <f>-Model!G77-Model!G70</f>
        <v>449.8</v>
      </c>
    </row>
    <row r="45" spans="2:12" ht="15" x14ac:dyDescent="0.35">
      <c r="B45" s="444" t="s">
        <v>321</v>
      </c>
      <c r="C45" s="5"/>
      <c r="D45" s="31">
        <f>D40+D42-D43-D44</f>
        <v>3891.9710745681095</v>
      </c>
    </row>
    <row r="46" spans="2:12" ht="15" x14ac:dyDescent="0.35">
      <c r="B46" s="413" t="s">
        <v>322</v>
      </c>
      <c r="D46" s="35">
        <f>D45/H28 * 1000000</f>
        <v>38.063286792842142</v>
      </c>
    </row>
    <row r="49" spans="1:12" ht="28.8" x14ac:dyDescent="0.65">
      <c r="A49" s="51"/>
      <c r="B49" s="52" t="str">
        <f>Cover!$B$2</f>
        <v>Greggs</v>
      </c>
      <c r="C49" s="52"/>
      <c r="D49" s="53"/>
      <c r="E49" s="54"/>
      <c r="F49" s="54"/>
      <c r="G49" s="54"/>
      <c r="H49" s="54"/>
      <c r="I49" s="54"/>
      <c r="J49" s="54"/>
      <c r="K49" s="54"/>
      <c r="L49" s="54"/>
    </row>
    <row r="50" spans="1:12" ht="21" x14ac:dyDescent="0.5">
      <c r="A50" s="51"/>
      <c r="B50" s="55" t="s">
        <v>353</v>
      </c>
      <c r="C50" s="56"/>
      <c r="D50" s="54"/>
      <c r="E50" s="54"/>
      <c r="F50" s="54"/>
      <c r="G50" s="54"/>
      <c r="H50" s="378"/>
      <c r="I50" s="379"/>
      <c r="J50" s="379"/>
      <c r="K50" s="379"/>
      <c r="L50" s="377"/>
    </row>
    <row r="51" spans="1:12" ht="15.6" x14ac:dyDescent="0.35">
      <c r="A51" s="51"/>
      <c r="B51" s="57"/>
      <c r="C51" s="57"/>
      <c r="D51" s="57"/>
      <c r="E51" s="57"/>
      <c r="F51" s="57"/>
      <c r="G51" s="57"/>
      <c r="H51" s="57"/>
      <c r="I51" s="57"/>
      <c r="J51" s="57"/>
      <c r="K51" s="58"/>
      <c r="L51" s="58"/>
    </row>
    <row r="52" spans="1:12" ht="16.2" thickBot="1" x14ac:dyDescent="0.4">
      <c r="A52" s="51"/>
      <c r="B52" s="62" t="s">
        <v>62</v>
      </c>
      <c r="C52" s="62"/>
      <c r="D52" s="62"/>
      <c r="E52" s="62"/>
      <c r="F52" s="435"/>
      <c r="G52" s="435"/>
      <c r="H52" s="436"/>
      <c r="I52" s="436"/>
      <c r="J52" s="436"/>
      <c r="K52" s="436"/>
      <c r="L52" s="437"/>
    </row>
    <row r="54" spans="1:12" ht="15" x14ac:dyDescent="0.35">
      <c r="B54" s="104" t="s">
        <v>354</v>
      </c>
      <c r="C54" s="95"/>
      <c r="D54" s="96"/>
      <c r="E54" s="96"/>
      <c r="F54" s="97"/>
      <c r="G54" s="97"/>
      <c r="H54" s="98"/>
      <c r="I54" s="98"/>
      <c r="J54" s="98"/>
      <c r="K54" s="98"/>
      <c r="L54" s="99"/>
    </row>
    <row r="55" spans="1:12" ht="15" x14ac:dyDescent="0.35">
      <c r="B55" s="438"/>
      <c r="C55" s="439"/>
      <c r="D55" s="440"/>
      <c r="E55" s="439"/>
      <c r="F55" s="441"/>
      <c r="G55" s="442"/>
      <c r="H55" s="442"/>
      <c r="I55" s="439"/>
      <c r="J55" s="439"/>
      <c r="K55" s="439"/>
      <c r="L55" s="439"/>
    </row>
    <row r="56" spans="1:12" ht="15" x14ac:dyDescent="0.35">
      <c r="B56" s="85" t="s">
        <v>331</v>
      </c>
      <c r="C56" s="80"/>
      <c r="D56" s="449" t="s">
        <v>332</v>
      </c>
      <c r="E56" s="449" t="s">
        <v>351</v>
      </c>
      <c r="F56" s="450" t="s">
        <v>327</v>
      </c>
      <c r="G56" s="450" t="s">
        <v>328</v>
      </c>
      <c r="H56" s="450" t="s">
        <v>329</v>
      </c>
      <c r="I56" s="450" t="s">
        <v>330</v>
      </c>
      <c r="J56" s="450" t="s">
        <v>352</v>
      </c>
      <c r="K56" s="450" t="s">
        <v>336</v>
      </c>
      <c r="L56" s="449"/>
    </row>
    <row r="57" spans="1:12" ht="15" x14ac:dyDescent="0.35">
      <c r="B57" s="444"/>
      <c r="C57" s="413"/>
      <c r="D57" s="451"/>
      <c r="E57" s="451"/>
      <c r="F57" s="452"/>
      <c r="G57" s="452"/>
      <c r="H57" s="452"/>
      <c r="I57" s="452"/>
      <c r="J57" s="451"/>
      <c r="K57" s="453"/>
      <c r="L57" s="451"/>
    </row>
    <row r="58" spans="1:12" ht="15" x14ac:dyDescent="0.35">
      <c r="B58" s="413" t="s">
        <v>324</v>
      </c>
      <c r="C58" s="413"/>
      <c r="D58" s="413" t="s">
        <v>333</v>
      </c>
      <c r="E58" s="454">
        <v>1.23</v>
      </c>
      <c r="F58" s="455">
        <v>1749000000</v>
      </c>
      <c r="G58" s="455">
        <f>1292000000+216000000</f>
        <v>1508000000</v>
      </c>
      <c r="H58" s="456">
        <f>G58/F58</f>
        <v>0.86220697541452263</v>
      </c>
      <c r="I58" s="457">
        <v>0.25</v>
      </c>
      <c r="J58" s="445">
        <f>E58/(1+(1-I58)*(H58))</f>
        <v>0.74696874999999996</v>
      </c>
      <c r="K58" s="458">
        <v>46308</v>
      </c>
      <c r="L58" s="413"/>
    </row>
    <row r="59" spans="1:12" ht="15" x14ac:dyDescent="0.35">
      <c r="B59" s="413" t="s">
        <v>325</v>
      </c>
      <c r="C59" s="413"/>
      <c r="D59" s="413" t="s">
        <v>334</v>
      </c>
      <c r="E59" s="454">
        <v>1.1299999999999999</v>
      </c>
      <c r="F59" s="447">
        <v>929971000</v>
      </c>
      <c r="G59" s="447">
        <f>49582000+1087794000</f>
        <v>1137376000</v>
      </c>
      <c r="H59" s="456">
        <f t="shared" ref="H59:H62" si="5">G59/F59</f>
        <v>1.2230230835155074</v>
      </c>
      <c r="I59" s="457">
        <v>0.25</v>
      </c>
      <c r="J59" s="445">
        <f t="shared" ref="J59:J62" si="6">E59/(1+(1-I59)*(H59))</f>
        <v>0.58938051702661176</v>
      </c>
      <c r="K59" s="458">
        <v>46308</v>
      </c>
      <c r="L59" s="413"/>
    </row>
    <row r="60" spans="1:12" ht="15" x14ac:dyDescent="0.35">
      <c r="B60" s="413" t="s">
        <v>326</v>
      </c>
      <c r="C60" s="413"/>
      <c r="D60" s="413" t="s">
        <v>335</v>
      </c>
      <c r="E60" s="454">
        <v>1.21</v>
      </c>
      <c r="F60" s="447">
        <v>876663000</v>
      </c>
      <c r="G60" s="447">
        <f>526000000+22900000</f>
        <v>548900000</v>
      </c>
      <c r="H60" s="456">
        <f t="shared" si="5"/>
        <v>0.62612429177460438</v>
      </c>
      <c r="I60" s="457">
        <v>0.25</v>
      </c>
      <c r="J60" s="445">
        <f t="shared" si="6"/>
        <v>0.82335709262631385</v>
      </c>
      <c r="K60" s="458">
        <v>46308</v>
      </c>
      <c r="L60" s="413"/>
    </row>
    <row r="61" spans="1:12" ht="15" x14ac:dyDescent="0.35">
      <c r="B61" s="413" t="s">
        <v>337</v>
      </c>
      <c r="C61" s="413"/>
      <c r="D61" s="413" t="s">
        <v>338</v>
      </c>
      <c r="E61" s="459">
        <v>0.9</v>
      </c>
      <c r="F61" s="455">
        <v>427403000</v>
      </c>
      <c r="G61" s="455">
        <f>40600000+274500000</f>
        <v>315100000</v>
      </c>
      <c r="H61" s="448">
        <f t="shared" si="5"/>
        <v>0.73724330432870144</v>
      </c>
      <c r="I61" s="460">
        <v>0.25</v>
      </c>
      <c r="J61" s="445">
        <f t="shared" si="6"/>
        <v>0.5795487006725647</v>
      </c>
      <c r="K61" s="458">
        <v>46308</v>
      </c>
      <c r="L61" s="68"/>
    </row>
    <row r="62" spans="1:12" ht="15" x14ac:dyDescent="0.35">
      <c r="B62" s="413" t="s">
        <v>339</v>
      </c>
      <c r="C62" s="413"/>
      <c r="D62" s="413" t="s">
        <v>340</v>
      </c>
      <c r="E62" s="459">
        <v>0.67</v>
      </c>
      <c r="F62" s="455">
        <v>4268000000</v>
      </c>
      <c r="G62" s="455">
        <f>175600000+5290500000</f>
        <v>5466100000</v>
      </c>
      <c r="H62" s="448">
        <f t="shared" si="5"/>
        <v>1.2807169634489222</v>
      </c>
      <c r="I62" s="460">
        <v>0.25</v>
      </c>
      <c r="J62" s="445">
        <f t="shared" si="6"/>
        <v>0.34174297810297494</v>
      </c>
      <c r="K62" s="458">
        <v>46308</v>
      </c>
      <c r="L62" s="68"/>
    </row>
    <row r="63" spans="1:12" ht="15" x14ac:dyDescent="0.35">
      <c r="B63" s="194" t="s">
        <v>343</v>
      </c>
      <c r="C63" s="194"/>
      <c r="D63" s="194"/>
      <c r="E63" s="194"/>
      <c r="F63" s="194"/>
      <c r="G63" s="194"/>
      <c r="H63" s="194"/>
      <c r="I63" s="194"/>
      <c r="J63" s="194"/>
      <c r="K63" s="194"/>
      <c r="L63" s="194"/>
    </row>
    <row r="64" spans="1:12" ht="15" x14ac:dyDescent="0.35">
      <c r="B64" s="413"/>
      <c r="C64" s="413"/>
      <c r="D64" s="413"/>
      <c r="E64" s="410"/>
      <c r="F64" s="410"/>
      <c r="G64" s="410"/>
      <c r="H64" s="410"/>
      <c r="I64" s="410"/>
      <c r="J64" s="410"/>
      <c r="K64" s="410"/>
      <c r="L64" s="410"/>
    </row>
    <row r="65" spans="2:12" ht="15" x14ac:dyDescent="0.35">
      <c r="B65" s="85" t="s">
        <v>346</v>
      </c>
      <c r="C65" s="80"/>
      <c r="D65" s="85" t="s">
        <v>347</v>
      </c>
      <c r="E65" s="443" t="s">
        <v>348</v>
      </c>
      <c r="F65" s="416"/>
      <c r="G65" s="416"/>
      <c r="H65" s="416"/>
      <c r="I65" s="416"/>
      <c r="J65" s="416"/>
      <c r="K65" s="416"/>
      <c r="L65" s="416"/>
    </row>
    <row r="66" spans="2:12" ht="15" x14ac:dyDescent="0.35">
      <c r="B66" s="413" t="s">
        <v>341</v>
      </c>
      <c r="C66" s="413"/>
      <c r="D66" s="445">
        <f>AVERAGE(J58:J62)</f>
        <v>0.61619960768569304</v>
      </c>
    </row>
    <row r="67" spans="2:12" ht="15" x14ac:dyDescent="0.35">
      <c r="B67" s="413" t="s">
        <v>342</v>
      </c>
      <c r="C67" s="413"/>
      <c r="D67" s="445">
        <f>MEDIAN(J58:J62)</f>
        <v>0.58938051702661176</v>
      </c>
    </row>
    <row r="68" spans="2:12" ht="15" x14ac:dyDescent="0.35">
      <c r="B68" s="413" t="s">
        <v>345</v>
      </c>
      <c r="C68" s="413"/>
      <c r="D68" s="447">
        <v>2184000000</v>
      </c>
      <c r="E68" t="s">
        <v>349</v>
      </c>
    </row>
    <row r="69" spans="2:12" ht="15" x14ac:dyDescent="0.35">
      <c r="B69" s="413" t="s">
        <v>350</v>
      </c>
      <c r="C69" s="413"/>
      <c r="D69" s="461">
        <f>ABS((Model!G74+Model!G77+Model!G70)*1000000)/D68</f>
        <v>0.2173992673992674</v>
      </c>
    </row>
    <row r="70" spans="2:12" ht="15" x14ac:dyDescent="0.35">
      <c r="B70" s="413" t="s">
        <v>291</v>
      </c>
      <c r="C70" s="413"/>
      <c r="D70" s="446">
        <v>0.26</v>
      </c>
    </row>
    <row r="71" spans="2:12" ht="15" x14ac:dyDescent="0.35">
      <c r="B71" s="413" t="s">
        <v>323</v>
      </c>
      <c r="C71" s="413"/>
      <c r="D71" s="445">
        <f>D66*(1+(1-D70)*D69)</f>
        <v>0.71533100171480646</v>
      </c>
    </row>
    <row r="73" spans="2:12" ht="15" x14ac:dyDescent="0.35">
      <c r="B73" s="104" t="s">
        <v>355</v>
      </c>
      <c r="C73" s="95"/>
      <c r="D73" s="96"/>
      <c r="E73" s="96"/>
      <c r="F73" s="97"/>
      <c r="G73" s="97"/>
      <c r="H73" s="98"/>
      <c r="I73" s="98"/>
      <c r="J73" s="98"/>
      <c r="K73" s="98"/>
      <c r="L73" s="99"/>
    </row>
    <row r="75" spans="2:12" x14ac:dyDescent="0.3">
      <c r="B75" t="s">
        <v>356</v>
      </c>
      <c r="D75" s="462">
        <v>4.2000000000000003E-2</v>
      </c>
      <c r="F75" t="s">
        <v>359</v>
      </c>
    </row>
    <row r="76" spans="2:12" x14ac:dyDescent="0.3">
      <c r="B76" s="416" t="s">
        <v>357</v>
      </c>
      <c r="C76" s="416"/>
      <c r="D76" s="464">
        <v>7.7999999999999996E-3</v>
      </c>
    </row>
    <row r="77" spans="2:12" x14ac:dyDescent="0.3">
      <c r="B77" s="5" t="s">
        <v>358</v>
      </c>
      <c r="D77" s="463">
        <f>SUM(D75:D76)</f>
        <v>4.9800000000000004E-2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E84-BC98-4EF8-8B10-DF23F73FD3D0}">
  <dimension ref="A2:L131"/>
  <sheetViews>
    <sheetView showGridLines="0" workbookViewId="0"/>
  </sheetViews>
  <sheetFormatPr defaultRowHeight="14.4" x14ac:dyDescent="0.3"/>
  <cols>
    <col min="1" max="1" width="4.77734375" customWidth="1"/>
    <col min="2" max="12" width="15.77734375" customWidth="1"/>
  </cols>
  <sheetData>
    <row r="2" spans="1:12" ht="28.8" x14ac:dyDescent="0.65">
      <c r="A2" s="51"/>
      <c r="B2" s="52" t="str">
        <f>Cover!$B$2</f>
        <v>Greggs</v>
      </c>
      <c r="C2" s="52"/>
      <c r="D2" s="53"/>
      <c r="E2" s="54"/>
      <c r="F2" s="54"/>
      <c r="G2" s="54"/>
      <c r="H2" s="54"/>
      <c r="I2" s="54"/>
      <c r="J2" s="54"/>
      <c r="K2" s="54"/>
      <c r="L2" s="54"/>
    </row>
    <row r="3" spans="1:12" ht="21" x14ac:dyDescent="0.5">
      <c r="A3" s="51"/>
      <c r="B3" s="55" t="s">
        <v>281</v>
      </c>
      <c r="C3" s="56"/>
      <c r="D3" s="54"/>
      <c r="E3" s="54"/>
      <c r="F3" s="54"/>
      <c r="G3" s="54"/>
      <c r="H3" s="378"/>
      <c r="I3" s="379"/>
      <c r="J3" s="379"/>
      <c r="K3" s="379"/>
      <c r="L3" s="377" t="str">
        <f>"Currently Running: "&amp;CHOOSE(Assumptions!$B$10,Assumptions!$F$15,Assumptions!$F$16,Assumptions!$F$17)&amp;"Scenario"</f>
        <v>Currently Running: Base Scenario</v>
      </c>
    </row>
    <row r="4" spans="1:12" ht="15.6" x14ac:dyDescent="0.35">
      <c r="A4" s="51"/>
      <c r="B4" s="57"/>
      <c r="C4" s="57"/>
      <c r="D4" s="57"/>
      <c r="E4" s="57"/>
      <c r="F4" s="57"/>
      <c r="G4" s="57"/>
      <c r="H4" s="57"/>
      <c r="I4" s="57"/>
      <c r="J4" s="57"/>
      <c r="K4" s="58"/>
      <c r="L4" s="58"/>
    </row>
    <row r="5" spans="1:12" ht="15.6" x14ac:dyDescent="0.35">
      <c r="A5" s="51"/>
      <c r="B5" s="58"/>
      <c r="C5" s="58"/>
      <c r="D5" s="58"/>
      <c r="E5" s="58"/>
      <c r="F5" s="59" t="s">
        <v>63</v>
      </c>
      <c r="G5" s="59"/>
      <c r="H5" s="59"/>
      <c r="I5" s="59"/>
      <c r="J5" s="59"/>
      <c r="K5" s="59"/>
      <c r="L5" s="59"/>
    </row>
    <row r="6" spans="1:12" ht="15.6" x14ac:dyDescent="0.35">
      <c r="A6" s="51"/>
      <c r="B6" s="58"/>
      <c r="C6" s="58"/>
      <c r="D6" s="58"/>
      <c r="E6" s="58"/>
      <c r="F6" s="60">
        <v>2024</v>
      </c>
      <c r="G6" s="60">
        <v>2025</v>
      </c>
      <c r="H6" s="61">
        <f>G6+1</f>
        <v>2026</v>
      </c>
      <c r="I6" s="61">
        <f t="shared" ref="I6:L6" si="0">H6+1</f>
        <v>2027</v>
      </c>
      <c r="J6" s="61">
        <f t="shared" si="0"/>
        <v>2028</v>
      </c>
      <c r="K6" s="61">
        <f t="shared" si="0"/>
        <v>2029</v>
      </c>
      <c r="L6" s="61">
        <f t="shared" si="0"/>
        <v>2030</v>
      </c>
    </row>
    <row r="7" spans="1:12" ht="16.2" thickBot="1" x14ac:dyDescent="0.4">
      <c r="A7" s="51"/>
      <c r="B7" s="62" t="s">
        <v>62</v>
      </c>
      <c r="C7" s="62"/>
      <c r="D7" s="62"/>
      <c r="E7" s="62"/>
      <c r="F7" s="63" t="s">
        <v>64</v>
      </c>
      <c r="G7" s="63"/>
      <c r="H7" s="64"/>
      <c r="I7" s="64"/>
      <c r="J7" s="64"/>
      <c r="K7" s="64"/>
      <c r="L7" s="398" t="s">
        <v>46</v>
      </c>
    </row>
    <row r="8" spans="1:12" x14ac:dyDescent="0.3"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12" ht="15" x14ac:dyDescent="0.35">
      <c r="B9" s="135" t="s">
        <v>283</v>
      </c>
      <c r="C9" s="41"/>
      <c r="D9" s="362"/>
      <c r="E9" s="362"/>
      <c r="F9" s="46"/>
      <c r="G9" s="46"/>
      <c r="H9" s="46"/>
      <c r="I9" s="46"/>
      <c r="J9" s="46"/>
      <c r="K9" s="46"/>
    </row>
    <row r="10" spans="1:12" x14ac:dyDescent="0.3">
      <c r="B10" s="41">
        <v>1</v>
      </c>
      <c r="C10" s="41"/>
      <c r="D10" s="363"/>
      <c r="E10" s="363"/>
      <c r="F10" s="44"/>
      <c r="G10" s="44"/>
      <c r="H10" s="44"/>
      <c r="I10" s="44"/>
      <c r="J10" s="44"/>
      <c r="K10" s="44"/>
    </row>
    <row r="12" spans="1:12" ht="15" x14ac:dyDescent="0.35">
      <c r="B12" s="386" t="s">
        <v>277</v>
      </c>
      <c r="C12" s="387"/>
      <c r="D12" s="387"/>
      <c r="E12" s="387"/>
      <c r="F12" s="388"/>
      <c r="G12" s="389"/>
      <c r="H12" s="389"/>
      <c r="I12" s="387"/>
      <c r="J12" s="387"/>
      <c r="K12" s="387"/>
      <c r="L12" s="387"/>
    </row>
    <row r="13" spans="1:12" ht="15" x14ac:dyDescent="0.35">
      <c r="B13" s="73"/>
      <c r="C13" s="68"/>
      <c r="D13" s="68"/>
      <c r="E13" s="68"/>
      <c r="F13" s="365"/>
      <c r="G13" s="366"/>
      <c r="H13" s="366"/>
      <c r="I13" s="68"/>
      <c r="J13" s="68"/>
      <c r="K13" s="68"/>
      <c r="L13" s="68"/>
    </row>
    <row r="14" spans="1:12" ht="15" x14ac:dyDescent="0.35">
      <c r="B14" s="73" t="s">
        <v>177</v>
      </c>
      <c r="C14" s="68"/>
      <c r="D14" s="68"/>
      <c r="E14" s="68"/>
      <c r="F14" s="390" t="s">
        <v>284</v>
      </c>
      <c r="G14" s="329"/>
      <c r="H14" s="391">
        <f>CHOOSE($B$10,H15,H16,H17)</f>
        <v>0.04</v>
      </c>
      <c r="I14" s="391">
        <f t="shared" ref="I14:L14" si="1">CHOOSE($B$10,I15,I16,I17)</f>
        <v>0.04</v>
      </c>
      <c r="J14" s="391">
        <f t="shared" si="1"/>
        <v>3.5000000000000003E-2</v>
      </c>
      <c r="K14" s="391">
        <f t="shared" si="1"/>
        <v>0.03</v>
      </c>
      <c r="L14" s="391">
        <f t="shared" si="1"/>
        <v>2.5000000000000001E-2</v>
      </c>
    </row>
    <row r="15" spans="1:12" ht="15" x14ac:dyDescent="0.35">
      <c r="B15" s="392"/>
      <c r="C15" s="68"/>
      <c r="D15" s="280"/>
      <c r="E15" s="329"/>
      <c r="F15" s="152" t="s">
        <v>274</v>
      </c>
      <c r="G15" s="280"/>
      <c r="H15" s="327">
        <v>0.04</v>
      </c>
      <c r="I15" s="327">
        <v>0.04</v>
      </c>
      <c r="J15" s="327">
        <v>3.5000000000000003E-2</v>
      </c>
      <c r="K15" s="327">
        <v>0.03</v>
      </c>
      <c r="L15" s="327">
        <v>2.5000000000000001E-2</v>
      </c>
    </row>
    <row r="16" spans="1:12" ht="15" x14ac:dyDescent="0.35">
      <c r="B16" s="392"/>
      <c r="C16" s="68"/>
      <c r="D16" s="68"/>
      <c r="E16" s="367"/>
      <c r="F16" s="152" t="s">
        <v>287</v>
      </c>
      <c r="G16" s="368"/>
      <c r="H16" s="327">
        <v>3.7499999999999999E-2</v>
      </c>
      <c r="I16" s="327">
        <v>0.03</v>
      </c>
      <c r="J16" s="327">
        <v>2.5000000000000001E-2</v>
      </c>
      <c r="K16" s="327">
        <v>0.02</v>
      </c>
      <c r="L16" s="327">
        <v>0.02</v>
      </c>
    </row>
    <row r="17" spans="2:12" ht="15" x14ac:dyDescent="0.35">
      <c r="B17" s="392"/>
      <c r="C17" s="68"/>
      <c r="D17" s="68"/>
      <c r="E17" s="367"/>
      <c r="F17" s="152" t="s">
        <v>288</v>
      </c>
      <c r="G17" s="368"/>
      <c r="H17" s="327">
        <v>4.4999999999999998E-2</v>
      </c>
      <c r="I17" s="327">
        <v>0.05</v>
      </c>
      <c r="J17" s="327">
        <v>4.7500000000000001E-2</v>
      </c>
      <c r="K17" s="327">
        <v>0.04</v>
      </c>
      <c r="L17" s="327">
        <v>3.5000000000000003E-2</v>
      </c>
    </row>
    <row r="18" spans="2:12" ht="15" x14ac:dyDescent="0.35">
      <c r="B18" s="392"/>
      <c r="C18" s="68"/>
      <c r="D18" s="68"/>
      <c r="E18" s="367"/>
      <c r="F18" s="367"/>
      <c r="G18" s="368"/>
      <c r="H18" s="376"/>
      <c r="I18" s="376"/>
      <c r="J18" s="376"/>
      <c r="K18" s="376"/>
      <c r="L18" s="376"/>
    </row>
    <row r="19" spans="2:12" ht="15" x14ac:dyDescent="0.35">
      <c r="B19" s="73" t="s">
        <v>282</v>
      </c>
      <c r="C19" s="68"/>
      <c r="D19" s="68"/>
      <c r="E19" s="68"/>
      <c r="F19" s="390" t="s">
        <v>284</v>
      </c>
      <c r="G19" s="329"/>
      <c r="H19" s="391">
        <f>CHOOSE($B$10,H20,H21,H22)</f>
        <v>0.04</v>
      </c>
      <c r="I19" s="391">
        <f t="shared" ref="I19" si="2">CHOOSE($B$10,I20,I21,I22)</f>
        <v>0.04</v>
      </c>
      <c r="J19" s="391">
        <f t="shared" ref="J19" si="3">CHOOSE($B$10,J20,J21,J22)</f>
        <v>3.5000000000000003E-2</v>
      </c>
      <c r="K19" s="391">
        <f t="shared" ref="K19" si="4">CHOOSE($B$10,K20,K21,K22)</f>
        <v>0.03</v>
      </c>
      <c r="L19" s="391">
        <f t="shared" ref="L19" si="5">CHOOSE($B$10,L20,L21,L22)</f>
        <v>2.5000000000000001E-2</v>
      </c>
    </row>
    <row r="20" spans="2:12" ht="15" x14ac:dyDescent="0.35">
      <c r="B20" s="392"/>
      <c r="C20" s="68"/>
      <c r="D20" s="280"/>
      <c r="E20" s="329"/>
      <c r="F20" s="152" t="s">
        <v>274</v>
      </c>
      <c r="G20" s="280"/>
      <c r="H20" s="327">
        <v>0.04</v>
      </c>
      <c r="I20" s="327">
        <v>0.04</v>
      </c>
      <c r="J20" s="327">
        <v>3.5000000000000003E-2</v>
      </c>
      <c r="K20" s="327">
        <v>0.03</v>
      </c>
      <c r="L20" s="327">
        <v>2.5000000000000001E-2</v>
      </c>
    </row>
    <row r="21" spans="2:12" ht="15" x14ac:dyDescent="0.35">
      <c r="B21" s="392"/>
      <c r="C21" s="68"/>
      <c r="D21" s="68"/>
      <c r="E21" s="367"/>
      <c r="F21" s="152" t="s">
        <v>275</v>
      </c>
      <c r="G21" s="368"/>
      <c r="H21" s="327">
        <v>3.7499999999999999E-2</v>
      </c>
      <c r="I21" s="327">
        <v>0.03</v>
      </c>
      <c r="J21" s="327">
        <v>2.5000000000000001E-2</v>
      </c>
      <c r="K21" s="327">
        <v>0.02</v>
      </c>
      <c r="L21" s="327">
        <v>0.02</v>
      </c>
    </row>
    <row r="22" spans="2:12" ht="15" x14ac:dyDescent="0.35">
      <c r="B22" s="392"/>
      <c r="C22" s="68"/>
      <c r="D22" s="68"/>
      <c r="E22" s="367"/>
      <c r="F22" s="152" t="s">
        <v>276</v>
      </c>
      <c r="G22" s="368"/>
      <c r="H22" s="327">
        <v>4.4999999999999998E-2</v>
      </c>
      <c r="I22" s="327">
        <v>0.05</v>
      </c>
      <c r="J22" s="327">
        <v>4.7500000000000001E-2</v>
      </c>
      <c r="K22" s="327">
        <v>0.04</v>
      </c>
      <c r="L22" s="327">
        <v>3.5000000000000003E-2</v>
      </c>
    </row>
    <row r="23" spans="2:12" ht="15" x14ac:dyDescent="0.35">
      <c r="B23" s="73"/>
      <c r="C23" s="68"/>
      <c r="D23" s="68"/>
      <c r="E23" s="369"/>
      <c r="F23" s="369"/>
      <c r="G23" s="369"/>
      <c r="H23" s="118"/>
      <c r="I23" s="118"/>
      <c r="J23" s="118"/>
      <c r="K23" s="132"/>
      <c r="L23" s="132"/>
    </row>
    <row r="24" spans="2:12" ht="15" x14ac:dyDescent="0.35">
      <c r="B24" s="73" t="s">
        <v>186</v>
      </c>
      <c r="C24" s="68"/>
      <c r="D24" s="68"/>
      <c r="E24" s="68"/>
      <c r="F24" s="390" t="s">
        <v>284</v>
      </c>
      <c r="G24" s="329"/>
      <c r="H24" s="391">
        <f>CHOOSE($B$10,H25,H26,H27)</f>
        <v>0.04</v>
      </c>
      <c r="I24" s="391">
        <f t="shared" ref="I24" si="6">CHOOSE($B$10,I25,I26,I27)</f>
        <v>0.04</v>
      </c>
      <c r="J24" s="391">
        <f t="shared" ref="J24" si="7">CHOOSE($B$10,J25,J26,J27)</f>
        <v>3.5000000000000003E-2</v>
      </c>
      <c r="K24" s="391">
        <f t="shared" ref="K24" si="8">CHOOSE($B$10,K25,K26,K27)</f>
        <v>0.03</v>
      </c>
      <c r="L24" s="391">
        <f t="shared" ref="L24" si="9">CHOOSE($B$10,L25,L26,L27)</f>
        <v>2.5000000000000001E-2</v>
      </c>
    </row>
    <row r="25" spans="2:12" ht="15" x14ac:dyDescent="0.35">
      <c r="B25" s="144"/>
      <c r="C25" s="68"/>
      <c r="D25" s="280"/>
      <c r="E25" s="329"/>
      <c r="F25" s="152" t="s">
        <v>274</v>
      </c>
      <c r="G25" s="280"/>
      <c r="H25" s="327">
        <v>0.04</v>
      </c>
      <c r="I25" s="327">
        <v>0.04</v>
      </c>
      <c r="J25" s="327">
        <v>3.5000000000000003E-2</v>
      </c>
      <c r="K25" s="327">
        <v>0.03</v>
      </c>
      <c r="L25" s="327">
        <v>2.5000000000000001E-2</v>
      </c>
    </row>
    <row r="26" spans="2:12" ht="15" x14ac:dyDescent="0.35">
      <c r="B26" s="144"/>
      <c r="C26" s="68"/>
      <c r="D26" s="68"/>
      <c r="E26" s="367"/>
      <c r="F26" s="152" t="s">
        <v>275</v>
      </c>
      <c r="G26" s="368"/>
      <c r="H26" s="327">
        <v>3.7499999999999999E-2</v>
      </c>
      <c r="I26" s="327">
        <v>0.03</v>
      </c>
      <c r="J26" s="327">
        <v>2.5000000000000001E-2</v>
      </c>
      <c r="K26" s="327">
        <v>0.02</v>
      </c>
      <c r="L26" s="327">
        <v>0.02</v>
      </c>
    </row>
    <row r="27" spans="2:12" ht="15" x14ac:dyDescent="0.35">
      <c r="B27" s="144"/>
      <c r="C27" s="68"/>
      <c r="D27" s="68"/>
      <c r="E27" s="367"/>
      <c r="F27" s="152" t="s">
        <v>276</v>
      </c>
      <c r="G27" s="368"/>
      <c r="H27" s="327">
        <v>4.4999999999999998E-2</v>
      </c>
      <c r="I27" s="327">
        <v>0.05</v>
      </c>
      <c r="J27" s="327">
        <v>4.7500000000000001E-2</v>
      </c>
      <c r="K27" s="327">
        <v>0.04</v>
      </c>
      <c r="L27" s="327">
        <v>3.5000000000000003E-2</v>
      </c>
    </row>
    <row r="28" spans="2:12" ht="15" x14ac:dyDescent="0.35">
      <c r="B28" s="383"/>
      <c r="C28" s="80"/>
      <c r="D28" s="80"/>
      <c r="E28" s="384"/>
      <c r="F28" s="384"/>
      <c r="G28" s="384"/>
      <c r="H28" s="385"/>
      <c r="I28" s="385"/>
      <c r="J28" s="385"/>
      <c r="K28" s="385"/>
      <c r="L28" s="385"/>
    </row>
    <row r="29" spans="2:12" ht="15" x14ac:dyDescent="0.35">
      <c r="B29" s="144"/>
      <c r="C29" s="68"/>
      <c r="D29" s="68"/>
      <c r="E29" s="367"/>
      <c r="F29" s="367"/>
      <c r="G29" s="367"/>
      <c r="H29" s="374"/>
      <c r="I29" s="374"/>
      <c r="J29" s="374"/>
      <c r="K29" s="374"/>
      <c r="L29" s="374"/>
    </row>
    <row r="30" spans="2:12" ht="15" x14ac:dyDescent="0.35">
      <c r="B30" s="386" t="s">
        <v>278</v>
      </c>
      <c r="C30" s="387"/>
      <c r="D30" s="387"/>
      <c r="E30" s="387"/>
      <c r="F30" s="388"/>
      <c r="G30" s="389"/>
      <c r="H30" s="389"/>
      <c r="I30" s="387"/>
      <c r="J30" s="387"/>
      <c r="K30" s="387"/>
      <c r="L30" s="387"/>
    </row>
    <row r="31" spans="2:12" ht="15" x14ac:dyDescent="0.35">
      <c r="B31" s="144"/>
      <c r="C31" s="68"/>
      <c r="D31" s="280"/>
      <c r="E31" s="329"/>
      <c r="F31" s="329"/>
      <c r="G31" s="280"/>
      <c r="H31" s="370"/>
      <c r="I31" s="370"/>
      <c r="J31" s="370"/>
      <c r="K31" s="370"/>
      <c r="L31" s="370"/>
    </row>
    <row r="32" spans="2:12" ht="15" x14ac:dyDescent="0.35">
      <c r="B32" s="144"/>
      <c r="C32" s="68"/>
      <c r="D32" s="280"/>
      <c r="E32" s="329"/>
      <c r="F32" s="329"/>
      <c r="G32" s="280"/>
      <c r="H32" s="370"/>
      <c r="I32" s="370"/>
      <c r="J32" s="370"/>
      <c r="K32" s="370"/>
      <c r="L32" s="370"/>
    </row>
    <row r="33" spans="2:12" ht="15" x14ac:dyDescent="0.35">
      <c r="B33" s="73" t="s">
        <v>279</v>
      </c>
      <c r="C33" s="68"/>
      <c r="D33" s="68"/>
      <c r="E33" s="367"/>
      <c r="F33" s="390" t="s">
        <v>284</v>
      </c>
      <c r="G33" s="368"/>
      <c r="H33" s="391">
        <f t="shared" ref="H33:L33" si="10">CHOOSE($B$10,H34,H35,H36)</f>
        <v>3.5000000000000003E-2</v>
      </c>
      <c r="I33" s="391">
        <f t="shared" si="10"/>
        <v>3.5000000000000003E-2</v>
      </c>
      <c r="J33" s="391">
        <f t="shared" si="10"/>
        <v>3.5000000000000003E-2</v>
      </c>
      <c r="K33" s="391">
        <f t="shared" si="10"/>
        <v>3.5000000000000003E-2</v>
      </c>
      <c r="L33" s="391">
        <f t="shared" si="10"/>
        <v>3.5000000000000003E-2</v>
      </c>
    </row>
    <row r="34" spans="2:12" ht="15" x14ac:dyDescent="0.35">
      <c r="B34" s="144"/>
      <c r="C34" s="68"/>
      <c r="D34" s="68"/>
      <c r="E34" s="367"/>
      <c r="F34" s="152" t="s">
        <v>274</v>
      </c>
      <c r="G34" s="368"/>
      <c r="H34" s="245">
        <v>3.5000000000000003E-2</v>
      </c>
      <c r="I34" s="245">
        <v>3.5000000000000003E-2</v>
      </c>
      <c r="J34" s="245">
        <v>3.5000000000000003E-2</v>
      </c>
      <c r="K34" s="245">
        <v>3.5000000000000003E-2</v>
      </c>
      <c r="L34" s="245">
        <v>3.5000000000000003E-2</v>
      </c>
    </row>
    <row r="35" spans="2:12" ht="15" x14ac:dyDescent="0.35">
      <c r="B35" s="144"/>
      <c r="C35" s="68"/>
      <c r="D35" s="68"/>
      <c r="E35" s="68"/>
      <c r="F35" s="152" t="s">
        <v>275</v>
      </c>
      <c r="G35" s="280"/>
      <c r="H35" s="245">
        <v>0.05</v>
      </c>
      <c r="I35" s="245">
        <v>0.05</v>
      </c>
      <c r="J35" s="245">
        <v>0.05</v>
      </c>
      <c r="K35" s="245">
        <v>0.05</v>
      </c>
      <c r="L35" s="245">
        <v>0.05</v>
      </c>
    </row>
    <row r="36" spans="2:12" ht="15" x14ac:dyDescent="0.35">
      <c r="B36" s="144"/>
      <c r="C36" s="68"/>
      <c r="D36" s="68"/>
      <c r="E36" s="68"/>
      <c r="F36" s="152" t="s">
        <v>276</v>
      </c>
      <c r="G36" s="280"/>
      <c r="H36" s="245">
        <v>0</v>
      </c>
      <c r="I36" s="245">
        <v>5.0000000000000001E-3</v>
      </c>
      <c r="J36" s="245">
        <v>1.4999999999999999E-2</v>
      </c>
      <c r="K36" s="245">
        <v>0.02</v>
      </c>
      <c r="L36" s="245">
        <v>0.02</v>
      </c>
    </row>
    <row r="37" spans="2:12" ht="15" x14ac:dyDescent="0.35">
      <c r="B37" s="68"/>
      <c r="C37" s="68"/>
      <c r="D37" s="68"/>
      <c r="E37" s="68"/>
      <c r="F37" s="371"/>
      <c r="G37" s="372"/>
      <c r="H37" s="372"/>
      <c r="I37" s="372"/>
      <c r="J37" s="372"/>
      <c r="K37" s="68"/>
      <c r="L37" s="68"/>
    </row>
    <row r="38" spans="2:12" ht="15" x14ac:dyDescent="0.35">
      <c r="B38" s="73" t="s">
        <v>280</v>
      </c>
      <c r="C38" s="68"/>
      <c r="D38" s="68"/>
      <c r="E38" s="68"/>
      <c r="F38" s="390" t="s">
        <v>284</v>
      </c>
      <c r="G38" s="372"/>
      <c r="H38" s="391">
        <f t="shared" ref="H38" si="11">CHOOSE($B$10,H39,H40,H41)</f>
        <v>0.06</v>
      </c>
      <c r="I38" s="391">
        <f t="shared" ref="I38" si="12">CHOOSE($B$10,I39,I40,I41)</f>
        <v>0.05</v>
      </c>
      <c r="J38" s="391">
        <f t="shared" ref="J38" si="13">CHOOSE($B$10,J39,J40,J41)</f>
        <v>4.4999999999999998E-2</v>
      </c>
      <c r="K38" s="391">
        <f t="shared" ref="K38" si="14">CHOOSE($B$10,K39,K40,K41)</f>
        <v>0.04</v>
      </c>
      <c r="L38" s="391">
        <f t="shared" ref="L38" si="15">CHOOSE($B$10,L39,L40,L41)</f>
        <v>0.04</v>
      </c>
    </row>
    <row r="39" spans="2:12" ht="15" x14ac:dyDescent="0.35">
      <c r="B39" s="144"/>
      <c r="C39" s="68"/>
      <c r="D39" s="68"/>
      <c r="E39" s="68"/>
      <c r="F39" s="152" t="s">
        <v>274</v>
      </c>
      <c r="G39" s="373"/>
      <c r="H39" s="245">
        <v>0.06</v>
      </c>
      <c r="I39" s="245">
        <v>0.05</v>
      </c>
      <c r="J39" s="245">
        <v>4.4999999999999998E-2</v>
      </c>
      <c r="K39" s="245">
        <v>0.04</v>
      </c>
      <c r="L39" s="245">
        <v>0.04</v>
      </c>
    </row>
    <row r="40" spans="2:12" ht="15" x14ac:dyDescent="0.35">
      <c r="B40" s="144"/>
      <c r="C40" s="68"/>
      <c r="D40" s="68"/>
      <c r="E40" s="68"/>
      <c r="F40" s="152" t="s">
        <v>275</v>
      </c>
      <c r="G40" s="375"/>
      <c r="H40" s="245">
        <v>0.09</v>
      </c>
      <c r="I40" s="245">
        <v>0.08</v>
      </c>
      <c r="J40" s="245">
        <v>6.5000000000000002E-2</v>
      </c>
      <c r="K40" s="245">
        <v>0.06</v>
      </c>
      <c r="L40" s="245">
        <v>0.05</v>
      </c>
    </row>
    <row r="41" spans="2:12" ht="15" x14ac:dyDescent="0.35">
      <c r="B41" s="144"/>
      <c r="C41" s="68"/>
      <c r="D41" s="68"/>
      <c r="E41" s="68"/>
      <c r="F41" s="152" t="s">
        <v>276</v>
      </c>
      <c r="G41" s="376"/>
      <c r="H41" s="245">
        <v>5.0000000000000001E-3</v>
      </c>
      <c r="I41" s="245">
        <v>5.0000000000000001E-3</v>
      </c>
      <c r="J41" s="245">
        <v>0.01</v>
      </c>
      <c r="K41" s="245">
        <v>1.4999999999999999E-2</v>
      </c>
      <c r="L41" s="245">
        <v>0.02</v>
      </c>
    </row>
    <row r="42" spans="2:12" x14ac:dyDescent="0.3">
      <c r="B42" s="42"/>
      <c r="C42" s="42"/>
      <c r="D42" s="42"/>
      <c r="E42" s="42"/>
      <c r="F42" s="43"/>
      <c r="G42" s="45"/>
      <c r="H42" s="45"/>
      <c r="I42" s="45"/>
      <c r="J42" s="45"/>
    </row>
    <row r="43" spans="2:12" x14ac:dyDescent="0.3">
      <c r="B43" s="42"/>
      <c r="C43" s="42"/>
      <c r="D43" s="42"/>
      <c r="E43" s="42"/>
      <c r="F43" s="43"/>
      <c r="G43" s="45"/>
      <c r="H43" s="45"/>
      <c r="I43" s="45"/>
      <c r="J43" s="45"/>
    </row>
    <row r="44" spans="2:12" x14ac:dyDescent="0.3">
      <c r="B44" s="42"/>
      <c r="C44" s="42"/>
      <c r="D44" s="42"/>
      <c r="E44" s="42"/>
      <c r="F44" s="43"/>
      <c r="G44" s="43"/>
      <c r="H44" s="43"/>
      <c r="I44" s="43"/>
      <c r="J44" s="43"/>
    </row>
    <row r="45" spans="2:12" x14ac:dyDescent="0.3">
      <c r="B45" s="42"/>
      <c r="C45" s="42"/>
      <c r="D45" s="42"/>
      <c r="E45" s="42"/>
      <c r="F45" s="47"/>
      <c r="G45" s="47"/>
      <c r="H45" s="47"/>
      <c r="I45" s="47"/>
      <c r="J45" s="47"/>
    </row>
    <row r="46" spans="2:12" x14ac:dyDescent="0.3">
      <c r="B46" s="42"/>
      <c r="C46" s="42"/>
      <c r="D46" s="42"/>
      <c r="E46" s="42"/>
      <c r="F46" s="47"/>
      <c r="G46" s="47"/>
      <c r="H46" s="47"/>
      <c r="I46" s="47"/>
      <c r="J46" s="47"/>
    </row>
    <row r="47" spans="2:12" x14ac:dyDescent="0.3">
      <c r="B47" s="42"/>
      <c r="C47" s="42"/>
      <c r="D47" s="42"/>
      <c r="E47" s="42"/>
      <c r="F47" s="47"/>
      <c r="G47" s="47"/>
      <c r="H47" s="47"/>
      <c r="I47" s="47"/>
      <c r="J47" s="47"/>
    </row>
    <row r="48" spans="2:12" x14ac:dyDescent="0.3">
      <c r="B48" s="42"/>
      <c r="C48" s="42"/>
      <c r="D48" s="42"/>
      <c r="E48" s="42"/>
      <c r="F48" s="47"/>
      <c r="G48" s="47"/>
      <c r="H48" s="47"/>
      <c r="I48" s="47"/>
      <c r="J48" s="47"/>
    </row>
    <row r="49" spans="2:10" x14ac:dyDescent="0.3">
      <c r="B49" s="42"/>
      <c r="C49" s="42"/>
      <c r="D49" s="42"/>
      <c r="E49" s="42"/>
      <c r="F49" s="47"/>
      <c r="G49" s="47"/>
      <c r="H49" s="47"/>
      <c r="I49" s="47"/>
      <c r="J49" s="47"/>
    </row>
    <row r="50" spans="2:10" x14ac:dyDescent="0.3">
      <c r="B50" s="42"/>
      <c r="C50" s="42"/>
      <c r="D50" s="42"/>
      <c r="E50" s="42"/>
      <c r="F50" s="48"/>
      <c r="G50" s="49"/>
      <c r="H50" s="49"/>
      <c r="I50" s="49"/>
      <c r="J50" s="49"/>
    </row>
    <row r="51" spans="2:10" x14ac:dyDescent="0.3">
      <c r="B51" s="50"/>
      <c r="F51" s="18"/>
      <c r="G51" s="18"/>
      <c r="H51" s="18"/>
      <c r="I51" s="18"/>
      <c r="J51" s="18"/>
    </row>
    <row r="52" spans="2:10" x14ac:dyDescent="0.3">
      <c r="F52" s="19"/>
      <c r="G52" s="19"/>
      <c r="H52" s="19"/>
      <c r="I52" s="19"/>
      <c r="J52" s="19"/>
    </row>
    <row r="53" spans="2:10" x14ac:dyDescent="0.3">
      <c r="B53" s="42"/>
      <c r="F53" s="14"/>
      <c r="G53" s="14"/>
      <c r="H53" s="14"/>
      <c r="I53" s="14"/>
      <c r="J53" s="14"/>
    </row>
    <row r="54" spans="2:10" x14ac:dyDescent="0.3">
      <c r="F54" s="17"/>
      <c r="G54" s="17"/>
      <c r="H54" s="17"/>
      <c r="I54" s="17"/>
      <c r="J54" s="17"/>
    </row>
    <row r="55" spans="2:10" x14ac:dyDescent="0.3">
      <c r="F55" s="6"/>
      <c r="G55" s="6"/>
      <c r="H55" s="6"/>
    </row>
    <row r="56" spans="2:10" x14ac:dyDescent="0.3">
      <c r="F56" s="19"/>
      <c r="G56" s="19"/>
      <c r="H56" s="19"/>
      <c r="I56" s="19"/>
      <c r="J56" s="19"/>
    </row>
    <row r="57" spans="2:10" x14ac:dyDescent="0.3">
      <c r="F57" s="18"/>
      <c r="G57" s="18"/>
      <c r="H57" s="18"/>
      <c r="I57" s="18"/>
      <c r="J57" s="18"/>
    </row>
    <row r="58" spans="2:10" x14ac:dyDescent="0.3">
      <c r="F58" s="24"/>
      <c r="G58" s="24"/>
      <c r="H58" s="24"/>
      <c r="I58" s="24"/>
      <c r="J58" s="24"/>
    </row>
    <row r="59" spans="2:10" x14ac:dyDescent="0.3">
      <c r="F59" s="18"/>
      <c r="G59" s="18"/>
      <c r="H59" s="18"/>
    </row>
    <row r="60" spans="2:10" x14ac:dyDescent="0.3">
      <c r="F60" s="18"/>
      <c r="G60" s="18"/>
      <c r="H60" s="18"/>
      <c r="I60" s="18"/>
      <c r="J60" s="18"/>
    </row>
    <row r="61" spans="2:10" x14ac:dyDescent="0.3">
      <c r="F61" s="18"/>
      <c r="G61" s="18"/>
      <c r="H61" s="18"/>
      <c r="I61" s="18"/>
      <c r="J61" s="18"/>
    </row>
    <row r="62" spans="2:10" x14ac:dyDescent="0.3">
      <c r="F62" s="12"/>
      <c r="G62" s="12"/>
      <c r="H62" s="12"/>
      <c r="I62" s="12"/>
      <c r="J62" s="12"/>
    </row>
    <row r="63" spans="2:10" x14ac:dyDescent="0.3">
      <c r="F63" s="18"/>
      <c r="G63" s="18"/>
      <c r="H63" s="18"/>
    </row>
    <row r="64" spans="2:10" x14ac:dyDescent="0.3">
      <c r="F64" s="18"/>
      <c r="G64" s="18"/>
      <c r="H64" s="18"/>
      <c r="I64" s="18"/>
      <c r="J64" s="18"/>
    </row>
    <row r="65" spans="6:10" x14ac:dyDescent="0.3">
      <c r="F65" s="24"/>
      <c r="G65" s="24"/>
      <c r="H65" s="24"/>
      <c r="I65" s="24"/>
      <c r="J65" s="24"/>
    </row>
    <row r="66" spans="6:10" x14ac:dyDescent="0.3">
      <c r="F66" s="12"/>
      <c r="G66" s="12"/>
      <c r="H66" s="12"/>
      <c r="I66" s="12"/>
      <c r="J66" s="12"/>
    </row>
    <row r="67" spans="6:10" x14ac:dyDescent="0.3">
      <c r="F67" s="12"/>
      <c r="G67" s="12"/>
      <c r="H67" s="12"/>
      <c r="I67" s="12"/>
      <c r="J67" s="12"/>
    </row>
    <row r="68" spans="6:10" x14ac:dyDescent="0.3">
      <c r="F68" s="18"/>
      <c r="G68" s="18"/>
      <c r="H68" s="18"/>
      <c r="I68" s="18"/>
      <c r="J68" s="18"/>
    </row>
    <row r="69" spans="6:10" x14ac:dyDescent="0.3">
      <c r="F69" s="12"/>
      <c r="G69" s="12"/>
      <c r="H69" s="12"/>
      <c r="I69" s="12"/>
      <c r="J69" s="12"/>
    </row>
    <row r="70" spans="6:10" x14ac:dyDescent="0.3">
      <c r="F70" s="12"/>
      <c r="G70" s="12"/>
      <c r="H70" s="12"/>
      <c r="I70" s="12"/>
      <c r="J70" s="12"/>
    </row>
    <row r="71" spans="6:10" x14ac:dyDescent="0.3">
      <c r="F71" s="18"/>
      <c r="G71" s="18"/>
      <c r="H71" s="22"/>
      <c r="I71" s="23"/>
      <c r="J71" s="23"/>
    </row>
    <row r="72" spans="6:10" x14ac:dyDescent="0.3">
      <c r="F72" s="20"/>
      <c r="G72" s="20"/>
      <c r="H72" s="20"/>
      <c r="I72" s="21"/>
      <c r="J72" s="23"/>
    </row>
    <row r="73" spans="6:10" x14ac:dyDescent="0.3">
      <c r="F73" s="15"/>
      <c r="G73" s="15"/>
      <c r="H73" s="15"/>
      <c r="I73" s="15"/>
      <c r="J73" s="15"/>
    </row>
    <row r="74" spans="6:10" x14ac:dyDescent="0.3">
      <c r="F74" s="15"/>
      <c r="G74" s="15"/>
      <c r="H74" s="15"/>
    </row>
    <row r="75" spans="6:10" x14ac:dyDescent="0.3">
      <c r="F75" s="13"/>
      <c r="G75" s="13"/>
      <c r="H75" s="13"/>
      <c r="I75" s="13"/>
      <c r="J75" s="13"/>
    </row>
    <row r="76" spans="6:10" x14ac:dyDescent="0.3">
      <c r="F76" s="12"/>
      <c r="G76" s="12"/>
      <c r="H76" s="12"/>
      <c r="I76" s="12"/>
      <c r="J76" s="12"/>
    </row>
    <row r="77" spans="6:10" x14ac:dyDescent="0.3">
      <c r="F77" s="12"/>
      <c r="G77" s="12"/>
      <c r="H77" s="12"/>
      <c r="I77" s="12"/>
      <c r="J77" s="12"/>
    </row>
    <row r="78" spans="6:10" x14ac:dyDescent="0.3">
      <c r="F78" s="13"/>
      <c r="G78" s="13"/>
      <c r="H78" s="13"/>
    </row>
    <row r="79" spans="6:10" x14ac:dyDescent="0.3">
      <c r="F79" s="14"/>
      <c r="G79" s="14"/>
      <c r="H79" s="14"/>
      <c r="I79" s="14"/>
      <c r="J79" s="14"/>
    </row>
    <row r="80" spans="6:10" x14ac:dyDescent="0.3">
      <c r="F80" s="15"/>
      <c r="G80" s="15"/>
      <c r="H80" s="15"/>
      <c r="I80" s="15"/>
      <c r="J80" s="15"/>
    </row>
    <row r="81" spans="2:10" x14ac:dyDescent="0.3">
      <c r="F81" s="15"/>
      <c r="G81" s="15"/>
      <c r="H81" s="15"/>
      <c r="I81" s="15"/>
      <c r="J81" s="15"/>
    </row>
    <row r="82" spans="2:10" x14ac:dyDescent="0.3">
      <c r="F82" s="23"/>
      <c r="G82" s="23"/>
      <c r="H82" s="23"/>
      <c r="I82" s="23"/>
      <c r="J82" s="23"/>
    </row>
    <row r="83" spans="2:10" x14ac:dyDescent="0.3">
      <c r="F83" s="15"/>
      <c r="G83" s="15"/>
      <c r="H83" s="15"/>
      <c r="I83" s="15"/>
      <c r="J83" s="15"/>
    </row>
    <row r="84" spans="2:10" x14ac:dyDescent="0.3">
      <c r="F84" s="13"/>
      <c r="G84" s="13"/>
      <c r="H84" s="13"/>
      <c r="I84" s="13"/>
      <c r="J84" s="13"/>
    </row>
    <row r="85" spans="2:10" x14ac:dyDescent="0.3">
      <c r="B85" s="5"/>
      <c r="F85" s="6"/>
      <c r="G85" s="6"/>
      <c r="H85" s="6"/>
    </row>
    <row r="86" spans="2:10" x14ac:dyDescent="0.3">
      <c r="B86" s="5"/>
      <c r="F86" s="6"/>
      <c r="G86" s="6"/>
      <c r="H86" s="6"/>
    </row>
    <row r="87" spans="2:10" x14ac:dyDescent="0.3">
      <c r="B87" s="5"/>
      <c r="F87" s="6"/>
      <c r="G87" s="6"/>
      <c r="H87" s="6"/>
    </row>
    <row r="88" spans="2:10" x14ac:dyDescent="0.3">
      <c r="F88" s="6"/>
      <c r="G88" s="6"/>
      <c r="H88" s="6"/>
    </row>
    <row r="89" spans="2:10" x14ac:dyDescent="0.3">
      <c r="F89" s="16"/>
      <c r="G89" s="16"/>
      <c r="H89" s="16"/>
    </row>
    <row r="90" spans="2:10" x14ac:dyDescent="0.3">
      <c r="F90" s="16"/>
      <c r="G90" s="16"/>
      <c r="H90" s="16"/>
      <c r="I90" s="16"/>
      <c r="J90" s="16"/>
    </row>
    <row r="91" spans="2:10" x14ac:dyDescent="0.3">
      <c r="F91" s="16"/>
      <c r="G91" s="16"/>
      <c r="H91" s="16"/>
      <c r="I91" s="16"/>
      <c r="J91" s="16"/>
    </row>
    <row r="92" spans="2:10" x14ac:dyDescent="0.3">
      <c r="F92" s="16"/>
      <c r="G92" s="16"/>
      <c r="H92" s="16"/>
      <c r="I92" s="16"/>
      <c r="J92" s="16"/>
    </row>
    <row r="93" spans="2:10" x14ac:dyDescent="0.3">
      <c r="F93" s="16"/>
      <c r="G93" s="16"/>
      <c r="H93" s="16"/>
      <c r="I93" s="16"/>
      <c r="J93" s="16"/>
    </row>
    <row r="94" spans="2:10" x14ac:dyDescent="0.3">
      <c r="F94" s="16"/>
      <c r="G94" s="16"/>
      <c r="H94" s="16"/>
      <c r="I94" s="16"/>
      <c r="J94" s="16"/>
    </row>
    <row r="95" spans="2:10" x14ac:dyDescent="0.3">
      <c r="F95" s="13"/>
      <c r="G95" s="13"/>
      <c r="H95" s="13"/>
    </row>
    <row r="96" spans="2:10" x14ac:dyDescent="0.3">
      <c r="F96" s="9"/>
      <c r="G96" s="9"/>
      <c r="H96" s="9"/>
    </row>
    <row r="97" spans="2:10" x14ac:dyDescent="0.3">
      <c r="F97" s="16"/>
      <c r="G97" s="16"/>
      <c r="H97" s="16"/>
    </row>
    <row r="98" spans="2:10" x14ac:dyDescent="0.3">
      <c r="F98" s="16"/>
      <c r="G98" s="16"/>
      <c r="H98" s="16"/>
      <c r="I98" s="16"/>
      <c r="J98" s="16"/>
    </row>
    <row r="99" spans="2:10" x14ac:dyDescent="0.3">
      <c r="F99" s="16"/>
      <c r="G99" s="16"/>
      <c r="H99" s="16"/>
      <c r="I99" s="16"/>
      <c r="J99" s="16"/>
    </row>
    <row r="100" spans="2:10" x14ac:dyDescent="0.3">
      <c r="F100" s="16"/>
      <c r="G100" s="16"/>
      <c r="H100" s="16"/>
      <c r="I100" s="16"/>
      <c r="J100" s="16"/>
    </row>
    <row r="101" spans="2:10" x14ac:dyDescent="0.3">
      <c r="F101" s="16"/>
      <c r="G101" s="16"/>
      <c r="H101" s="16"/>
      <c r="I101" s="16"/>
      <c r="J101" s="16"/>
    </row>
    <row r="102" spans="2:10" x14ac:dyDescent="0.3">
      <c r="F102" s="16"/>
      <c r="G102" s="16"/>
      <c r="H102" s="16"/>
      <c r="I102" s="16"/>
      <c r="J102" s="16"/>
    </row>
    <row r="103" spans="2:10" x14ac:dyDescent="0.3">
      <c r="F103" s="14"/>
      <c r="G103" s="14"/>
      <c r="H103" s="14"/>
      <c r="I103" s="14"/>
      <c r="J103" s="14"/>
    </row>
    <row r="104" spans="2:10" x14ac:dyDescent="0.3">
      <c r="F104" s="14"/>
      <c r="G104" s="14"/>
      <c r="H104" s="14"/>
      <c r="I104" s="14"/>
      <c r="J104" s="14"/>
    </row>
    <row r="105" spans="2:10" x14ac:dyDescent="0.3">
      <c r="F105" s="14"/>
      <c r="G105" s="14"/>
      <c r="H105" s="14"/>
      <c r="I105" s="14"/>
      <c r="J105" s="14"/>
    </row>
    <row r="106" spans="2:10" x14ac:dyDescent="0.3">
      <c r="F106" s="14"/>
      <c r="G106" s="14"/>
      <c r="H106" s="14"/>
      <c r="I106" s="14"/>
      <c r="J106" s="14"/>
    </row>
    <row r="107" spans="2:10" x14ac:dyDescent="0.3">
      <c r="F107" s="14"/>
      <c r="G107" s="14"/>
      <c r="H107" s="14"/>
      <c r="I107" s="14"/>
      <c r="J107" s="14"/>
    </row>
    <row r="108" spans="2:10" x14ac:dyDescent="0.3">
      <c r="F108" s="13"/>
      <c r="G108" s="13"/>
      <c r="H108" s="13"/>
    </row>
    <row r="109" spans="2:10" x14ac:dyDescent="0.3">
      <c r="F109" s="12"/>
      <c r="G109" s="12"/>
      <c r="H109" s="12"/>
      <c r="I109" s="12"/>
      <c r="J109" s="12"/>
    </row>
    <row r="110" spans="2:10" x14ac:dyDescent="0.3">
      <c r="F110" s="13"/>
      <c r="G110" s="13"/>
      <c r="H110" s="13"/>
    </row>
    <row r="111" spans="2:10" x14ac:dyDescent="0.3">
      <c r="B111" s="5"/>
      <c r="F111" s="13"/>
      <c r="G111" s="13"/>
      <c r="H111" s="13"/>
    </row>
    <row r="112" spans="2:10" x14ac:dyDescent="0.3">
      <c r="B112" s="5"/>
      <c r="F112" s="13"/>
      <c r="G112" s="13"/>
      <c r="H112" s="13"/>
    </row>
    <row r="113" spans="2:10" x14ac:dyDescent="0.3">
      <c r="F113" s="14"/>
      <c r="G113" s="14"/>
      <c r="H113" s="14"/>
      <c r="I113" s="14"/>
      <c r="J113" s="14"/>
    </row>
    <row r="114" spans="2:10" x14ac:dyDescent="0.3">
      <c r="F114" s="13"/>
      <c r="G114" s="13"/>
      <c r="H114" s="13"/>
      <c r="I114" s="13"/>
      <c r="J114" s="13"/>
    </row>
    <row r="115" spans="2:10" x14ac:dyDescent="0.3">
      <c r="F115" s="13"/>
      <c r="G115" s="13"/>
      <c r="H115" s="13"/>
      <c r="I115" s="13"/>
      <c r="J115" s="13"/>
    </row>
    <row r="116" spans="2:10" x14ac:dyDescent="0.3">
      <c r="F116" s="13"/>
      <c r="G116" s="13"/>
      <c r="H116" s="13"/>
      <c r="I116" s="13"/>
      <c r="J116" s="13"/>
    </row>
    <row r="117" spans="2:10" x14ac:dyDescent="0.3">
      <c r="F117" s="25"/>
      <c r="G117" s="25"/>
      <c r="H117" s="25"/>
      <c r="I117" s="25"/>
      <c r="J117" s="25"/>
    </row>
    <row r="118" spans="2:10" x14ac:dyDescent="0.3">
      <c r="F118" s="12"/>
      <c r="G118" s="25"/>
      <c r="H118" s="25"/>
      <c r="I118" s="25"/>
      <c r="J118" s="25"/>
    </row>
    <row r="119" spans="2:10" x14ac:dyDescent="0.3">
      <c r="F119" s="9"/>
      <c r="G119" s="9"/>
      <c r="H119" s="9"/>
    </row>
    <row r="120" spans="2:10" x14ac:dyDescent="0.3">
      <c r="B120" s="5"/>
      <c r="F120" s="15"/>
      <c r="G120" s="15"/>
      <c r="H120" s="15"/>
    </row>
    <row r="121" spans="2:10" x14ac:dyDescent="0.3">
      <c r="F121" s="6"/>
      <c r="G121" s="6"/>
      <c r="H121" s="6"/>
    </row>
    <row r="122" spans="2:10" x14ac:dyDescent="0.3">
      <c r="F122" s="14"/>
      <c r="G122" s="14"/>
      <c r="H122" s="14"/>
      <c r="I122" s="14"/>
      <c r="J122" s="14"/>
    </row>
    <row r="123" spans="2:10" x14ac:dyDescent="0.3">
      <c r="F123" s="14"/>
      <c r="G123" s="6"/>
      <c r="H123" s="6"/>
    </row>
    <row r="124" spans="2:10" x14ac:dyDescent="0.3">
      <c r="F124" s="14"/>
      <c r="G124" s="6"/>
      <c r="H124" s="6"/>
    </row>
    <row r="125" spans="2:10" x14ac:dyDescent="0.3">
      <c r="F125" s="14"/>
      <c r="G125" s="6"/>
      <c r="H125" s="6"/>
    </row>
    <row r="126" spans="2:10" x14ac:dyDescent="0.3">
      <c r="F126" s="15"/>
      <c r="G126" s="6"/>
      <c r="H126" s="6"/>
    </row>
    <row r="127" spans="2:10" x14ac:dyDescent="0.3">
      <c r="F127" s="6"/>
      <c r="G127" s="6"/>
      <c r="H127" s="6"/>
    </row>
    <row r="128" spans="2:10" x14ac:dyDescent="0.3">
      <c r="B128" s="5"/>
      <c r="F128" s="6"/>
      <c r="G128" s="6"/>
      <c r="H128" s="6"/>
    </row>
    <row r="129" spans="6:8" x14ac:dyDescent="0.3">
      <c r="F129" s="6"/>
      <c r="G129" s="6"/>
      <c r="H129" s="6"/>
    </row>
    <row r="130" spans="6:8" x14ac:dyDescent="0.3">
      <c r="F130" s="14"/>
      <c r="G130" s="6"/>
      <c r="H130" s="6"/>
    </row>
    <row r="131" spans="6:8" x14ac:dyDescent="0.3">
      <c r="F131" s="9"/>
      <c r="G131" s="9"/>
      <c r="H131" s="9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861060</xdr:colOff>
                    <xdr:row>10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95AF-FDE0-40AF-9B1D-946EE3A6BF23}">
  <dimension ref="A2:R728"/>
  <sheetViews>
    <sheetView showGridLines="0" showWhiteSpace="0" topLeftCell="A95" zoomScale="77" zoomScaleNormal="79" zoomScalePageLayoutView="50" workbookViewId="0">
      <selection activeCell="B141" sqref="B141:L141"/>
    </sheetView>
  </sheetViews>
  <sheetFormatPr defaultRowHeight="14.4" x14ac:dyDescent="0.3"/>
  <cols>
    <col min="2" max="5" width="15.77734375" customWidth="1"/>
    <col min="6" max="12" width="12.44140625" bestFit="1" customWidth="1"/>
    <col min="13" max="13" width="8.88671875" customWidth="1"/>
    <col min="18" max="18" width="14" bestFit="1" customWidth="1"/>
  </cols>
  <sheetData>
    <row r="2" spans="1:12" ht="15.6" x14ac:dyDescent="0.3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28.8" x14ac:dyDescent="0.65">
      <c r="A3" s="51"/>
      <c r="B3" s="52" t="str">
        <f>Cover!$B$2</f>
        <v>Greggs</v>
      </c>
      <c r="C3" s="52"/>
      <c r="D3" s="53"/>
      <c r="E3" s="54"/>
      <c r="F3" s="54"/>
      <c r="G3" s="54"/>
      <c r="H3" s="54"/>
      <c r="I3" s="54"/>
      <c r="J3" s="54"/>
      <c r="K3" s="54"/>
      <c r="L3" s="54"/>
    </row>
    <row r="4" spans="1:12" ht="21" x14ac:dyDescent="0.5">
      <c r="A4" s="51"/>
      <c r="B4" s="55" t="s">
        <v>1</v>
      </c>
      <c r="C4" s="56"/>
      <c r="D4" s="54"/>
      <c r="E4" s="54"/>
      <c r="F4" s="54"/>
      <c r="G4" s="54"/>
      <c r="H4" s="54"/>
      <c r="I4" s="54"/>
      <c r="J4" s="54"/>
      <c r="K4" s="54"/>
      <c r="L4" s="377" t="str">
        <f>"Currently Running: "&amp;CHOOSE(Assumptions!$B$10,Assumptions!$F$15,Assumptions!$F$16,Assumptions!$F$17)&amp;"Scenario"</f>
        <v>Currently Running: Base Scenario</v>
      </c>
    </row>
    <row r="5" spans="1:12" ht="15.6" x14ac:dyDescent="0.35">
      <c r="A5" s="51"/>
      <c r="B5" s="57"/>
      <c r="C5" s="57"/>
      <c r="D5" s="57"/>
      <c r="E5" s="57"/>
      <c r="F5" s="57"/>
      <c r="G5" s="57"/>
      <c r="H5" s="57"/>
      <c r="I5" s="57"/>
      <c r="J5" s="57"/>
      <c r="K5" s="58"/>
      <c r="L5" s="58"/>
    </row>
    <row r="6" spans="1:12" ht="15.6" x14ac:dyDescent="0.35">
      <c r="A6" s="51"/>
      <c r="B6" s="58"/>
      <c r="C6" s="58"/>
      <c r="D6" s="58"/>
      <c r="E6" s="58"/>
      <c r="F6" s="59" t="s">
        <v>63</v>
      </c>
      <c r="G6" s="59"/>
      <c r="H6" s="59"/>
      <c r="I6" s="59"/>
      <c r="J6" s="59"/>
      <c r="K6" s="59"/>
      <c r="L6" s="59"/>
    </row>
    <row r="7" spans="1:12" ht="15.6" x14ac:dyDescent="0.35">
      <c r="A7" s="51"/>
      <c r="B7" s="58"/>
      <c r="C7" s="58"/>
      <c r="D7" s="58"/>
      <c r="E7" s="58"/>
      <c r="F7" s="60">
        <v>2024</v>
      </c>
      <c r="G7" s="60">
        <v>2025</v>
      </c>
      <c r="H7" s="61">
        <f>G7+1</f>
        <v>2026</v>
      </c>
      <c r="I7" s="61">
        <f t="shared" ref="I7:L7" si="0">H7+1</f>
        <v>2027</v>
      </c>
      <c r="J7" s="61">
        <f t="shared" si="0"/>
        <v>2028</v>
      </c>
      <c r="K7" s="61">
        <f t="shared" si="0"/>
        <v>2029</v>
      </c>
      <c r="L7" s="61">
        <f t="shared" si="0"/>
        <v>2030</v>
      </c>
    </row>
    <row r="8" spans="1:12" ht="16.2" thickBot="1" x14ac:dyDescent="0.4">
      <c r="A8" s="51"/>
      <c r="B8" s="62" t="s">
        <v>62</v>
      </c>
      <c r="C8" s="62"/>
      <c r="D8" s="62"/>
      <c r="E8" s="62"/>
      <c r="F8" s="63" t="s">
        <v>64</v>
      </c>
      <c r="G8" s="63"/>
      <c r="H8" s="64"/>
      <c r="I8" s="64"/>
      <c r="J8" s="64"/>
      <c r="K8" s="64"/>
      <c r="L8" s="64" t="s">
        <v>46</v>
      </c>
    </row>
    <row r="9" spans="1:12" ht="15.6" x14ac:dyDescent="0.35">
      <c r="A9" s="51"/>
      <c r="B9" s="58"/>
      <c r="C9" s="58"/>
      <c r="D9" s="58"/>
      <c r="E9" s="58"/>
      <c r="F9" s="65"/>
      <c r="G9" s="65"/>
      <c r="H9" s="66"/>
      <c r="I9" s="66"/>
      <c r="J9" s="66"/>
      <c r="K9" s="66"/>
      <c r="L9" s="66"/>
    </row>
    <row r="10" spans="1:12" ht="15.6" x14ac:dyDescent="0.35">
      <c r="A10" s="51"/>
      <c r="B10" s="67" t="s">
        <v>10</v>
      </c>
      <c r="C10" s="67"/>
      <c r="D10" s="68"/>
      <c r="E10" s="68"/>
      <c r="F10" s="69">
        <v>2014.4</v>
      </c>
      <c r="G10" s="69">
        <v>2151.1999999999998</v>
      </c>
      <c r="H10" s="70">
        <f>H217</f>
        <v>2320.6653293723866</v>
      </c>
      <c r="I10" s="70">
        <f t="shared" ref="I10:L10" si="1">I217</f>
        <v>2487.4096145710737</v>
      </c>
      <c r="J10" s="70">
        <f t="shared" si="1"/>
        <v>2654.3022584743435</v>
      </c>
      <c r="K10" s="70">
        <f t="shared" si="1"/>
        <v>2821.8336799843582</v>
      </c>
      <c r="L10" s="70">
        <f t="shared" si="1"/>
        <v>2992.6088767784036</v>
      </c>
    </row>
    <row r="11" spans="1:12" ht="16.2" thickBot="1" x14ac:dyDescent="0.4">
      <c r="A11" s="51"/>
      <c r="B11" s="71" t="s">
        <v>55</v>
      </c>
      <c r="C11" s="71"/>
      <c r="D11" s="71"/>
      <c r="E11" s="71"/>
      <c r="F11" s="72">
        <v>-770.8</v>
      </c>
      <c r="G11" s="72">
        <v>-829.1</v>
      </c>
      <c r="H11" s="72">
        <f>-H264</f>
        <v>-874.83540964565589</v>
      </c>
      <c r="I11" s="72">
        <f t="shared" ref="I11:L11" si="2">-I264</f>
        <v>-939.0139399389825</v>
      </c>
      <c r="J11" s="72">
        <f t="shared" si="2"/>
        <v>-999.37957181946047</v>
      </c>
      <c r="K11" s="72">
        <f t="shared" si="2"/>
        <v>-1056.1985906724274</v>
      </c>
      <c r="L11" s="72">
        <f t="shared" si="2"/>
        <v>-1109.2714690259081</v>
      </c>
    </row>
    <row r="12" spans="1:12" ht="15.6" x14ac:dyDescent="0.35">
      <c r="A12" s="51"/>
      <c r="B12" s="73" t="s">
        <v>56</v>
      </c>
      <c r="C12" s="73"/>
      <c r="D12" s="73"/>
      <c r="E12" s="73"/>
      <c r="F12" s="74">
        <f>SUM(F10:F11)</f>
        <v>1243.6000000000001</v>
      </c>
      <c r="G12" s="74">
        <f t="shared" ref="G12:L12" si="3">SUM(G10:G11)</f>
        <v>1322.1</v>
      </c>
      <c r="H12" s="74">
        <f t="shared" si="3"/>
        <v>1445.8299197267306</v>
      </c>
      <c r="I12" s="74">
        <f t="shared" si="3"/>
        <v>1548.3956746320912</v>
      </c>
      <c r="J12" s="74">
        <f t="shared" si="3"/>
        <v>1654.9226866548829</v>
      </c>
      <c r="K12" s="74">
        <f t="shared" si="3"/>
        <v>1765.6350893119309</v>
      </c>
      <c r="L12" s="74">
        <f t="shared" si="3"/>
        <v>1883.3374077524954</v>
      </c>
    </row>
    <row r="13" spans="1:12" ht="15.6" x14ac:dyDescent="0.35">
      <c r="A13" s="51"/>
      <c r="B13" s="68" t="s">
        <v>57</v>
      </c>
      <c r="C13" s="68"/>
      <c r="D13" s="73"/>
      <c r="E13" s="73"/>
      <c r="F13" s="67">
        <f>F12/F10</f>
        <v>0.61735504368546468</v>
      </c>
      <c r="G13" s="67">
        <f>G12/G10</f>
        <v>0.61458720714020088</v>
      </c>
      <c r="H13" s="67">
        <f t="shared" ref="H13:L13" si="4">H12/H10</f>
        <v>0.62302388087891536</v>
      </c>
      <c r="I13" s="67">
        <f t="shared" si="4"/>
        <v>0.62249324178924781</v>
      </c>
      <c r="J13" s="67">
        <f t="shared" si="4"/>
        <v>0.62348689994564133</v>
      </c>
      <c r="K13" s="67">
        <f t="shared" si="4"/>
        <v>0.62570487475424774</v>
      </c>
      <c r="L13" s="67">
        <f t="shared" si="4"/>
        <v>0.62932962017406746</v>
      </c>
    </row>
    <row r="14" spans="1:12" ht="15.6" x14ac:dyDescent="0.35">
      <c r="A14" s="51"/>
      <c r="B14" s="73"/>
      <c r="C14" s="73"/>
      <c r="D14" s="73"/>
      <c r="E14" s="73"/>
      <c r="F14" s="74"/>
      <c r="G14" s="74"/>
      <c r="H14" s="74"/>
      <c r="I14" s="74"/>
      <c r="J14" s="74"/>
      <c r="K14" s="74"/>
      <c r="L14" s="74"/>
    </row>
    <row r="15" spans="1:12" ht="15.6" x14ac:dyDescent="0.35">
      <c r="A15" s="51"/>
      <c r="B15" s="68" t="s">
        <v>58</v>
      </c>
      <c r="C15" s="73"/>
      <c r="D15" s="73"/>
      <c r="E15" s="73"/>
      <c r="F15" s="69">
        <v>-950.1</v>
      </c>
      <c r="G15" s="69">
        <v>-1036.3</v>
      </c>
      <c r="H15" s="70">
        <f>-H265</f>
        <v>-1093.4651248532061</v>
      </c>
      <c r="I15" s="70">
        <f t="shared" ref="I15:L15" si="5">-I265</f>
        <v>-1173.6824821598934</v>
      </c>
      <c r="J15" s="70">
        <f t="shared" si="5"/>
        <v>-1249.134061363535</v>
      </c>
      <c r="K15" s="70">
        <f t="shared" si="5"/>
        <v>-1320.152695107751</v>
      </c>
      <c r="L15" s="70">
        <f t="shared" si="5"/>
        <v>-1386.4889921017352</v>
      </c>
    </row>
    <row r="16" spans="1:12" ht="15.6" x14ac:dyDescent="0.35">
      <c r="A16" s="51"/>
      <c r="B16" s="68" t="s">
        <v>59</v>
      </c>
      <c r="C16" s="73"/>
      <c r="D16" s="73"/>
      <c r="E16" s="73"/>
      <c r="F16" s="69">
        <v>-97.9</v>
      </c>
      <c r="G16" s="69">
        <v>-102.1</v>
      </c>
      <c r="H16" s="70">
        <f>-H266</f>
        <v>-107.73211352650038</v>
      </c>
      <c r="I16" s="70">
        <f t="shared" ref="I16:L16" si="6">-I266</f>
        <v>-115.63541583375964</v>
      </c>
      <c r="J16" s="70">
        <f t="shared" si="6"/>
        <v>-123.06917655622591</v>
      </c>
      <c r="K16" s="70">
        <f t="shared" si="6"/>
        <v>-130.06618756200075</v>
      </c>
      <c r="L16" s="70">
        <f t="shared" si="6"/>
        <v>-136.60187792491283</v>
      </c>
    </row>
    <row r="17" spans="1:12" ht="16.2" thickBot="1" x14ac:dyDescent="0.4">
      <c r="A17" s="51"/>
      <c r="B17" s="75" t="s">
        <v>2</v>
      </c>
      <c r="C17" s="76"/>
      <c r="D17" s="76"/>
      <c r="E17" s="76"/>
      <c r="F17" s="77">
        <v>13.8</v>
      </c>
      <c r="G17" s="78">
        <v>0</v>
      </c>
      <c r="H17" s="79">
        <f>G17</f>
        <v>0</v>
      </c>
      <c r="I17" s="79">
        <f t="shared" ref="I17:L17" si="7">H17</f>
        <v>0</v>
      </c>
      <c r="J17" s="79">
        <f t="shared" si="7"/>
        <v>0</v>
      </c>
      <c r="K17" s="79">
        <f t="shared" si="7"/>
        <v>0</v>
      </c>
      <c r="L17" s="79">
        <f t="shared" si="7"/>
        <v>0</v>
      </c>
    </row>
    <row r="18" spans="1:12" ht="15.6" x14ac:dyDescent="0.35">
      <c r="A18" s="51"/>
      <c r="B18" s="73" t="s">
        <v>48</v>
      </c>
      <c r="C18" s="73"/>
      <c r="D18" s="73"/>
      <c r="E18" s="73"/>
      <c r="F18" s="74">
        <f>SUM(F15:F17)+F12</f>
        <v>209.40000000000009</v>
      </c>
      <c r="G18" s="74">
        <f t="shared" ref="G18:L18" si="8">SUM(G15:G17)+G12</f>
        <v>183.70000000000005</v>
      </c>
      <c r="H18" s="74">
        <f t="shared" si="8"/>
        <v>244.63268134702412</v>
      </c>
      <c r="I18" s="74">
        <f t="shared" si="8"/>
        <v>259.07777663843808</v>
      </c>
      <c r="J18" s="74">
        <f t="shared" si="8"/>
        <v>282.71944873512189</v>
      </c>
      <c r="K18" s="74">
        <f t="shared" si="8"/>
        <v>315.41620664217908</v>
      </c>
      <c r="L18" s="74">
        <f t="shared" si="8"/>
        <v>360.24653772584747</v>
      </c>
    </row>
    <row r="19" spans="1:12" ht="15.6" x14ac:dyDescent="0.35">
      <c r="A19" s="51"/>
      <c r="B19" s="68" t="s">
        <v>225</v>
      </c>
      <c r="C19" s="73"/>
      <c r="D19" s="73"/>
      <c r="E19" s="73"/>
      <c r="F19" s="67">
        <f>F18/F10</f>
        <v>0.10395154884829233</v>
      </c>
      <c r="G19" s="67">
        <f t="shared" ref="G19:L19" si="9">G18/G10</f>
        <v>8.5394198586835279E-2</v>
      </c>
      <c r="H19" s="67">
        <f t="shared" si="9"/>
        <v>0.10541489039834274</v>
      </c>
      <c r="I19" s="67">
        <f t="shared" si="9"/>
        <v>0.10415565458972996</v>
      </c>
      <c r="J19" s="67">
        <f t="shared" si="9"/>
        <v>0.10651366016529902</v>
      </c>
      <c r="K19" s="67">
        <f t="shared" si="9"/>
        <v>0.1117770366409148</v>
      </c>
      <c r="L19" s="67">
        <f t="shared" si="9"/>
        <v>0.12037875731814952</v>
      </c>
    </row>
    <row r="20" spans="1:12" ht="15.6" x14ac:dyDescent="0.35">
      <c r="A20" s="51"/>
      <c r="B20" s="73"/>
      <c r="C20" s="73"/>
      <c r="D20" s="73"/>
      <c r="E20" s="73"/>
      <c r="F20" s="74"/>
      <c r="G20" s="74"/>
      <c r="H20" s="74"/>
      <c r="I20" s="74"/>
      <c r="J20" s="74"/>
      <c r="K20" s="74"/>
      <c r="L20" s="74"/>
    </row>
    <row r="21" spans="1:12" ht="15.6" x14ac:dyDescent="0.35">
      <c r="A21" s="51"/>
      <c r="B21" s="68" t="s">
        <v>179</v>
      </c>
      <c r="C21" s="68"/>
      <c r="D21" s="73"/>
      <c r="E21" s="73"/>
      <c r="F21" s="70">
        <f>-F385</f>
        <v>-76.599999999999994</v>
      </c>
      <c r="G21" s="70">
        <f>-G385</f>
        <v>-90.7</v>
      </c>
      <c r="H21" s="70">
        <f>-H385</f>
        <v>-92.492661317489549</v>
      </c>
      <c r="I21" s="70">
        <f t="shared" ref="I21:L21" si="10">-I385</f>
        <v>-110.48125628597786</v>
      </c>
      <c r="J21" s="70">
        <f t="shared" si="10"/>
        <v>-127.15009671239966</v>
      </c>
      <c r="K21" s="70">
        <f t="shared" si="10"/>
        <v>-142.87304610777966</v>
      </c>
      <c r="L21" s="70">
        <f t="shared" si="10"/>
        <v>-158.86276313887726</v>
      </c>
    </row>
    <row r="22" spans="1:12" ht="15.6" x14ac:dyDescent="0.35">
      <c r="A22" s="51"/>
      <c r="B22" s="68" t="s">
        <v>181</v>
      </c>
      <c r="C22" s="68"/>
      <c r="D22" s="73"/>
      <c r="E22" s="73"/>
      <c r="F22" s="70">
        <f>-F331/1000000</f>
        <v>-59.2</v>
      </c>
      <c r="G22" s="70">
        <f>-G331/1000000</f>
        <v>-65.2</v>
      </c>
      <c r="H22" s="70">
        <f>-H331/1000000</f>
        <v>-44.274999999999999</v>
      </c>
      <c r="I22" s="70">
        <f t="shared" ref="I22:L22" si="11">-I331/1000000</f>
        <v>-50.150624999999998</v>
      </c>
      <c r="J22" s="70">
        <f t="shared" si="11"/>
        <v>-55.862625000000001</v>
      </c>
      <c r="K22" s="70">
        <f t="shared" si="11"/>
        <v>-61.379948437499998</v>
      </c>
      <c r="L22" s="70">
        <f t="shared" si="11"/>
        <v>-66.668847656249994</v>
      </c>
    </row>
    <row r="23" spans="1:12" ht="15.6" x14ac:dyDescent="0.35">
      <c r="A23" s="51"/>
      <c r="B23" s="80" t="s">
        <v>33</v>
      </c>
      <c r="C23" s="80"/>
      <c r="D23" s="80"/>
      <c r="E23" s="80"/>
      <c r="F23" s="82">
        <f>-F407</f>
        <v>-4.2</v>
      </c>
      <c r="G23" s="82">
        <f>-G407</f>
        <v>-4.7</v>
      </c>
      <c r="H23" s="82">
        <f>-H407</f>
        <v>-10.34049899702929</v>
      </c>
      <c r="I23" s="82">
        <f t="shared" ref="I23:L23" si="12">-I407</f>
        <v>-13.946555204986884</v>
      </c>
      <c r="J23" s="82">
        <f t="shared" si="12"/>
        <v>-17.80283910977095</v>
      </c>
      <c r="K23" s="82">
        <f t="shared" si="12"/>
        <v>-21.909941063614973</v>
      </c>
      <c r="L23" s="82">
        <f t="shared" si="12"/>
        <v>-26.270772981187044</v>
      </c>
    </row>
    <row r="24" spans="1:12" ht="16.2" thickBot="1" x14ac:dyDescent="0.4">
      <c r="A24" s="51"/>
      <c r="B24" s="321" t="s">
        <v>60</v>
      </c>
      <c r="C24" s="321"/>
      <c r="D24" s="321"/>
      <c r="E24" s="321"/>
      <c r="F24" s="322">
        <f t="shared" ref="F24:G24" si="13">SUM(F21:F23)</f>
        <v>-140</v>
      </c>
      <c r="G24" s="322">
        <f t="shared" si="13"/>
        <v>-160.6</v>
      </c>
      <c r="H24" s="322">
        <f>SUM(H21:H23)</f>
        <v>-147.10816031451884</v>
      </c>
      <c r="I24" s="322">
        <f t="shared" ref="I24:L24" si="14">SUM(I21:I23)</f>
        <v>-174.57843649096475</v>
      </c>
      <c r="J24" s="322">
        <f t="shared" si="14"/>
        <v>-200.81556082217062</v>
      </c>
      <c r="K24" s="322">
        <f t="shared" si="14"/>
        <v>-226.16293560889463</v>
      </c>
      <c r="L24" s="322">
        <f t="shared" si="14"/>
        <v>-251.80238377631429</v>
      </c>
    </row>
    <row r="25" spans="1:12" ht="15.6" x14ac:dyDescent="0.35">
      <c r="A25" s="51"/>
      <c r="B25" s="73" t="s">
        <v>223</v>
      </c>
      <c r="C25" s="73"/>
      <c r="D25" s="73"/>
      <c r="E25" s="73"/>
      <c r="F25" s="84">
        <f t="shared" ref="F25:G25" si="15">F18-F24</f>
        <v>349.40000000000009</v>
      </c>
      <c r="G25" s="84">
        <f t="shared" si="15"/>
        <v>344.30000000000007</v>
      </c>
      <c r="H25" s="84">
        <f>H18-H24</f>
        <v>391.74084166154296</v>
      </c>
      <c r="I25" s="84">
        <f>I18-I24</f>
        <v>433.65621312940283</v>
      </c>
      <c r="J25" s="84">
        <f>J18-J24</f>
        <v>483.53500955729248</v>
      </c>
      <c r="K25" s="84">
        <f>K18-K24</f>
        <v>541.57914225107368</v>
      </c>
      <c r="L25" s="84">
        <f>L18-L24</f>
        <v>612.04892150216176</v>
      </c>
    </row>
    <row r="26" spans="1:12" ht="15.6" x14ac:dyDescent="0.35">
      <c r="A26" s="51"/>
      <c r="B26" s="68" t="s">
        <v>224</v>
      </c>
      <c r="C26" s="73"/>
      <c r="D26" s="73"/>
      <c r="E26" s="73"/>
      <c r="F26" s="207">
        <f>F25/F10</f>
        <v>0.17345115170770456</v>
      </c>
      <c r="G26" s="207">
        <f>G25/G10</f>
        <v>0.16005020453700264</v>
      </c>
      <c r="H26" s="207">
        <f>H25/H10</f>
        <v>0.16880540106465394</v>
      </c>
      <c r="I26" s="207">
        <f t="shared" ref="I26:L26" si="16">I25/I10</f>
        <v>0.17434049084198866</v>
      </c>
      <c r="J26" s="207">
        <f t="shared" si="16"/>
        <v>0.18217028901419155</v>
      </c>
      <c r="K26" s="207">
        <f t="shared" si="16"/>
        <v>0.19192454399157774</v>
      </c>
      <c r="L26" s="207">
        <f t="shared" si="16"/>
        <v>0.20452018513058856</v>
      </c>
    </row>
    <row r="27" spans="1:12" ht="15.6" x14ac:dyDescent="0.35">
      <c r="A27" s="51"/>
      <c r="B27" s="73"/>
      <c r="C27" s="73"/>
      <c r="D27" s="73"/>
      <c r="E27" s="73"/>
      <c r="F27" s="83"/>
      <c r="G27" s="83"/>
      <c r="H27" s="84"/>
      <c r="I27" s="84"/>
      <c r="J27" s="84"/>
      <c r="K27" s="84"/>
      <c r="L27" s="84"/>
    </row>
    <row r="28" spans="1:12" ht="15.6" x14ac:dyDescent="0.35">
      <c r="A28" s="51"/>
      <c r="B28" s="68" t="s">
        <v>11</v>
      </c>
      <c r="C28" s="68"/>
      <c r="D28" s="73"/>
      <c r="E28" s="73"/>
      <c r="F28" s="69">
        <v>8.1</v>
      </c>
      <c r="G28" s="69">
        <v>1.8</v>
      </c>
      <c r="H28" s="70">
        <f>H466</f>
        <v>0.70799999999999996</v>
      </c>
      <c r="I28" s="70">
        <f t="shared" ref="I28:L28" si="17">I466</f>
        <v>0.47724928072325257</v>
      </c>
      <c r="J28" s="70">
        <f t="shared" si="17"/>
        <v>1.0000970816222148</v>
      </c>
      <c r="K28" s="70">
        <f t="shared" si="17"/>
        <v>2.0292823266768489</v>
      </c>
      <c r="L28" s="70">
        <f t="shared" si="17"/>
        <v>3.4939014220612457</v>
      </c>
    </row>
    <row r="29" spans="1:12" ht="15.6" x14ac:dyDescent="0.35">
      <c r="A29" s="51"/>
      <c r="B29" s="80" t="s">
        <v>61</v>
      </c>
      <c r="C29" s="80"/>
      <c r="D29" s="85"/>
      <c r="E29" s="85"/>
      <c r="F29" s="81">
        <v>-13.6</v>
      </c>
      <c r="G29" s="81">
        <v>-18.100000000000001</v>
      </c>
      <c r="H29" s="82">
        <f>-H460+H350</f>
        <v>-28.338000000000001</v>
      </c>
      <c r="I29" s="82">
        <f t="shared" ref="I29:L29" si="18">-I460+I350</f>
        <v>-27.377279999999999</v>
      </c>
      <c r="J29" s="82">
        <f t="shared" si="18"/>
        <v>-27.700666800000004</v>
      </c>
      <c r="K29" s="82">
        <f t="shared" si="18"/>
        <v>-27.936356808000003</v>
      </c>
      <c r="L29" s="82">
        <f t="shared" si="18"/>
        <v>-28.059676341480007</v>
      </c>
    </row>
    <row r="30" spans="1:12" ht="15.6" x14ac:dyDescent="0.35">
      <c r="A30" s="51"/>
      <c r="B30" s="86" t="s">
        <v>49</v>
      </c>
      <c r="C30" s="86"/>
      <c r="D30" s="86"/>
      <c r="E30" s="86"/>
      <c r="F30" s="87">
        <f>SUM(F28:F29)</f>
        <v>-5.5</v>
      </c>
      <c r="G30" s="87">
        <f t="shared" ref="G30:L30" si="19">SUM(G28:G29)</f>
        <v>-16.3</v>
      </c>
      <c r="H30" s="87">
        <f t="shared" si="19"/>
        <v>-27.630000000000003</v>
      </c>
      <c r="I30" s="87">
        <f t="shared" si="19"/>
        <v>-26.900030719276746</v>
      </c>
      <c r="J30" s="87">
        <f t="shared" si="19"/>
        <v>-26.700569718377789</v>
      </c>
      <c r="K30" s="87">
        <f t="shared" si="19"/>
        <v>-25.907074481323153</v>
      </c>
      <c r="L30" s="87">
        <f t="shared" si="19"/>
        <v>-24.565774919418761</v>
      </c>
    </row>
    <row r="31" spans="1:12" ht="16.2" thickBot="1" x14ac:dyDescent="0.4">
      <c r="A31" s="51"/>
      <c r="B31" s="76"/>
      <c r="C31" s="76"/>
      <c r="D31" s="76"/>
      <c r="E31" s="76"/>
      <c r="F31" s="88"/>
      <c r="G31" s="88"/>
      <c r="H31" s="88"/>
      <c r="I31" s="88"/>
      <c r="J31" s="88"/>
      <c r="K31" s="88"/>
      <c r="L31" s="88"/>
    </row>
    <row r="32" spans="1:12" ht="15.6" x14ac:dyDescent="0.35">
      <c r="A32" s="51"/>
      <c r="B32" s="73" t="s">
        <v>29</v>
      </c>
      <c r="C32" s="73"/>
      <c r="D32" s="73"/>
      <c r="E32" s="73"/>
      <c r="F32" s="84">
        <f t="shared" ref="F32:L32" si="20">F18+F30</f>
        <v>203.90000000000009</v>
      </c>
      <c r="G32" s="84">
        <f t="shared" si="20"/>
        <v>167.40000000000003</v>
      </c>
      <c r="H32" s="84">
        <f t="shared" si="20"/>
        <v>217.00268134702412</v>
      </c>
      <c r="I32" s="84">
        <f t="shared" si="20"/>
        <v>232.17774591916134</v>
      </c>
      <c r="J32" s="84">
        <f t="shared" si="20"/>
        <v>256.01887901674411</v>
      </c>
      <c r="K32" s="84">
        <f t="shared" si="20"/>
        <v>289.50913216085593</v>
      </c>
      <c r="L32" s="84">
        <f t="shared" si="20"/>
        <v>335.68076280642873</v>
      </c>
    </row>
    <row r="33" spans="1:12" ht="15.6" x14ac:dyDescent="0.35">
      <c r="A33" s="51"/>
      <c r="B33" s="73"/>
      <c r="C33" s="73"/>
      <c r="D33" s="68"/>
      <c r="E33" s="68"/>
      <c r="F33" s="74"/>
      <c r="G33" s="74"/>
      <c r="H33" s="74"/>
      <c r="I33" s="74"/>
      <c r="J33" s="74"/>
      <c r="K33" s="74"/>
      <c r="L33" s="74"/>
    </row>
    <row r="34" spans="1:12" ht="16.2" thickBot="1" x14ac:dyDescent="0.4">
      <c r="A34" s="51"/>
      <c r="B34" s="75" t="s">
        <v>7</v>
      </c>
      <c r="C34" s="75"/>
      <c r="D34" s="75"/>
      <c r="E34" s="75"/>
      <c r="F34" s="77">
        <v>-50.5</v>
      </c>
      <c r="G34" s="77">
        <v>-46.1</v>
      </c>
      <c r="H34" s="89">
        <f>-H502</f>
        <v>-56.420697150226275</v>
      </c>
      <c r="I34" s="89">
        <f t="shared" ref="I34:L34" si="21">-I502</f>
        <v>-60.36621393898195</v>
      </c>
      <c r="J34" s="89">
        <f t="shared" si="21"/>
        <v>-66.564908544353472</v>
      </c>
      <c r="K34" s="89">
        <f t="shared" si="21"/>
        <v>-75.272374361822543</v>
      </c>
      <c r="L34" s="89">
        <f t="shared" si="21"/>
        <v>-87.276998329671471</v>
      </c>
    </row>
    <row r="35" spans="1:12" ht="15.6" x14ac:dyDescent="0.35">
      <c r="A35" s="51"/>
      <c r="B35" s="73" t="s">
        <v>50</v>
      </c>
      <c r="C35" s="73"/>
      <c r="D35" s="68"/>
      <c r="E35" s="68"/>
      <c r="F35" s="74">
        <f>F32+F34</f>
        <v>153.40000000000009</v>
      </c>
      <c r="G35" s="74">
        <f t="shared" ref="G35:L35" si="22">G32+G34</f>
        <v>121.30000000000004</v>
      </c>
      <c r="H35" s="74">
        <f t="shared" si="22"/>
        <v>160.58198419679786</v>
      </c>
      <c r="I35" s="74">
        <f t="shared" si="22"/>
        <v>171.81153198017938</v>
      </c>
      <c r="J35" s="74">
        <f t="shared" si="22"/>
        <v>189.45397047239064</v>
      </c>
      <c r="K35" s="74">
        <f t="shared" si="22"/>
        <v>214.2367577990334</v>
      </c>
      <c r="L35" s="74">
        <f t="shared" si="22"/>
        <v>248.40376447675726</v>
      </c>
    </row>
    <row r="36" spans="1:12" ht="15.6" x14ac:dyDescent="0.35">
      <c r="A36" s="51"/>
      <c r="B36" s="68" t="s">
        <v>51</v>
      </c>
      <c r="C36" s="68"/>
      <c r="D36" s="68"/>
      <c r="E36" s="68"/>
      <c r="F36" s="67">
        <f t="shared" ref="F36:L36" si="23">F35/F10</f>
        <v>7.6151707704527449E-2</v>
      </c>
      <c r="G36" s="67">
        <f t="shared" si="23"/>
        <v>5.6387132763108985E-2</v>
      </c>
      <c r="H36" s="67">
        <f t="shared" si="23"/>
        <v>6.9196528325015536E-2</v>
      </c>
      <c r="I36" s="67">
        <f t="shared" si="23"/>
        <v>6.9072472412150893E-2</v>
      </c>
      <c r="J36" s="67">
        <f t="shared" si="23"/>
        <v>7.1376185537093351E-2</v>
      </c>
      <c r="K36" s="67">
        <f t="shared" si="23"/>
        <v>7.5921114457823374E-2</v>
      </c>
      <c r="L36" s="67">
        <f t="shared" si="23"/>
        <v>8.3005756751001927E-2</v>
      </c>
    </row>
    <row r="37" spans="1:12" ht="15.6" x14ac:dyDescent="0.35">
      <c r="A37" s="51"/>
      <c r="B37" s="68"/>
      <c r="C37" s="68"/>
      <c r="D37" s="68"/>
      <c r="E37" s="68"/>
      <c r="F37" s="70"/>
      <c r="G37" s="70"/>
      <c r="H37" s="70"/>
      <c r="I37" s="70"/>
      <c r="J37" s="70"/>
      <c r="K37" s="70"/>
      <c r="L37" s="70"/>
    </row>
    <row r="38" spans="1:12" ht="16.2" thickBot="1" x14ac:dyDescent="0.4">
      <c r="A38" s="51"/>
      <c r="B38" s="76" t="s">
        <v>3</v>
      </c>
      <c r="C38" s="76"/>
      <c r="D38" s="75"/>
      <c r="E38" s="75"/>
      <c r="F38" s="72"/>
      <c r="G38" s="72"/>
      <c r="H38" s="72"/>
      <c r="I38" s="72"/>
      <c r="J38" s="72"/>
      <c r="K38" s="72"/>
      <c r="L38" s="72"/>
    </row>
    <row r="39" spans="1:12" ht="15.6" x14ac:dyDescent="0.35">
      <c r="A39" s="51"/>
      <c r="B39" s="68" t="s">
        <v>4</v>
      </c>
      <c r="C39" s="68"/>
      <c r="D39" s="68" t="s">
        <v>75</v>
      </c>
      <c r="E39" s="68"/>
      <c r="F39" s="395"/>
      <c r="G39" s="396"/>
      <c r="H39" s="397">
        <f t="shared" ref="H39:L39" si="24">(H35*1000000/$D$41)*100</f>
        <v>157.04839530249177</v>
      </c>
      <c r="I39" s="397">
        <f t="shared" si="24"/>
        <v>168.0308381224248</v>
      </c>
      <c r="J39" s="397">
        <f t="shared" si="24"/>
        <v>185.28505669671458</v>
      </c>
      <c r="K39" s="397">
        <f t="shared" si="24"/>
        <v>209.52250151494712</v>
      </c>
      <c r="L39" s="397">
        <f t="shared" si="24"/>
        <v>242.93766696993373</v>
      </c>
    </row>
    <row r="40" spans="1:12" ht="15.6" x14ac:dyDescent="0.35">
      <c r="A40" s="51"/>
      <c r="B40" s="68"/>
      <c r="C40" s="68"/>
      <c r="D40" s="68"/>
      <c r="E40" s="68"/>
      <c r="F40" s="90"/>
      <c r="G40" s="90"/>
      <c r="H40" s="91"/>
      <c r="I40" s="91"/>
      <c r="J40" s="91"/>
      <c r="K40" s="91"/>
      <c r="L40" s="91"/>
    </row>
    <row r="41" spans="1:12" ht="15.6" x14ac:dyDescent="0.35">
      <c r="A41" s="51"/>
      <c r="B41" s="73" t="s">
        <v>289</v>
      </c>
      <c r="C41" s="68"/>
      <c r="D41" s="394">
        <v>102250000</v>
      </c>
      <c r="E41" s="68"/>
      <c r="F41" s="90"/>
      <c r="G41" s="90"/>
      <c r="H41" s="91"/>
      <c r="I41" s="91"/>
      <c r="J41" s="91"/>
      <c r="K41" s="91"/>
      <c r="L41" s="91"/>
    </row>
    <row r="42" spans="1:12" ht="15.6" x14ac:dyDescent="0.35">
      <c r="A42" s="51"/>
      <c r="B42" s="68"/>
      <c r="C42" s="68"/>
      <c r="D42" s="68"/>
      <c r="E42" s="68"/>
      <c r="F42" s="90"/>
      <c r="G42" s="90"/>
      <c r="H42" s="91"/>
      <c r="I42" s="91"/>
      <c r="J42" s="91"/>
      <c r="K42" s="91"/>
      <c r="L42" s="91"/>
    </row>
    <row r="43" spans="1:12" ht="15.6" x14ac:dyDescent="0.3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</row>
    <row r="44" spans="1:12" ht="15.6" x14ac:dyDescent="0.3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1:12" ht="28.8" x14ac:dyDescent="0.65">
      <c r="A45" s="51"/>
      <c r="B45" s="52" t="str">
        <f>Cover!$B$2</f>
        <v>Greggs</v>
      </c>
      <c r="C45" s="52"/>
      <c r="D45" s="53"/>
      <c r="E45" s="54"/>
      <c r="F45" s="54"/>
      <c r="G45" s="54"/>
      <c r="H45" s="54"/>
      <c r="I45" s="54"/>
      <c r="J45" s="54"/>
      <c r="K45" s="54"/>
      <c r="L45" s="54"/>
    </row>
    <row r="46" spans="1:12" ht="21" x14ac:dyDescent="0.5">
      <c r="A46" s="51"/>
      <c r="B46" s="55" t="s">
        <v>5</v>
      </c>
      <c r="C46" s="56"/>
      <c r="D46" s="54"/>
      <c r="E46" s="54"/>
      <c r="F46" s="54"/>
      <c r="G46" s="54"/>
      <c r="H46" s="54"/>
      <c r="I46" s="54"/>
      <c r="J46" s="54"/>
      <c r="K46" s="54"/>
      <c r="L46" s="377" t="str">
        <f>"Currently Running: "&amp;CHOOSE(Assumptions!$B$10,Assumptions!$F$15,Assumptions!$F$16,Assumptions!$F$17)&amp;"Scenario"</f>
        <v>Currently Running: Base Scenario</v>
      </c>
    </row>
    <row r="47" spans="1:12" ht="15.6" x14ac:dyDescent="0.35">
      <c r="A47" s="51"/>
      <c r="B47" s="57"/>
      <c r="C47" s="57"/>
      <c r="D47" s="57"/>
      <c r="E47" s="57"/>
      <c r="F47" s="57"/>
      <c r="G47" s="57"/>
      <c r="H47" s="57"/>
      <c r="I47" s="57"/>
      <c r="J47" s="57"/>
      <c r="K47" s="58"/>
      <c r="L47" s="58"/>
    </row>
    <row r="48" spans="1:12" ht="15.6" x14ac:dyDescent="0.35">
      <c r="A48" s="51"/>
      <c r="B48" s="58"/>
      <c r="C48" s="58"/>
      <c r="D48" s="58"/>
      <c r="E48" s="58"/>
      <c r="F48" s="59" t="s">
        <v>63</v>
      </c>
      <c r="G48" s="59"/>
      <c r="H48" s="59"/>
      <c r="I48" s="59"/>
      <c r="J48" s="59"/>
      <c r="K48" s="59"/>
      <c r="L48" s="59"/>
    </row>
    <row r="49" spans="1:16" ht="15.6" x14ac:dyDescent="0.35">
      <c r="A49" s="51"/>
      <c r="B49" s="58"/>
      <c r="C49" s="58"/>
      <c r="D49" s="58"/>
      <c r="E49" s="58"/>
      <c r="F49" s="60">
        <v>2024</v>
      </c>
      <c r="G49" s="60">
        <v>2025</v>
      </c>
      <c r="H49" s="61">
        <f>G49+1</f>
        <v>2026</v>
      </c>
      <c r="I49" s="61">
        <f t="shared" ref="I49" si="25">H49+1</f>
        <v>2027</v>
      </c>
      <c r="J49" s="61">
        <f t="shared" ref="J49" si="26">I49+1</f>
        <v>2028</v>
      </c>
      <c r="K49" s="61">
        <f t="shared" ref="K49" si="27">J49+1</f>
        <v>2029</v>
      </c>
      <c r="L49" s="61">
        <f t="shared" ref="L49" si="28">K49+1</f>
        <v>2030</v>
      </c>
    </row>
    <row r="50" spans="1:16" ht="16.2" thickBot="1" x14ac:dyDescent="0.4">
      <c r="A50" s="51"/>
      <c r="B50" s="62" t="s">
        <v>62</v>
      </c>
      <c r="C50" s="62"/>
      <c r="D50" s="62"/>
      <c r="E50" s="62"/>
      <c r="F50" s="63" t="s">
        <v>64</v>
      </c>
      <c r="G50" s="63"/>
      <c r="H50" s="64"/>
      <c r="I50" s="64"/>
      <c r="J50" s="64"/>
      <c r="K50" s="64"/>
      <c r="L50" s="64" t="s">
        <v>46</v>
      </c>
    </row>
    <row r="51" spans="1:16" ht="15.6" x14ac:dyDescent="0.35">
      <c r="A51" s="51"/>
      <c r="B51" s="58"/>
      <c r="C51" s="58"/>
      <c r="D51" s="58"/>
      <c r="E51" s="58"/>
      <c r="F51" s="92"/>
      <c r="G51" s="92"/>
      <c r="H51" s="93"/>
      <c r="I51" s="93"/>
      <c r="J51" s="93"/>
      <c r="K51" s="93"/>
      <c r="L51" s="93"/>
    </row>
    <row r="52" spans="1:16" ht="15.6" x14ac:dyDescent="0.35">
      <c r="A52" s="51"/>
      <c r="B52" s="94" t="s">
        <v>6</v>
      </c>
      <c r="C52" s="95"/>
      <c r="D52" s="96"/>
      <c r="E52" s="96"/>
      <c r="F52" s="97"/>
      <c r="G52" s="97"/>
      <c r="H52" s="98"/>
      <c r="I52" s="98"/>
      <c r="J52" s="98"/>
      <c r="K52" s="98"/>
      <c r="L52" s="99"/>
    </row>
    <row r="53" spans="1:16" ht="15.6" x14ac:dyDescent="0.35">
      <c r="A53" s="51"/>
      <c r="B53" s="68"/>
      <c r="C53" s="68"/>
      <c r="D53" s="68"/>
      <c r="E53" s="68"/>
      <c r="F53" s="100"/>
      <c r="G53" s="100"/>
      <c r="H53" s="101"/>
      <c r="I53" s="101"/>
      <c r="J53" s="101"/>
      <c r="K53" s="101"/>
      <c r="L53" s="101"/>
    </row>
    <row r="54" spans="1:16" ht="15.6" x14ac:dyDescent="0.35">
      <c r="A54" s="51"/>
      <c r="B54" s="144" t="s">
        <v>13</v>
      </c>
      <c r="C54" s="68"/>
      <c r="D54" s="68"/>
      <c r="E54" s="68"/>
      <c r="F54" s="69">
        <v>55.2</v>
      </c>
      <c r="G54" s="69">
        <v>55.7</v>
      </c>
      <c r="H54" s="70">
        <f>H281</f>
        <v>58.772563402801879</v>
      </c>
      <c r="I54" s="70">
        <f t="shared" ref="I54:L54" si="29">I281</f>
        <v>63.084159274636747</v>
      </c>
      <c r="J54" s="70">
        <f t="shared" si="29"/>
        <v>67.139599747128159</v>
      </c>
      <c r="K54" s="70">
        <f t="shared" si="29"/>
        <v>70.956774213549878</v>
      </c>
      <c r="L54" s="70">
        <f t="shared" si="29"/>
        <v>74.522278162758511</v>
      </c>
    </row>
    <row r="55" spans="1:16" ht="15.6" x14ac:dyDescent="0.35">
      <c r="A55" s="51"/>
      <c r="B55" s="144" t="s">
        <v>66</v>
      </c>
      <c r="C55" s="68"/>
      <c r="D55" s="68"/>
      <c r="E55" s="68"/>
      <c r="F55" s="69">
        <v>62.4</v>
      </c>
      <c r="G55" s="69">
        <v>69.400000000000006</v>
      </c>
      <c r="H55" s="141">
        <f>H280</f>
        <v>74.867131767591886</v>
      </c>
      <c r="I55" s="141">
        <f t="shared" ref="I55:L55" si="30">I280</f>
        <v>80.246479756058264</v>
      </c>
      <c r="J55" s="141">
        <f t="shared" si="30"/>
        <v>85.630613954127682</v>
      </c>
      <c r="K55" s="141">
        <f t="shared" si="30"/>
        <v>91.035355797189709</v>
      </c>
      <c r="L55" s="141">
        <f t="shared" si="30"/>
        <v>96.544745280969337</v>
      </c>
    </row>
    <row r="56" spans="1:16" ht="15.6" x14ac:dyDescent="0.35">
      <c r="A56" s="51"/>
      <c r="B56" s="145" t="s">
        <v>67</v>
      </c>
      <c r="C56" s="139"/>
      <c r="D56" s="139"/>
      <c r="E56" s="139"/>
      <c r="F56" s="140">
        <v>125.3</v>
      </c>
      <c r="G56" s="140">
        <v>70.8</v>
      </c>
      <c r="H56" s="352">
        <f>H129</f>
        <v>47.724928072325255</v>
      </c>
      <c r="I56" s="352">
        <f t="shared" ref="I56:L56" si="31">I129</f>
        <v>100.00970816222149</v>
      </c>
      <c r="J56" s="352">
        <f t="shared" si="31"/>
        <v>202.92823266768488</v>
      </c>
      <c r="K56" s="352">
        <f t="shared" si="31"/>
        <v>349.39014220612455</v>
      </c>
      <c r="L56" s="352">
        <f t="shared" si="31"/>
        <v>532.06434871032548</v>
      </c>
    </row>
    <row r="57" spans="1:16" ht="15.6" x14ac:dyDescent="0.35">
      <c r="A57" s="51"/>
      <c r="B57" s="68" t="s">
        <v>68</v>
      </c>
      <c r="C57" s="68"/>
      <c r="D57" s="68"/>
      <c r="E57" s="68"/>
      <c r="F57" s="141">
        <f>SUM(F54:F56)</f>
        <v>242.89999999999998</v>
      </c>
      <c r="G57" s="141">
        <f t="shared" ref="G57:L57" si="32">SUM(G54:G56)</f>
        <v>195.9</v>
      </c>
      <c r="H57" s="141">
        <f t="shared" si="32"/>
        <v>181.36462324271901</v>
      </c>
      <c r="I57" s="141">
        <f t="shared" si="32"/>
        <v>243.34034719291651</v>
      </c>
      <c r="J57" s="141">
        <f t="shared" si="32"/>
        <v>355.69844636894072</v>
      </c>
      <c r="K57" s="141">
        <f t="shared" si="32"/>
        <v>511.38227221686412</v>
      </c>
      <c r="L57" s="141">
        <f t="shared" si="32"/>
        <v>703.13137215405334</v>
      </c>
    </row>
    <row r="58" spans="1:16" ht="15.6" x14ac:dyDescent="0.35">
      <c r="A58" s="51"/>
      <c r="B58" s="68" t="s">
        <v>69</v>
      </c>
      <c r="C58" s="68"/>
      <c r="D58" s="68"/>
      <c r="E58" s="68"/>
      <c r="F58" s="69">
        <v>1142.0999999999999</v>
      </c>
      <c r="G58" s="69">
        <v>1391.2</v>
      </c>
      <c r="H58" s="317"/>
      <c r="I58" s="317"/>
      <c r="J58" s="317"/>
      <c r="K58" s="317"/>
      <c r="L58" s="317"/>
      <c r="O58" s="35"/>
      <c r="P58" s="35"/>
    </row>
    <row r="59" spans="1:16" ht="15.6" x14ac:dyDescent="0.35">
      <c r="A59" s="51"/>
      <c r="B59" s="139" t="s">
        <v>70</v>
      </c>
      <c r="C59" s="139"/>
      <c r="D59" s="139"/>
      <c r="E59" s="139"/>
      <c r="F59" s="140">
        <v>477.4</v>
      </c>
      <c r="G59" s="140">
        <v>559.1</v>
      </c>
      <c r="H59" s="318"/>
      <c r="I59" s="318"/>
      <c r="J59" s="318"/>
      <c r="K59" s="318"/>
      <c r="L59" s="318"/>
    </row>
    <row r="60" spans="1:16" ht="15.6" x14ac:dyDescent="0.35">
      <c r="A60" s="51"/>
      <c r="B60" s="68" t="s">
        <v>71</v>
      </c>
      <c r="C60" s="68"/>
      <c r="D60" s="68"/>
      <c r="E60" s="68"/>
      <c r="F60" s="141">
        <f>F58-F59</f>
        <v>664.69999999999993</v>
      </c>
      <c r="G60" s="141">
        <f t="shared" ref="G60" si="33">G58-G59</f>
        <v>832.1</v>
      </c>
      <c r="H60" s="141">
        <f>H393</f>
        <v>925.26056503230143</v>
      </c>
      <c r="I60" s="141">
        <f t="shared" ref="I60:L60" si="34">I393</f>
        <v>988.8979817662987</v>
      </c>
      <c r="J60" s="141">
        <f t="shared" si="34"/>
        <v>1021.0060205623596</v>
      </c>
      <c r="K60" s="141">
        <f t="shared" si="34"/>
        <v>1033.3338268537198</v>
      </c>
      <c r="L60" s="141">
        <f t="shared" si="34"/>
        <v>1039.0645519376549</v>
      </c>
    </row>
    <row r="61" spans="1:16" ht="15.6" x14ac:dyDescent="0.35">
      <c r="A61" s="51"/>
      <c r="B61" s="68" t="s">
        <v>17</v>
      </c>
      <c r="C61" s="68"/>
      <c r="D61" s="68"/>
      <c r="E61" s="68"/>
      <c r="F61" s="69">
        <v>24.9</v>
      </c>
      <c r="G61" s="69">
        <v>43</v>
      </c>
      <c r="H61" s="141">
        <f>H414</f>
        <v>50.064490973263617</v>
      </c>
      <c r="I61" s="141">
        <f t="shared" ref="I61:L61" si="35">I414</f>
        <v>54.773507877559787</v>
      </c>
      <c r="J61" s="141">
        <f t="shared" si="35"/>
        <v>56.877935706346413</v>
      </c>
      <c r="K61" s="141">
        <f t="shared" si="35"/>
        <v>56.131747242614132</v>
      </c>
      <c r="L61" s="141">
        <f t="shared" si="35"/>
        <v>52.305540837265106</v>
      </c>
    </row>
    <row r="62" spans="1:16" ht="15.6" x14ac:dyDescent="0.35">
      <c r="A62" s="51"/>
      <c r="B62" s="68" t="s">
        <v>73</v>
      </c>
      <c r="C62" s="68"/>
      <c r="D62" s="68"/>
      <c r="E62" s="68"/>
      <c r="F62" s="69">
        <v>387.2</v>
      </c>
      <c r="G62" s="69">
        <v>413</v>
      </c>
      <c r="H62" s="141">
        <f>H340</f>
        <v>428.22500000000002</v>
      </c>
      <c r="I62" s="141">
        <f t="shared" ref="I62:L62" si="36">I340</f>
        <v>436.08687500000002</v>
      </c>
      <c r="J62" s="141">
        <f t="shared" si="36"/>
        <v>436.45175000000006</v>
      </c>
      <c r="K62" s="141">
        <f t="shared" si="36"/>
        <v>429.19077031250009</v>
      </c>
      <c r="L62" s="141">
        <f t="shared" si="36"/>
        <v>414.18093828125006</v>
      </c>
    </row>
    <row r="63" spans="1:16" ht="16.2" thickBot="1" x14ac:dyDescent="0.4">
      <c r="A63" s="51"/>
      <c r="B63" s="75" t="s">
        <v>74</v>
      </c>
      <c r="C63" s="75"/>
      <c r="D63" s="75"/>
      <c r="E63" s="75"/>
      <c r="F63" s="137">
        <v>0</v>
      </c>
      <c r="G63" s="138">
        <v>0</v>
      </c>
      <c r="H63" s="319">
        <v>0</v>
      </c>
      <c r="I63" s="319">
        <v>0</v>
      </c>
      <c r="J63" s="319">
        <v>0</v>
      </c>
      <c r="K63" s="319">
        <v>0</v>
      </c>
      <c r="L63" s="319">
        <v>0</v>
      </c>
    </row>
    <row r="64" spans="1:16" ht="15.6" x14ac:dyDescent="0.35">
      <c r="A64" s="51"/>
      <c r="B64" s="73" t="s">
        <v>72</v>
      </c>
      <c r="C64" s="73"/>
      <c r="D64" s="68"/>
      <c r="E64" s="68"/>
      <c r="F64" s="74">
        <f t="shared" ref="F64" si="37">SUM(F60:F63)+F57</f>
        <v>1319.6999999999998</v>
      </c>
      <c r="G64" s="74">
        <f>SUM(G60:G63)+G57</f>
        <v>1484</v>
      </c>
      <c r="H64" s="74">
        <f>SUM(H57)+SUM(H60:H63)</f>
        <v>1584.9146792482843</v>
      </c>
      <c r="I64" s="74">
        <f t="shared" ref="I64:L64" si="38">SUM(I57)+SUM(I60:I63)</f>
        <v>1723.0987118367748</v>
      </c>
      <c r="J64" s="74">
        <f t="shared" si="38"/>
        <v>1870.0341526376467</v>
      </c>
      <c r="K64" s="74">
        <f t="shared" si="38"/>
        <v>2030.0386166256981</v>
      </c>
      <c r="L64" s="74">
        <f t="shared" si="38"/>
        <v>2208.6824032102236</v>
      </c>
    </row>
    <row r="65" spans="1:12" ht="15.6" x14ac:dyDescent="0.35">
      <c r="A65" s="51"/>
      <c r="B65" s="73"/>
      <c r="C65" s="73"/>
      <c r="D65" s="68"/>
      <c r="E65" s="68"/>
      <c r="F65" s="103"/>
      <c r="G65" s="103"/>
      <c r="H65" s="103"/>
      <c r="I65" s="103"/>
      <c r="J65" s="103"/>
      <c r="K65" s="68"/>
      <c r="L65" s="68"/>
    </row>
    <row r="66" spans="1:12" ht="15.6" x14ac:dyDescent="0.35">
      <c r="A66" s="51"/>
      <c r="B66" s="104" t="s">
        <v>65</v>
      </c>
      <c r="C66" s="95"/>
      <c r="D66" s="96"/>
      <c r="E66" s="96"/>
      <c r="F66" s="97"/>
      <c r="G66" s="97"/>
      <c r="H66" s="98"/>
      <c r="I66" s="98"/>
      <c r="J66" s="98"/>
      <c r="K66" s="98"/>
      <c r="L66" s="99"/>
    </row>
    <row r="67" spans="1:12" ht="15.6" x14ac:dyDescent="0.35">
      <c r="A67" s="51"/>
      <c r="B67" s="68"/>
      <c r="C67" s="68"/>
      <c r="D67" s="68"/>
      <c r="E67" s="68"/>
      <c r="F67" s="100"/>
      <c r="G67" s="100"/>
      <c r="H67" s="101"/>
      <c r="I67" s="101"/>
      <c r="J67" s="101"/>
      <c r="K67" s="101"/>
      <c r="L67" s="101"/>
    </row>
    <row r="68" spans="1:12" ht="15.6" x14ac:dyDescent="0.35">
      <c r="A68" s="51"/>
      <c r="B68" s="144" t="s">
        <v>14</v>
      </c>
      <c r="C68" s="68"/>
      <c r="D68" s="68"/>
      <c r="E68" s="68"/>
      <c r="F68" s="69">
        <v>-243.9</v>
      </c>
      <c r="G68" s="69">
        <v>-272.8</v>
      </c>
      <c r="H68" s="70">
        <f>-H283</f>
        <v>-287.8483895203654</v>
      </c>
      <c r="I68" s="70">
        <f t="shared" ref="I68:L68" si="39">-I283</f>
        <v>-308.96514632173978</v>
      </c>
      <c r="J68" s="70">
        <f t="shared" si="39"/>
        <v>-328.82733951555764</v>
      </c>
      <c r="K68" s="70">
        <f t="shared" si="39"/>
        <v>-347.52258537623715</v>
      </c>
      <c r="L68" s="70">
        <f t="shared" si="39"/>
        <v>-364.98523308439002</v>
      </c>
    </row>
    <row r="69" spans="1:12" ht="15.6" x14ac:dyDescent="0.35">
      <c r="A69" s="51"/>
      <c r="B69" s="144" t="s">
        <v>76</v>
      </c>
      <c r="C69" s="68"/>
      <c r="D69" s="68"/>
      <c r="E69" s="68"/>
      <c r="F69" s="69">
        <v>-9.1</v>
      </c>
      <c r="G69" s="69">
        <v>-2.1</v>
      </c>
      <c r="H69" s="70">
        <f>G69</f>
        <v>-2.1</v>
      </c>
      <c r="I69" s="70">
        <f t="shared" ref="I69:L69" si="40">H69</f>
        <v>-2.1</v>
      </c>
      <c r="J69" s="70">
        <f t="shared" si="40"/>
        <v>-2.1</v>
      </c>
      <c r="K69" s="70">
        <f t="shared" si="40"/>
        <v>-2.1</v>
      </c>
      <c r="L69" s="70">
        <f t="shared" si="40"/>
        <v>-2.1</v>
      </c>
    </row>
    <row r="70" spans="1:12" ht="15.6" x14ac:dyDescent="0.35">
      <c r="A70" s="51"/>
      <c r="B70" s="144" t="s">
        <v>8</v>
      </c>
      <c r="C70" s="68"/>
      <c r="D70" s="68"/>
      <c r="E70" s="68"/>
      <c r="F70" s="69">
        <v>-53.8</v>
      </c>
      <c r="G70" s="69">
        <v>-62.5</v>
      </c>
      <c r="H70" s="70">
        <f>H354</f>
        <v>-52.622720000000001</v>
      </c>
      <c r="I70" s="70">
        <f t="shared" ref="I70:L70" si="41">I354</f>
        <v>-52.299333199999992</v>
      </c>
      <c r="J70" s="70">
        <f t="shared" si="41"/>
        <v>-52.063643192000001</v>
      </c>
      <c r="K70" s="70">
        <f t="shared" si="41"/>
        <v>-51.940323658519993</v>
      </c>
      <c r="L70" s="70">
        <f t="shared" si="41"/>
        <v>-51.940323658519993</v>
      </c>
    </row>
    <row r="71" spans="1:12" ht="15.6" x14ac:dyDescent="0.35">
      <c r="A71" s="51"/>
      <c r="B71" s="144" t="s">
        <v>77</v>
      </c>
      <c r="C71" s="68"/>
      <c r="D71" s="68"/>
      <c r="E71" s="68"/>
      <c r="F71" s="69">
        <v>-3.4</v>
      </c>
      <c r="G71" s="69">
        <v>-10.3</v>
      </c>
      <c r="H71" s="141">
        <f>G71</f>
        <v>-10.3</v>
      </c>
      <c r="I71" s="141">
        <f t="shared" ref="I71:L71" si="42">H71</f>
        <v>-10.3</v>
      </c>
      <c r="J71" s="141">
        <f t="shared" si="42"/>
        <v>-10.3</v>
      </c>
      <c r="K71" s="141">
        <f t="shared" si="42"/>
        <v>-10.3</v>
      </c>
      <c r="L71" s="141">
        <f t="shared" si="42"/>
        <v>-10.3</v>
      </c>
    </row>
    <row r="72" spans="1:12" ht="15.6" x14ac:dyDescent="0.35">
      <c r="A72" s="51"/>
      <c r="B72" s="147" t="s">
        <v>78</v>
      </c>
      <c r="C72" s="146"/>
      <c r="D72" s="147"/>
      <c r="E72" s="147"/>
      <c r="F72" s="148">
        <f>SUM(F68:F71)</f>
        <v>-310.2</v>
      </c>
      <c r="G72" s="148">
        <f t="shared" ref="G72:L72" si="43">SUM(G68:G71)</f>
        <v>-347.70000000000005</v>
      </c>
      <c r="H72" s="148">
        <f t="shared" si="43"/>
        <v>-352.87110952036545</v>
      </c>
      <c r="I72" s="148">
        <f t="shared" si="43"/>
        <v>-373.66447952173979</v>
      </c>
      <c r="J72" s="148">
        <f t="shared" si="43"/>
        <v>-393.2909827075577</v>
      </c>
      <c r="K72" s="148">
        <f t="shared" si="43"/>
        <v>-411.86290903475719</v>
      </c>
      <c r="L72" s="148">
        <f t="shared" si="43"/>
        <v>-429.32555674291007</v>
      </c>
    </row>
    <row r="73" spans="1:12" ht="15.6" x14ac:dyDescent="0.35">
      <c r="A73" s="51"/>
      <c r="B73" s="145" t="s">
        <v>19</v>
      </c>
      <c r="C73" s="145"/>
      <c r="D73" s="145"/>
      <c r="E73" s="145"/>
      <c r="F73" s="140">
        <v>0</v>
      </c>
      <c r="G73" s="140">
        <v>-25</v>
      </c>
      <c r="H73" s="320">
        <f>-H442</f>
        <v>0</v>
      </c>
      <c r="I73" s="320">
        <f t="shared" ref="I73:L73" si="44">-I442</f>
        <v>0</v>
      </c>
      <c r="J73" s="320">
        <f t="shared" si="44"/>
        <v>0</v>
      </c>
      <c r="K73" s="320">
        <f t="shared" si="44"/>
        <v>0</v>
      </c>
      <c r="L73" s="320">
        <f t="shared" si="44"/>
        <v>0</v>
      </c>
    </row>
    <row r="74" spans="1:12" ht="15.6" x14ac:dyDescent="0.35">
      <c r="A74" s="51"/>
      <c r="B74" s="68" t="s">
        <v>79</v>
      </c>
      <c r="C74" s="68"/>
      <c r="D74" s="68"/>
      <c r="E74" s="68"/>
      <c r="F74" s="141">
        <f>SUM(F73)</f>
        <v>0</v>
      </c>
      <c r="G74" s="141">
        <f t="shared" ref="G74:L74" si="45">SUM(G73)</f>
        <v>-25</v>
      </c>
      <c r="H74" s="141">
        <f t="shared" si="45"/>
        <v>0</v>
      </c>
      <c r="I74" s="141">
        <f t="shared" si="45"/>
        <v>0</v>
      </c>
      <c r="J74" s="141">
        <f t="shared" si="45"/>
        <v>0</v>
      </c>
      <c r="K74" s="141">
        <f t="shared" si="45"/>
        <v>0</v>
      </c>
      <c r="L74" s="141">
        <f t="shared" si="45"/>
        <v>0</v>
      </c>
    </row>
    <row r="75" spans="1:12" ht="15.6" x14ac:dyDescent="0.35">
      <c r="A75" s="51"/>
      <c r="B75" s="68" t="s">
        <v>234</v>
      </c>
      <c r="C75" s="68"/>
      <c r="D75" s="68"/>
      <c r="E75" s="68"/>
      <c r="F75" s="69">
        <v>-72.599999999999994</v>
      </c>
      <c r="G75" s="69">
        <v>-93.7</v>
      </c>
      <c r="H75" s="70">
        <f>H496</f>
        <v>-93.7</v>
      </c>
      <c r="I75" s="70">
        <f t="shared" ref="I75:L75" si="46">I496</f>
        <v>-93.7</v>
      </c>
      <c r="J75" s="70">
        <f t="shared" si="46"/>
        <v>-93.7</v>
      </c>
      <c r="K75" s="70">
        <f t="shared" si="46"/>
        <v>-93.7</v>
      </c>
      <c r="L75" s="70">
        <f t="shared" si="46"/>
        <v>-93.7</v>
      </c>
    </row>
    <row r="76" spans="1:12" ht="15.6" x14ac:dyDescent="0.35">
      <c r="A76" s="51"/>
      <c r="B76" s="68" t="s">
        <v>80</v>
      </c>
      <c r="C76" s="68"/>
      <c r="D76" s="68"/>
      <c r="E76" s="68"/>
      <c r="F76" s="69">
        <v>-2.9</v>
      </c>
      <c r="G76" s="69">
        <v>-3.4</v>
      </c>
      <c r="H76" s="70">
        <f>G76</f>
        <v>-3.4</v>
      </c>
      <c r="I76" s="70">
        <f t="shared" ref="I76:L76" si="47">H76</f>
        <v>-3.4</v>
      </c>
      <c r="J76" s="70">
        <f t="shared" si="47"/>
        <v>-3.4</v>
      </c>
      <c r="K76" s="70">
        <f t="shared" si="47"/>
        <v>-3.4</v>
      </c>
      <c r="L76" s="70">
        <f t="shared" si="47"/>
        <v>-3.4</v>
      </c>
    </row>
    <row r="77" spans="1:12" ht="15.6" x14ac:dyDescent="0.35">
      <c r="A77" s="51"/>
      <c r="B77" s="68" t="s">
        <v>8</v>
      </c>
      <c r="C77" s="68"/>
      <c r="D77" s="68"/>
      <c r="E77" s="68"/>
      <c r="F77" s="69">
        <v>-361.3</v>
      </c>
      <c r="G77" s="69">
        <v>-387.3</v>
      </c>
      <c r="H77" s="70">
        <f>H355</f>
        <v>-403.66528</v>
      </c>
      <c r="I77" s="70">
        <f t="shared" ref="I77:L77" si="48">I355</f>
        <v>-409.37844680000012</v>
      </c>
      <c r="J77" s="70">
        <f t="shared" si="48"/>
        <v>-413.54230360800011</v>
      </c>
      <c r="K77" s="70">
        <f t="shared" si="48"/>
        <v>-415.72094869948012</v>
      </c>
      <c r="L77" s="70">
        <f t="shared" si="48"/>
        <v>-415.43964066596016</v>
      </c>
    </row>
    <row r="78" spans="1:12" ht="15.6" x14ac:dyDescent="0.35">
      <c r="A78" s="51"/>
      <c r="B78" s="68" t="s">
        <v>81</v>
      </c>
      <c r="C78" s="68"/>
      <c r="D78" s="68"/>
      <c r="E78" s="68"/>
      <c r="F78" s="69">
        <v>-0.4</v>
      </c>
      <c r="G78" s="69">
        <v>-0.3</v>
      </c>
      <c r="H78" s="70">
        <f>G78</f>
        <v>-0.3</v>
      </c>
      <c r="I78" s="70">
        <f t="shared" ref="I78:L78" si="49">H78</f>
        <v>-0.3</v>
      </c>
      <c r="J78" s="70">
        <f t="shared" si="49"/>
        <v>-0.3</v>
      </c>
      <c r="K78" s="70">
        <f t="shared" si="49"/>
        <v>-0.3</v>
      </c>
      <c r="L78" s="70">
        <f t="shared" si="49"/>
        <v>-0.3</v>
      </c>
    </row>
    <row r="79" spans="1:12" ht="15.6" x14ac:dyDescent="0.35">
      <c r="A79" s="51"/>
      <c r="B79" s="68" t="s">
        <v>82</v>
      </c>
      <c r="C79" s="68"/>
      <c r="D79" s="68"/>
      <c r="E79" s="68"/>
      <c r="F79" s="69">
        <v>-1.8</v>
      </c>
      <c r="G79" s="69">
        <v>-1.4</v>
      </c>
      <c r="H79" s="70">
        <f>G79</f>
        <v>-1.4</v>
      </c>
      <c r="I79" s="70">
        <f t="shared" ref="I79:L79" si="50">H79</f>
        <v>-1.4</v>
      </c>
      <c r="J79" s="70">
        <f t="shared" si="50"/>
        <v>-1.4</v>
      </c>
      <c r="K79" s="70">
        <f t="shared" si="50"/>
        <v>-1.4</v>
      </c>
      <c r="L79" s="70">
        <f t="shared" si="50"/>
        <v>-1.4</v>
      </c>
    </row>
    <row r="80" spans="1:12" ht="15.6" x14ac:dyDescent="0.35">
      <c r="A80" s="51"/>
      <c r="B80" s="147" t="s">
        <v>83</v>
      </c>
      <c r="C80" s="147"/>
      <c r="D80" s="147"/>
      <c r="E80" s="147"/>
      <c r="F80" s="159">
        <f>SUM(F74:F79)+F72</f>
        <v>-749.2</v>
      </c>
      <c r="G80" s="159">
        <f t="shared" ref="G80:L80" si="51">SUM(G74:G79)+G72</f>
        <v>-858.80000000000007</v>
      </c>
      <c r="H80" s="159">
        <f t="shared" si="51"/>
        <v>-855.3363895203654</v>
      </c>
      <c r="I80" s="159">
        <f t="shared" si="51"/>
        <v>-881.84292632173992</v>
      </c>
      <c r="J80" s="159">
        <f t="shared" si="51"/>
        <v>-905.63328631555783</v>
      </c>
      <c r="K80" s="159">
        <f t="shared" si="51"/>
        <v>-926.38385773423727</v>
      </c>
      <c r="L80" s="159">
        <f t="shared" si="51"/>
        <v>-943.56519740887018</v>
      </c>
    </row>
    <row r="81" spans="1:12" ht="15.6" x14ac:dyDescent="0.35">
      <c r="A81" s="51"/>
      <c r="B81" s="68" t="s">
        <v>84</v>
      </c>
      <c r="C81" s="68"/>
      <c r="D81" s="68"/>
      <c r="E81" s="68"/>
      <c r="F81" s="69">
        <v>2</v>
      </c>
      <c r="G81" s="69">
        <v>2</v>
      </c>
      <c r="H81" s="70">
        <f>G81</f>
        <v>2</v>
      </c>
      <c r="I81" s="70">
        <f t="shared" ref="I81:L81" si="52">H81</f>
        <v>2</v>
      </c>
      <c r="J81" s="70">
        <f t="shared" si="52"/>
        <v>2</v>
      </c>
      <c r="K81" s="70">
        <f t="shared" si="52"/>
        <v>2</v>
      </c>
      <c r="L81" s="70">
        <f t="shared" si="52"/>
        <v>2</v>
      </c>
    </row>
    <row r="82" spans="1:12" ht="15.6" x14ac:dyDescent="0.35">
      <c r="A82" s="51"/>
      <c r="B82" s="68" t="s">
        <v>85</v>
      </c>
      <c r="C82" s="68"/>
      <c r="D82" s="68"/>
      <c r="E82" s="68"/>
      <c r="F82" s="69">
        <v>25.1</v>
      </c>
      <c r="G82" s="69">
        <v>25.1</v>
      </c>
      <c r="H82" s="70">
        <f t="shared" ref="H82:L82" si="53">G82</f>
        <v>25.1</v>
      </c>
      <c r="I82" s="70">
        <f t="shared" si="53"/>
        <v>25.1</v>
      </c>
      <c r="J82" s="70">
        <f t="shared" si="53"/>
        <v>25.1</v>
      </c>
      <c r="K82" s="70">
        <f t="shared" si="53"/>
        <v>25.1</v>
      </c>
      <c r="L82" s="70">
        <f t="shared" si="53"/>
        <v>25.1</v>
      </c>
    </row>
    <row r="83" spans="1:12" ht="15.6" x14ac:dyDescent="0.35">
      <c r="A83" s="51"/>
      <c r="B83" s="68" t="s">
        <v>86</v>
      </c>
      <c r="C83" s="68"/>
      <c r="D83" s="68"/>
      <c r="E83" s="68"/>
      <c r="F83" s="69">
        <v>0.4</v>
      </c>
      <c r="G83" s="69">
        <v>0.4</v>
      </c>
      <c r="H83" s="70">
        <f t="shared" ref="H83:L83" si="54">G83</f>
        <v>0.4</v>
      </c>
      <c r="I83" s="70">
        <f t="shared" si="54"/>
        <v>0.4</v>
      </c>
      <c r="J83" s="70">
        <f t="shared" si="54"/>
        <v>0.4</v>
      </c>
      <c r="K83" s="70">
        <f t="shared" si="54"/>
        <v>0.4</v>
      </c>
      <c r="L83" s="70">
        <f t="shared" si="54"/>
        <v>0.4</v>
      </c>
    </row>
    <row r="84" spans="1:12" ht="16.2" thickBot="1" x14ac:dyDescent="0.4">
      <c r="A84" s="51"/>
      <c r="B84" s="102" t="s">
        <v>87</v>
      </c>
      <c r="C84" s="102"/>
      <c r="D84" s="102"/>
      <c r="E84" s="102"/>
      <c r="F84" s="142">
        <v>543</v>
      </c>
      <c r="G84" s="142">
        <v>597.70000000000005</v>
      </c>
      <c r="H84" s="143">
        <f>H527</f>
        <v>702.07828972791867</v>
      </c>
      <c r="I84" s="143">
        <f t="shared" ref="I84:L84" si="55">I527</f>
        <v>813.7557855150352</v>
      </c>
      <c r="J84" s="143">
        <f t="shared" si="55"/>
        <v>936.90086632208909</v>
      </c>
      <c r="K84" s="143">
        <f t="shared" si="55"/>
        <v>1076.1547588914607</v>
      </c>
      <c r="L84" s="143">
        <f t="shared" si="55"/>
        <v>1237.6172058013528</v>
      </c>
    </row>
    <row r="85" spans="1:12" ht="15.6" x14ac:dyDescent="0.35">
      <c r="A85" s="51"/>
      <c r="B85" s="73" t="s">
        <v>88</v>
      </c>
      <c r="C85" s="73"/>
      <c r="D85" s="68"/>
      <c r="E85" s="68"/>
      <c r="F85" s="74">
        <f>SUM(F81:F84)-F80</f>
        <v>1319.7</v>
      </c>
      <c r="G85" s="74">
        <f t="shared" ref="G85:L85" si="56">SUM(G81:G84)-G80</f>
        <v>1484</v>
      </c>
      <c r="H85" s="74">
        <f>SUM(H81:H84)-H80</f>
        <v>1584.9146792482841</v>
      </c>
      <c r="I85" s="74">
        <f t="shared" si="56"/>
        <v>1723.0987118367752</v>
      </c>
      <c r="J85" s="74">
        <f t="shared" si="56"/>
        <v>1870.0341526376469</v>
      </c>
      <c r="K85" s="74">
        <f t="shared" si="56"/>
        <v>2030.0386166256981</v>
      </c>
      <c r="L85" s="74">
        <f t="shared" si="56"/>
        <v>2208.6824032102231</v>
      </c>
    </row>
    <row r="86" spans="1:12" ht="15.6" x14ac:dyDescent="0.35">
      <c r="A86" s="51"/>
      <c r="B86" s="68" t="s">
        <v>246</v>
      </c>
      <c r="C86" s="68"/>
      <c r="D86" s="68"/>
      <c r="E86" s="68"/>
      <c r="F86" s="70">
        <f>F64-F85</f>
        <v>0</v>
      </c>
      <c r="G86" s="70">
        <f t="shared" ref="G86:L86" si="57">G64-G85</f>
        <v>0</v>
      </c>
      <c r="H86" s="70">
        <f t="shared" si="57"/>
        <v>0</v>
      </c>
      <c r="I86" s="70">
        <f t="shared" si="57"/>
        <v>0</v>
      </c>
      <c r="J86" s="70">
        <f t="shared" si="57"/>
        <v>0</v>
      </c>
      <c r="K86" s="70">
        <f t="shared" si="57"/>
        <v>0</v>
      </c>
      <c r="L86" s="70">
        <f t="shared" si="57"/>
        <v>0</v>
      </c>
    </row>
    <row r="87" spans="1:12" ht="15.6" x14ac:dyDescent="0.35">
      <c r="A87" s="51"/>
      <c r="B87" s="68"/>
      <c r="C87" s="68"/>
      <c r="D87" s="68"/>
      <c r="E87" s="68"/>
      <c r="F87" s="70"/>
      <c r="G87" s="70"/>
      <c r="H87" s="70"/>
      <c r="I87" s="70"/>
      <c r="J87" s="70"/>
      <c r="K87" s="70"/>
      <c r="L87" s="70"/>
    </row>
    <row r="88" spans="1:12" ht="15.6" x14ac:dyDescent="0.35">
      <c r="A88" s="51"/>
      <c r="B88" s="105"/>
      <c r="C88" s="105"/>
      <c r="D88" s="51"/>
      <c r="E88" s="51"/>
      <c r="F88" s="51"/>
      <c r="G88" s="106"/>
      <c r="H88" s="106"/>
      <c r="I88" s="106"/>
      <c r="J88" s="106"/>
      <c r="K88" s="106"/>
      <c r="L88" s="106"/>
    </row>
    <row r="89" spans="1:12" ht="15.6" x14ac:dyDescent="0.35">
      <c r="A89" s="51"/>
      <c r="B89" s="51"/>
      <c r="C89" s="51"/>
      <c r="D89" s="51"/>
      <c r="E89" s="51"/>
      <c r="F89" s="51"/>
      <c r="G89" s="51"/>
      <c r="H89" s="107"/>
      <c r="I89" s="107"/>
      <c r="J89" s="107"/>
      <c r="K89" s="51"/>
      <c r="L89" s="51"/>
    </row>
    <row r="90" spans="1:12" ht="28.8" x14ac:dyDescent="0.65">
      <c r="A90" s="51"/>
      <c r="B90" s="52" t="str">
        <f>Cover!$B$2</f>
        <v>Greggs</v>
      </c>
      <c r="C90" s="52"/>
      <c r="D90" s="53"/>
      <c r="E90" s="54"/>
      <c r="F90" s="54"/>
      <c r="G90" s="54"/>
      <c r="H90" s="54"/>
      <c r="I90" s="54"/>
      <c r="J90" s="54"/>
      <c r="K90" s="54"/>
      <c r="L90" s="54"/>
    </row>
    <row r="91" spans="1:12" ht="21" x14ac:dyDescent="0.5">
      <c r="A91" s="51"/>
      <c r="B91" s="55" t="s">
        <v>47</v>
      </c>
      <c r="C91" s="56"/>
      <c r="D91" s="54"/>
      <c r="E91" s="54"/>
      <c r="F91" s="54"/>
      <c r="G91" s="54"/>
      <c r="H91" s="54"/>
      <c r="I91" s="54"/>
      <c r="J91" s="54"/>
      <c r="K91" s="54"/>
      <c r="L91" s="377" t="str">
        <f>"Currently Running: "&amp;CHOOSE(Assumptions!$B$10,Assumptions!$F$15,Assumptions!$F$16,Assumptions!$F$17)&amp;"Scenario"</f>
        <v>Currently Running: Base Scenario</v>
      </c>
    </row>
    <row r="92" spans="1:12" ht="15.6" x14ac:dyDescent="0.35">
      <c r="A92" s="51"/>
      <c r="B92" s="57"/>
      <c r="C92" s="57"/>
      <c r="D92" s="57"/>
      <c r="E92" s="57"/>
      <c r="F92" s="57"/>
      <c r="G92" s="57"/>
      <c r="H92" s="57"/>
      <c r="I92" s="57"/>
      <c r="J92" s="57"/>
      <c r="K92" s="58"/>
      <c r="L92" s="58"/>
    </row>
    <row r="93" spans="1:12" ht="15.6" x14ac:dyDescent="0.35">
      <c r="A93" s="51"/>
      <c r="B93" s="58"/>
      <c r="C93" s="58"/>
      <c r="D93" s="58"/>
      <c r="E93" s="58"/>
      <c r="F93" s="59" t="s">
        <v>63</v>
      </c>
      <c r="G93" s="59"/>
      <c r="H93" s="59"/>
      <c r="I93" s="59"/>
      <c r="J93" s="59"/>
      <c r="K93" s="59"/>
      <c r="L93" s="59"/>
    </row>
    <row r="94" spans="1:12" ht="15.6" x14ac:dyDescent="0.35">
      <c r="A94" s="51"/>
      <c r="B94" s="58"/>
      <c r="C94" s="58"/>
      <c r="D94" s="58"/>
      <c r="E94" s="58"/>
      <c r="F94" s="60">
        <v>2024</v>
      </c>
      <c r="G94" s="60">
        <v>2025</v>
      </c>
      <c r="H94" s="61">
        <f>G94+1</f>
        <v>2026</v>
      </c>
      <c r="I94" s="61">
        <f t="shared" ref="I94" si="58">H94+1</f>
        <v>2027</v>
      </c>
      <c r="J94" s="61">
        <f t="shared" ref="J94" si="59">I94+1</f>
        <v>2028</v>
      </c>
      <c r="K94" s="61">
        <f t="shared" ref="K94" si="60">J94+1</f>
        <v>2029</v>
      </c>
      <c r="L94" s="61">
        <f t="shared" ref="L94" si="61">K94+1</f>
        <v>2030</v>
      </c>
    </row>
    <row r="95" spans="1:12" ht="16.2" thickBot="1" x14ac:dyDescent="0.4">
      <c r="A95" s="51"/>
      <c r="B95" s="62" t="s">
        <v>62</v>
      </c>
      <c r="C95" s="62"/>
      <c r="D95" s="62"/>
      <c r="E95" s="62"/>
      <c r="F95" s="63" t="s">
        <v>64</v>
      </c>
      <c r="G95" s="63"/>
      <c r="H95" s="64"/>
      <c r="I95" s="64"/>
      <c r="J95" s="64"/>
      <c r="K95" s="64"/>
      <c r="L95" s="64" t="s">
        <v>46</v>
      </c>
    </row>
    <row r="96" spans="1:12" ht="15.6" x14ac:dyDescent="0.35">
      <c r="A96" s="51"/>
      <c r="B96" s="58"/>
      <c r="C96" s="58"/>
      <c r="D96" s="58"/>
      <c r="E96" s="58"/>
      <c r="F96" s="92"/>
      <c r="G96" s="92"/>
      <c r="H96" s="93"/>
      <c r="I96" s="93"/>
      <c r="J96" s="93"/>
      <c r="K96" s="93"/>
      <c r="L96" s="93"/>
    </row>
    <row r="97" spans="1:12" ht="15.6" x14ac:dyDescent="0.35">
      <c r="A97" s="51"/>
      <c r="B97" s="94" t="s">
        <v>96</v>
      </c>
      <c r="C97" s="95"/>
      <c r="D97" s="96"/>
      <c r="E97" s="96"/>
      <c r="F97" s="97"/>
      <c r="G97" s="97"/>
      <c r="H97" s="98"/>
      <c r="I97" s="98"/>
      <c r="J97" s="98"/>
      <c r="K97" s="98"/>
      <c r="L97" s="99"/>
    </row>
    <row r="98" spans="1:12" ht="15.6" x14ac:dyDescent="0.35">
      <c r="A98" s="51"/>
      <c r="B98" s="68"/>
      <c r="C98" s="68"/>
      <c r="D98" s="68"/>
      <c r="E98" s="68"/>
      <c r="F98" s="108"/>
      <c r="G98" s="108"/>
      <c r="H98" s="109"/>
      <c r="I98" s="109"/>
      <c r="J98" s="109"/>
      <c r="K98" s="109"/>
      <c r="L98" s="109"/>
    </row>
    <row r="99" spans="1:12" ht="15.6" x14ac:dyDescent="0.35">
      <c r="A99" s="51"/>
      <c r="B99" s="68" t="s">
        <v>50</v>
      </c>
      <c r="C99" s="68"/>
      <c r="D99" s="68"/>
      <c r="E99" s="68"/>
      <c r="F99" s="108"/>
      <c r="G99" s="108"/>
      <c r="H99" s="254">
        <f t="shared" ref="H99:L99" si="62">H35</f>
        <v>160.58198419679786</v>
      </c>
      <c r="I99" s="254">
        <f t="shared" si="62"/>
        <v>171.81153198017938</v>
      </c>
      <c r="J99" s="254">
        <f t="shared" si="62"/>
        <v>189.45397047239064</v>
      </c>
      <c r="K99" s="254">
        <f t="shared" si="62"/>
        <v>214.2367577990334</v>
      </c>
      <c r="L99" s="254">
        <f t="shared" si="62"/>
        <v>248.40376447675726</v>
      </c>
    </row>
    <row r="100" spans="1:12" ht="15.6" x14ac:dyDescent="0.35">
      <c r="A100" s="51"/>
      <c r="B100" s="149" t="s">
        <v>44</v>
      </c>
      <c r="C100" s="147"/>
      <c r="D100" s="147"/>
      <c r="E100" s="147"/>
      <c r="F100" s="150"/>
      <c r="G100" s="150"/>
      <c r="H100" s="101">
        <f>H385</f>
        <v>92.492661317489549</v>
      </c>
      <c r="I100" s="101">
        <f t="shared" ref="I100:L100" si="63">I385</f>
        <v>110.48125628597786</v>
      </c>
      <c r="J100" s="101">
        <f t="shared" si="63"/>
        <v>127.15009671239966</v>
      </c>
      <c r="K100" s="101">
        <f t="shared" si="63"/>
        <v>142.87304610777966</v>
      </c>
      <c r="L100" s="101">
        <f t="shared" si="63"/>
        <v>158.86276313887726</v>
      </c>
    </row>
    <row r="101" spans="1:12" ht="15.6" x14ac:dyDescent="0.35">
      <c r="A101" s="51"/>
      <c r="B101" s="144" t="s">
        <v>20</v>
      </c>
      <c r="C101" s="68"/>
      <c r="D101" s="68"/>
      <c r="E101" s="68"/>
      <c r="F101" s="108"/>
      <c r="G101" s="108"/>
      <c r="H101" s="101">
        <f>H331/1000000</f>
        <v>44.274999999999999</v>
      </c>
      <c r="I101" s="101">
        <f t="shared" ref="I101:L101" si="64">I331/1000000</f>
        <v>50.150624999999998</v>
      </c>
      <c r="J101" s="101">
        <f t="shared" si="64"/>
        <v>55.862625000000001</v>
      </c>
      <c r="K101" s="101">
        <f t="shared" si="64"/>
        <v>61.379948437499998</v>
      </c>
      <c r="L101" s="101">
        <f t="shared" si="64"/>
        <v>66.668847656249994</v>
      </c>
    </row>
    <row r="102" spans="1:12" ht="15.6" x14ac:dyDescent="0.35">
      <c r="A102" s="51"/>
      <c r="B102" s="144" t="s">
        <v>173</v>
      </c>
      <c r="C102" s="68"/>
      <c r="D102" s="68"/>
      <c r="E102" s="68"/>
      <c r="F102" s="108"/>
      <c r="G102" s="108"/>
      <c r="H102" s="101">
        <f>H407</f>
        <v>10.34049899702929</v>
      </c>
      <c r="I102" s="101">
        <f t="shared" ref="I102:L102" si="65">I407</f>
        <v>13.946555204986884</v>
      </c>
      <c r="J102" s="101">
        <f t="shared" si="65"/>
        <v>17.80283910977095</v>
      </c>
      <c r="K102" s="101">
        <f t="shared" si="65"/>
        <v>21.909941063614973</v>
      </c>
      <c r="L102" s="101">
        <f t="shared" si="65"/>
        <v>26.270772981187044</v>
      </c>
    </row>
    <row r="103" spans="1:12" ht="15.6" x14ac:dyDescent="0.35">
      <c r="A103" s="51"/>
      <c r="B103" s="348" t="s">
        <v>90</v>
      </c>
      <c r="C103" s="147"/>
      <c r="D103" s="147"/>
      <c r="E103" s="147"/>
      <c r="F103" s="150"/>
      <c r="G103" s="150"/>
      <c r="H103" s="349">
        <f>SUM(H100:H102)</f>
        <v>147.10816031451884</v>
      </c>
      <c r="I103" s="349">
        <f t="shared" ref="I103:L103" si="66">SUM(I100:I102)</f>
        <v>174.57843649096475</v>
      </c>
      <c r="J103" s="349">
        <f t="shared" si="66"/>
        <v>200.81556082217062</v>
      </c>
      <c r="K103" s="349">
        <f t="shared" si="66"/>
        <v>226.16293560889463</v>
      </c>
      <c r="L103" s="349">
        <f t="shared" si="66"/>
        <v>251.80238377631429</v>
      </c>
    </row>
    <row r="104" spans="1:12" ht="15.6" x14ac:dyDescent="0.35">
      <c r="A104" s="51"/>
      <c r="B104" s="149" t="s">
        <v>91</v>
      </c>
      <c r="C104" s="147"/>
      <c r="D104" s="147"/>
      <c r="E104" s="147"/>
      <c r="F104" s="150"/>
      <c r="G104" s="150"/>
      <c r="H104" s="101">
        <f>H286</f>
        <v>6.5086943499716483</v>
      </c>
      <c r="I104" s="101">
        <f t="shared" ref="I104:L104" si="67">I286</f>
        <v>11.425812941073133</v>
      </c>
      <c r="J104" s="101">
        <f t="shared" si="67"/>
        <v>10.422618523257029</v>
      </c>
      <c r="K104" s="101">
        <f t="shared" si="67"/>
        <v>9.4733295511957749</v>
      </c>
      <c r="L104" s="101">
        <f t="shared" si="67"/>
        <v>8.3877542751645819</v>
      </c>
    </row>
    <row r="105" spans="1:12" ht="15.6" x14ac:dyDescent="0.35">
      <c r="A105" s="51"/>
      <c r="B105" s="144" t="s">
        <v>92</v>
      </c>
      <c r="C105" s="68"/>
      <c r="D105" s="68"/>
      <c r="E105" s="68"/>
      <c r="F105" s="108"/>
      <c r="G105" s="108"/>
      <c r="H105" s="101">
        <f>H495</f>
        <v>0</v>
      </c>
      <c r="I105" s="101">
        <f t="shared" ref="I105:L105" si="68">I495</f>
        <v>0</v>
      </c>
      <c r="J105" s="101">
        <f t="shared" si="68"/>
        <v>0</v>
      </c>
      <c r="K105" s="101">
        <f t="shared" si="68"/>
        <v>0</v>
      </c>
      <c r="L105" s="101">
        <f t="shared" si="68"/>
        <v>0</v>
      </c>
    </row>
    <row r="106" spans="1:12" ht="15.6" x14ac:dyDescent="0.35">
      <c r="A106" s="51"/>
      <c r="B106" s="144" t="s">
        <v>93</v>
      </c>
      <c r="C106" s="68"/>
      <c r="D106" s="68"/>
      <c r="E106" s="68"/>
      <c r="F106" s="108"/>
      <c r="G106" s="108"/>
      <c r="H106" s="101">
        <f>(G63-H63)</f>
        <v>0</v>
      </c>
      <c r="I106" s="101">
        <f t="shared" ref="I106:L106" si="69">(H63-I63)</f>
        <v>0</v>
      </c>
      <c r="J106" s="101">
        <f t="shared" si="69"/>
        <v>0</v>
      </c>
      <c r="K106" s="101">
        <f t="shared" si="69"/>
        <v>0</v>
      </c>
      <c r="L106" s="101">
        <f t="shared" si="69"/>
        <v>0</v>
      </c>
    </row>
    <row r="107" spans="1:12" ht="15.6" x14ac:dyDescent="0.35">
      <c r="A107" s="51"/>
      <c r="B107" s="144" t="s">
        <v>94</v>
      </c>
      <c r="C107" s="68"/>
      <c r="D107" s="68"/>
      <c r="E107" s="68"/>
      <c r="F107" s="108"/>
      <c r="G107" s="108"/>
      <c r="H107" s="254">
        <f>(G78-H78)+(G79-H79)+(G76-H76)+(G69-H69)+(G71-H71)</f>
        <v>0</v>
      </c>
      <c r="I107" s="254">
        <f t="shared" ref="I107:L107" si="70">(H78-I78)+(H79-I79)+(H76-I76)+(H69-I69)+(H71-I71)</f>
        <v>0</v>
      </c>
      <c r="J107" s="254">
        <f t="shared" si="70"/>
        <v>0</v>
      </c>
      <c r="K107" s="254">
        <f t="shared" si="70"/>
        <v>0</v>
      </c>
      <c r="L107" s="254">
        <f t="shared" si="70"/>
        <v>0</v>
      </c>
    </row>
    <row r="108" spans="1:12" ht="16.2" thickBot="1" x14ac:dyDescent="0.4">
      <c r="A108" s="51"/>
      <c r="B108" s="313" t="s">
        <v>95</v>
      </c>
      <c r="C108" s="313"/>
      <c r="D108" s="313"/>
      <c r="E108" s="313"/>
      <c r="F108" s="347"/>
      <c r="G108" s="347"/>
      <c r="H108" s="278">
        <f>SUM(H104:H107)</f>
        <v>6.5086943499716483</v>
      </c>
      <c r="I108" s="278">
        <f t="shared" ref="I108:L108" si="71">SUM(I104:I107)</f>
        <v>11.425812941073133</v>
      </c>
      <c r="J108" s="278">
        <f t="shared" si="71"/>
        <v>10.422618523257029</v>
      </c>
      <c r="K108" s="278">
        <f t="shared" si="71"/>
        <v>9.4733295511957749</v>
      </c>
      <c r="L108" s="278">
        <f t="shared" si="71"/>
        <v>8.3877542751645819</v>
      </c>
    </row>
    <row r="109" spans="1:12" ht="15.6" x14ac:dyDescent="0.35">
      <c r="A109" s="51"/>
      <c r="B109" s="73" t="s">
        <v>245</v>
      </c>
      <c r="C109" s="73"/>
      <c r="D109" s="73"/>
      <c r="E109" s="73"/>
      <c r="F109" s="108"/>
      <c r="G109" s="108"/>
      <c r="H109" s="74">
        <f>SUM(H99:H102)+SUM(H104:H107)</f>
        <v>314.19883886128832</v>
      </c>
      <c r="I109" s="74">
        <f>SUM(I99:I102)+SUM(I104:I107)</f>
        <v>357.81578141221723</v>
      </c>
      <c r="J109" s="74">
        <f>SUM(J99:J102)+SUM(J104:J107)</f>
        <v>400.69214981781829</v>
      </c>
      <c r="K109" s="74">
        <f>SUM(K99:K102)+SUM(K104:K107)</f>
        <v>449.87302295912377</v>
      </c>
      <c r="L109" s="74">
        <f>SUM(L99:L102)+SUM(L104:L107)</f>
        <v>508.59390252823613</v>
      </c>
    </row>
    <row r="110" spans="1:12" ht="15.6" x14ac:dyDescent="0.35">
      <c r="A110" s="51"/>
      <c r="B110" s="68"/>
      <c r="C110" s="68"/>
      <c r="D110" s="68"/>
      <c r="E110" s="68"/>
      <c r="F110" s="108"/>
      <c r="G110" s="108"/>
      <c r="H110" s="109"/>
      <c r="I110" s="109"/>
      <c r="J110" s="109"/>
      <c r="K110" s="109"/>
      <c r="L110" s="109"/>
    </row>
    <row r="111" spans="1:12" ht="15.6" x14ac:dyDescent="0.35">
      <c r="A111" s="51"/>
      <c r="B111" s="94" t="s">
        <v>97</v>
      </c>
      <c r="C111" s="95"/>
      <c r="D111" s="96"/>
      <c r="E111" s="96"/>
      <c r="F111" s="97"/>
      <c r="G111" s="97"/>
      <c r="H111" s="98"/>
      <c r="I111" s="98"/>
      <c r="J111" s="98"/>
      <c r="K111" s="98"/>
      <c r="L111" s="99"/>
    </row>
    <row r="112" spans="1:12" ht="15.6" x14ac:dyDescent="0.35">
      <c r="A112" s="51"/>
      <c r="B112" s="68"/>
      <c r="C112" s="68"/>
      <c r="D112" s="68"/>
      <c r="E112" s="68"/>
      <c r="F112" s="108"/>
      <c r="G112" s="108"/>
      <c r="H112" s="109"/>
      <c r="I112" s="109"/>
      <c r="J112" s="109"/>
      <c r="K112" s="109"/>
      <c r="L112" s="109"/>
    </row>
    <row r="113" spans="1:12" ht="15.6" x14ac:dyDescent="0.35">
      <c r="A113" s="51"/>
      <c r="B113" s="68" t="s">
        <v>35</v>
      </c>
      <c r="C113" s="68"/>
      <c r="D113" s="68"/>
      <c r="E113" s="68"/>
      <c r="F113" s="108"/>
      <c r="G113" s="108"/>
      <c r="H113" s="101">
        <f>-H367</f>
        <v>-185.65322634979094</v>
      </c>
      <c r="I113" s="101">
        <f t="shared" ref="I113:L113" si="72">-I367</f>
        <v>-174.11867301997518</v>
      </c>
      <c r="J113" s="101">
        <f t="shared" si="72"/>
        <v>-159.25813550846061</v>
      </c>
      <c r="K113" s="101">
        <f t="shared" si="72"/>
        <v>-155.20085239913971</v>
      </c>
      <c r="L113" s="101">
        <f t="shared" si="72"/>
        <v>-164.5934882228122</v>
      </c>
    </row>
    <row r="114" spans="1:12" ht="16.2" thickBot="1" x14ac:dyDescent="0.4">
      <c r="A114" s="51"/>
      <c r="B114" s="75" t="s">
        <v>36</v>
      </c>
      <c r="C114" s="75"/>
      <c r="D114" s="75"/>
      <c r="E114" s="75"/>
      <c r="F114" s="350"/>
      <c r="G114" s="350"/>
      <c r="H114" s="278">
        <f>-H370</f>
        <v>-17.404989970292899</v>
      </c>
      <c r="I114" s="278">
        <f t="shared" ref="I114:L114" si="73">-I370</f>
        <v>-18.655572109283053</v>
      </c>
      <c r="J114" s="278">
        <f t="shared" si="73"/>
        <v>-19.907266938557576</v>
      </c>
      <c r="K114" s="278">
        <f t="shared" si="73"/>
        <v>-21.163752599882685</v>
      </c>
      <c r="L114" s="278">
        <f t="shared" si="73"/>
        <v>-22.444566575838024</v>
      </c>
    </row>
    <row r="115" spans="1:12" ht="15.6" x14ac:dyDescent="0.35">
      <c r="A115" s="51"/>
      <c r="B115" s="73" t="s">
        <v>37</v>
      </c>
      <c r="C115" s="73"/>
      <c r="D115" s="73"/>
      <c r="E115" s="73"/>
      <c r="F115" s="108"/>
      <c r="G115" s="108"/>
      <c r="H115" s="74">
        <f>SUM(H113:H114)</f>
        <v>-203.05821632008383</v>
      </c>
      <c r="I115" s="74">
        <f t="shared" ref="I115:L115" si="74">SUM(I113:I114)</f>
        <v>-192.77424512925822</v>
      </c>
      <c r="J115" s="74">
        <f t="shared" si="74"/>
        <v>-179.16540244701818</v>
      </c>
      <c r="K115" s="74">
        <f t="shared" si="74"/>
        <v>-176.36460499902239</v>
      </c>
      <c r="L115" s="74">
        <f t="shared" si="74"/>
        <v>-187.03805479865022</v>
      </c>
    </row>
    <row r="116" spans="1:12" ht="15.6" x14ac:dyDescent="0.35">
      <c r="A116" s="51"/>
      <c r="B116" s="68"/>
      <c r="C116" s="68"/>
      <c r="D116" s="68"/>
      <c r="E116" s="68"/>
      <c r="F116" s="108"/>
      <c r="G116" s="108"/>
      <c r="H116" s="110"/>
      <c r="I116" s="110"/>
      <c r="J116" s="110"/>
      <c r="K116" s="110"/>
      <c r="L116" s="110"/>
    </row>
    <row r="117" spans="1:12" ht="15.6" x14ac:dyDescent="0.35">
      <c r="A117" s="51"/>
      <c r="B117" s="94" t="s">
        <v>100</v>
      </c>
      <c r="C117" s="95"/>
      <c r="D117" s="96"/>
      <c r="E117" s="96"/>
      <c r="F117" s="97"/>
      <c r="G117" s="97"/>
      <c r="H117" s="98"/>
      <c r="I117" s="98"/>
      <c r="J117" s="98"/>
      <c r="K117" s="98"/>
      <c r="L117" s="99"/>
    </row>
    <row r="118" spans="1:12" ht="15.6" x14ac:dyDescent="0.35">
      <c r="A118" s="51"/>
      <c r="B118" s="68"/>
      <c r="C118" s="68"/>
      <c r="D118" s="68"/>
      <c r="E118" s="68"/>
      <c r="F118" s="108"/>
      <c r="G118" s="108"/>
      <c r="H118" s="110"/>
      <c r="I118" s="110"/>
      <c r="J118" s="110"/>
      <c r="K118" s="110"/>
      <c r="L118" s="110"/>
    </row>
    <row r="119" spans="1:12" ht="15.6" x14ac:dyDescent="0.35">
      <c r="A119" s="51"/>
      <c r="B119" s="68" t="s">
        <v>98</v>
      </c>
      <c r="C119" s="68"/>
      <c r="D119" s="68"/>
      <c r="E119" s="68"/>
      <c r="F119" s="108"/>
      <c r="G119" s="108"/>
      <c r="H119" s="101">
        <f>H440</f>
        <v>0</v>
      </c>
      <c r="I119" s="101">
        <f t="shared" ref="I119:L119" si="75">I440</f>
        <v>0</v>
      </c>
      <c r="J119" s="101">
        <f t="shared" si="75"/>
        <v>0</v>
      </c>
      <c r="K119" s="101">
        <f t="shared" si="75"/>
        <v>0</v>
      </c>
      <c r="L119" s="101">
        <f t="shared" si="75"/>
        <v>0</v>
      </c>
    </row>
    <row r="120" spans="1:12" ht="15.6" x14ac:dyDescent="0.35">
      <c r="A120" s="51"/>
      <c r="B120" s="68" t="s">
        <v>99</v>
      </c>
      <c r="C120" s="68"/>
      <c r="D120" s="68"/>
      <c r="E120" s="68"/>
      <c r="F120" s="108"/>
      <c r="G120" s="108"/>
      <c r="H120" s="101">
        <f t="shared" ref="H120:L120" si="76">H441</f>
        <v>-25</v>
      </c>
      <c r="I120" s="101">
        <f t="shared" si="76"/>
        <v>0</v>
      </c>
      <c r="J120" s="101">
        <f t="shared" si="76"/>
        <v>0</v>
      </c>
      <c r="K120" s="101">
        <f t="shared" si="76"/>
        <v>0</v>
      </c>
      <c r="L120" s="101">
        <f t="shared" si="76"/>
        <v>0</v>
      </c>
    </row>
    <row r="121" spans="1:12" ht="15.6" x14ac:dyDescent="0.35">
      <c r="A121" s="51"/>
      <c r="B121" s="68" t="s">
        <v>38</v>
      </c>
      <c r="C121" s="68"/>
      <c r="D121" s="68"/>
      <c r="E121" s="68"/>
      <c r="F121" s="108"/>
      <c r="G121" s="108"/>
      <c r="H121" s="101">
        <f>-H351-H350</f>
        <v>-53.012</v>
      </c>
      <c r="I121" s="101">
        <f t="shared" ref="I121:L121" si="77">-I351-I350</f>
        <v>-52.622720000000001</v>
      </c>
      <c r="J121" s="101">
        <f t="shared" si="77"/>
        <v>-52.299333199999992</v>
      </c>
      <c r="K121" s="101">
        <f t="shared" si="77"/>
        <v>-52.063643192000001</v>
      </c>
      <c r="L121" s="101">
        <f t="shared" si="77"/>
        <v>-51.940323658519993</v>
      </c>
    </row>
    <row r="122" spans="1:12" ht="15.6" x14ac:dyDescent="0.35">
      <c r="A122" s="51"/>
      <c r="B122" s="68" t="s">
        <v>39</v>
      </c>
      <c r="C122" s="68"/>
      <c r="D122" s="68"/>
      <c r="E122" s="68"/>
      <c r="F122" s="108"/>
      <c r="G122" s="108"/>
      <c r="H122" s="101">
        <f>-H518</f>
        <v>-56.203694468879249</v>
      </c>
      <c r="I122" s="101">
        <f t="shared" ref="I122:L122" si="78">-I518</f>
        <v>-60.134036193062776</v>
      </c>
      <c r="J122" s="101">
        <f t="shared" si="78"/>
        <v>-66.308889665336721</v>
      </c>
      <c r="K122" s="101">
        <f t="shared" si="78"/>
        <v>-74.982865229661684</v>
      </c>
      <c r="L122" s="101">
        <f t="shared" si="78"/>
        <v>-86.941317566865038</v>
      </c>
    </row>
    <row r="123" spans="1:12" ht="15.6" x14ac:dyDescent="0.35">
      <c r="A123" s="51"/>
      <c r="B123" s="68" t="s">
        <v>45</v>
      </c>
      <c r="C123" s="68"/>
      <c r="D123" s="68"/>
      <c r="E123" s="68"/>
      <c r="F123" s="108"/>
      <c r="G123" s="108"/>
      <c r="H123" s="101"/>
      <c r="I123" s="101"/>
      <c r="J123" s="101"/>
      <c r="K123" s="101"/>
      <c r="L123" s="101"/>
    </row>
    <row r="124" spans="1:12" ht="16.2" thickBot="1" x14ac:dyDescent="0.4">
      <c r="A124" s="51"/>
      <c r="B124" s="75" t="s">
        <v>53</v>
      </c>
      <c r="C124" s="75"/>
      <c r="D124" s="75"/>
      <c r="E124" s="75"/>
      <c r="F124" s="350"/>
      <c r="G124" s="350"/>
      <c r="H124" s="278"/>
      <c r="I124" s="278"/>
      <c r="J124" s="278"/>
      <c r="K124" s="278"/>
      <c r="L124" s="278"/>
    </row>
    <row r="125" spans="1:12" ht="15.6" x14ac:dyDescent="0.35">
      <c r="A125" s="51"/>
      <c r="B125" s="73" t="s">
        <v>40</v>
      </c>
      <c r="C125" s="73"/>
      <c r="D125" s="73"/>
      <c r="E125" s="73"/>
      <c r="F125" s="108"/>
      <c r="G125" s="108"/>
      <c r="H125" s="74">
        <f>SUM(H119:H124)</f>
        <v>-134.21569446887924</v>
      </c>
      <c r="I125" s="74">
        <f t="shared" ref="I125:L125" si="79">SUM(I119:I124)</f>
        <v>-112.75675619306278</v>
      </c>
      <c r="J125" s="74">
        <f t="shared" si="79"/>
        <v>-118.60822286533671</v>
      </c>
      <c r="K125" s="74">
        <f t="shared" si="79"/>
        <v>-127.04650842166168</v>
      </c>
      <c r="L125" s="74">
        <f t="shared" si="79"/>
        <v>-138.88164122538504</v>
      </c>
    </row>
    <row r="126" spans="1:12" ht="15.6" x14ac:dyDescent="0.35">
      <c r="A126" s="51"/>
      <c r="B126" s="68"/>
      <c r="C126" s="68"/>
      <c r="D126" s="68"/>
      <c r="E126" s="68"/>
      <c r="F126" s="108"/>
      <c r="G126" s="108"/>
      <c r="H126" s="109"/>
      <c r="I126" s="109"/>
      <c r="J126" s="109"/>
      <c r="K126" s="109"/>
      <c r="L126" s="109"/>
    </row>
    <row r="127" spans="1:12" ht="15.6" x14ac:dyDescent="0.35">
      <c r="A127" s="51"/>
      <c r="B127" s="80" t="s">
        <v>41</v>
      </c>
      <c r="C127" s="80"/>
      <c r="D127" s="80"/>
      <c r="E127" s="80"/>
      <c r="F127" s="351"/>
      <c r="G127" s="351"/>
      <c r="H127" s="82">
        <f>G56</f>
        <v>70.8</v>
      </c>
      <c r="I127" s="82">
        <f>H129</f>
        <v>47.724928072325255</v>
      </c>
      <c r="J127" s="82">
        <f t="shared" ref="J127:L127" si="80">I129</f>
        <v>100.00970816222149</v>
      </c>
      <c r="K127" s="82">
        <f t="shared" si="80"/>
        <v>202.92823266768488</v>
      </c>
      <c r="L127" s="82">
        <f t="shared" si="80"/>
        <v>349.39014220612455</v>
      </c>
    </row>
    <row r="128" spans="1:12" ht="15.6" x14ac:dyDescent="0.35">
      <c r="A128" s="51"/>
      <c r="B128" s="68" t="s">
        <v>42</v>
      </c>
      <c r="C128" s="68"/>
      <c r="D128" s="68"/>
      <c r="E128" s="68"/>
      <c r="F128" s="108"/>
      <c r="G128" s="108"/>
      <c r="H128" s="284">
        <f>H109+H115+H125</f>
        <v>-23.075071927674742</v>
      </c>
      <c r="I128" s="284">
        <f t="shared" ref="I128:L128" si="81">I109+I115+I125</f>
        <v>52.28478008989623</v>
      </c>
      <c r="J128" s="284">
        <f t="shared" si="81"/>
        <v>102.9185245054634</v>
      </c>
      <c r="K128" s="284">
        <f t="shared" si="81"/>
        <v>146.4619095384397</v>
      </c>
      <c r="L128" s="284">
        <f t="shared" si="81"/>
        <v>182.6742065042009</v>
      </c>
    </row>
    <row r="129" spans="1:12" ht="15.6" x14ac:dyDescent="0.35">
      <c r="A129" s="51"/>
      <c r="B129" s="194" t="s">
        <v>43</v>
      </c>
      <c r="C129" s="194"/>
      <c r="D129" s="194"/>
      <c r="E129" s="194"/>
      <c r="F129" s="316"/>
      <c r="G129" s="316"/>
      <c r="H129" s="284">
        <f>SUM(H127:H128)</f>
        <v>47.724928072325255</v>
      </c>
      <c r="I129" s="284">
        <f t="shared" ref="I129:L129" si="82">SUM(I127:I128)</f>
        <v>100.00970816222149</v>
      </c>
      <c r="J129" s="284">
        <f t="shared" si="82"/>
        <v>202.92823266768488</v>
      </c>
      <c r="K129" s="284">
        <f t="shared" si="82"/>
        <v>349.39014220612455</v>
      </c>
      <c r="L129" s="284">
        <f t="shared" si="82"/>
        <v>532.06434871032548</v>
      </c>
    </row>
    <row r="130" spans="1:12" ht="15.6" x14ac:dyDescent="0.35">
      <c r="A130" s="51"/>
      <c r="B130" s="51"/>
      <c r="C130" s="51"/>
      <c r="D130" s="51"/>
      <c r="E130" s="51"/>
      <c r="F130" s="112"/>
      <c r="G130" s="112"/>
      <c r="H130" s="113"/>
      <c r="I130" s="113"/>
      <c r="J130" s="113"/>
      <c r="K130" s="113"/>
      <c r="L130" s="113"/>
    </row>
    <row r="131" spans="1:12" ht="15.6" x14ac:dyDescent="0.35">
      <c r="A131" s="51"/>
      <c r="B131" s="51"/>
      <c r="C131" s="51"/>
      <c r="D131" s="51"/>
      <c r="E131" s="51"/>
      <c r="F131" s="112"/>
      <c r="G131" s="112"/>
      <c r="H131" s="113"/>
      <c r="I131" s="113"/>
      <c r="J131" s="113"/>
      <c r="K131" s="113"/>
      <c r="L131" s="113"/>
    </row>
    <row r="132" spans="1:12" ht="15.6" x14ac:dyDescent="0.35">
      <c r="A132" s="51"/>
      <c r="B132" s="51"/>
      <c r="C132" s="51"/>
      <c r="D132" s="51"/>
      <c r="E132" s="51"/>
      <c r="F132" s="112"/>
      <c r="G132" s="112"/>
      <c r="H132" s="113"/>
      <c r="I132" s="113"/>
      <c r="J132" s="113"/>
      <c r="K132" s="113"/>
      <c r="L132" s="113"/>
    </row>
    <row r="133" spans="1:12" ht="15.6" x14ac:dyDescent="0.35">
      <c r="A133" s="51"/>
      <c r="B133" s="51"/>
      <c r="C133" s="51"/>
      <c r="D133" s="51"/>
      <c r="E133" s="51"/>
      <c r="F133" s="112"/>
      <c r="G133" s="112"/>
      <c r="H133" s="113"/>
      <c r="I133" s="113"/>
      <c r="J133" s="113"/>
      <c r="K133" s="113"/>
      <c r="L133" s="113"/>
    </row>
    <row r="134" spans="1:12" ht="28.8" x14ac:dyDescent="0.65">
      <c r="A134" s="51"/>
      <c r="B134" s="52" t="str">
        <f>Cover!$B$2</f>
        <v>Greggs</v>
      </c>
      <c r="C134" s="52"/>
      <c r="D134" s="53"/>
      <c r="E134" s="54"/>
      <c r="F134" s="54"/>
      <c r="G134" s="54"/>
      <c r="H134" s="54"/>
      <c r="I134" s="54"/>
      <c r="J134" s="54"/>
      <c r="K134" s="54"/>
      <c r="L134" s="54"/>
    </row>
    <row r="135" spans="1:12" ht="21" x14ac:dyDescent="0.5">
      <c r="A135" s="51"/>
      <c r="B135" s="55" t="s">
        <v>9</v>
      </c>
      <c r="C135" s="56"/>
      <c r="D135" s="54"/>
      <c r="E135" s="54"/>
      <c r="F135" s="54"/>
      <c r="G135" s="54"/>
      <c r="H135" s="54"/>
      <c r="I135" s="54"/>
      <c r="J135" s="54"/>
      <c r="K135" s="54"/>
      <c r="L135" s="377" t="str">
        <f>"Currently Running: "&amp;CHOOSE(Assumptions!$B$10,Assumptions!$F$15,Assumptions!$F$16,Assumptions!$F$17)&amp;"Scenario"</f>
        <v>Currently Running: Base Scenario</v>
      </c>
    </row>
    <row r="136" spans="1:12" ht="15.6" x14ac:dyDescent="0.35">
      <c r="A136" s="51"/>
      <c r="B136" s="57"/>
      <c r="C136" s="57"/>
      <c r="D136" s="57"/>
      <c r="E136" s="57"/>
      <c r="F136" s="57"/>
      <c r="G136" s="57"/>
      <c r="H136" s="57"/>
      <c r="I136" s="57"/>
      <c r="J136" s="57"/>
      <c r="K136" s="58"/>
      <c r="L136" s="58"/>
    </row>
    <row r="137" spans="1:12" ht="15.6" x14ac:dyDescent="0.35">
      <c r="A137" s="51"/>
      <c r="B137" s="58"/>
      <c r="C137" s="58"/>
      <c r="D137" s="58"/>
      <c r="E137" s="58"/>
      <c r="F137" s="59" t="s">
        <v>63</v>
      </c>
      <c r="G137" s="59"/>
      <c r="H137" s="59"/>
      <c r="I137" s="59"/>
      <c r="J137" s="59"/>
      <c r="K137" s="59"/>
      <c r="L137" s="59"/>
    </row>
    <row r="138" spans="1:12" ht="15.6" x14ac:dyDescent="0.35">
      <c r="A138" s="51"/>
      <c r="B138" s="58"/>
      <c r="C138" s="58"/>
      <c r="D138" s="58"/>
      <c r="E138" s="58"/>
      <c r="F138" s="60">
        <v>2024</v>
      </c>
      <c r="G138" s="60">
        <v>2025</v>
      </c>
      <c r="H138" s="61">
        <f>G138+1</f>
        <v>2026</v>
      </c>
      <c r="I138" s="61">
        <f t="shared" ref="I138" si="83">H138+1</f>
        <v>2027</v>
      </c>
      <c r="J138" s="61">
        <f t="shared" ref="J138" si="84">I138+1</f>
        <v>2028</v>
      </c>
      <c r="K138" s="61">
        <f t="shared" ref="K138" si="85">J138+1</f>
        <v>2029</v>
      </c>
      <c r="L138" s="61">
        <f t="shared" ref="L138" si="86">K138+1</f>
        <v>2030</v>
      </c>
    </row>
    <row r="139" spans="1:12" ht="16.2" thickBot="1" x14ac:dyDescent="0.4">
      <c r="A139" s="51"/>
      <c r="B139" s="62" t="s">
        <v>62</v>
      </c>
      <c r="C139" s="62"/>
      <c r="D139" s="62"/>
      <c r="E139" s="62"/>
      <c r="F139" s="63" t="s">
        <v>64</v>
      </c>
      <c r="G139" s="63"/>
      <c r="H139" s="64"/>
      <c r="I139" s="64"/>
      <c r="J139" s="64"/>
      <c r="K139" s="64"/>
      <c r="L139" s="64" t="s">
        <v>46</v>
      </c>
    </row>
    <row r="140" spans="1:12" ht="15.6" x14ac:dyDescent="0.35">
      <c r="A140" s="51"/>
      <c r="B140" s="58"/>
      <c r="C140" s="58"/>
      <c r="D140" s="58"/>
      <c r="E140" s="58"/>
      <c r="F140" s="92"/>
      <c r="G140" s="92"/>
      <c r="H140" s="93"/>
      <c r="I140" s="93"/>
      <c r="J140" s="93"/>
      <c r="K140" s="93"/>
      <c r="L140" s="93"/>
    </row>
    <row r="141" spans="1:12" ht="15.6" x14ac:dyDescent="0.35">
      <c r="A141" s="51"/>
      <c r="B141" s="94" t="s">
        <v>273</v>
      </c>
      <c r="C141" s="95"/>
      <c r="D141" s="96"/>
      <c r="E141" s="96"/>
      <c r="F141" s="97"/>
      <c r="G141" s="97"/>
      <c r="H141" s="98"/>
      <c r="I141" s="98"/>
      <c r="J141" s="98"/>
      <c r="K141" s="98"/>
      <c r="L141" s="99"/>
    </row>
    <row r="142" spans="1:12" ht="15.6" x14ac:dyDescent="0.35">
      <c r="A142" s="51"/>
      <c r="B142" s="68"/>
      <c r="C142" s="68"/>
      <c r="D142" s="68"/>
      <c r="E142" s="68"/>
      <c r="F142" s="114"/>
      <c r="G142" s="114"/>
      <c r="H142" s="109"/>
      <c r="I142" s="109"/>
      <c r="J142" s="109"/>
      <c r="K142" s="109"/>
      <c r="L142" s="109"/>
    </row>
    <row r="143" spans="1:12" ht="15.6" x14ac:dyDescent="0.35">
      <c r="A143" s="51"/>
      <c r="B143" s="68" t="s">
        <v>249</v>
      </c>
      <c r="C143" s="68"/>
      <c r="D143" s="68"/>
      <c r="E143" s="68"/>
      <c r="F143" s="207">
        <f>F19</f>
        <v>0.10395154884829233</v>
      </c>
      <c r="G143" s="207">
        <f t="shared" ref="G143:L143" si="87">G19</f>
        <v>8.5394198586835279E-2</v>
      </c>
      <c r="H143" s="207">
        <f t="shared" si="87"/>
        <v>0.10541489039834274</v>
      </c>
      <c r="I143" s="207">
        <f t="shared" si="87"/>
        <v>0.10415565458972996</v>
      </c>
      <c r="J143" s="207">
        <f t="shared" si="87"/>
        <v>0.10651366016529902</v>
      </c>
      <c r="K143" s="207">
        <f t="shared" si="87"/>
        <v>0.1117770366409148</v>
      </c>
      <c r="L143" s="207">
        <f t="shared" si="87"/>
        <v>0.12037875731814952</v>
      </c>
    </row>
    <row r="144" spans="1:12" ht="15.6" x14ac:dyDescent="0.35">
      <c r="A144" s="51"/>
      <c r="B144" s="68" t="s">
        <v>224</v>
      </c>
      <c r="C144" s="68"/>
      <c r="D144" s="68"/>
      <c r="E144" s="68"/>
      <c r="F144" s="207">
        <f>F25/F10</f>
        <v>0.17345115170770456</v>
      </c>
      <c r="G144" s="207">
        <f t="shared" ref="G144:L144" si="88">G25/G10</f>
        <v>0.16005020453700264</v>
      </c>
      <c r="H144" s="207">
        <f t="shared" si="88"/>
        <v>0.16880540106465394</v>
      </c>
      <c r="I144" s="207">
        <f t="shared" si="88"/>
        <v>0.17434049084198866</v>
      </c>
      <c r="J144" s="207">
        <f t="shared" si="88"/>
        <v>0.18217028901419155</v>
      </c>
      <c r="K144" s="207">
        <f t="shared" si="88"/>
        <v>0.19192454399157774</v>
      </c>
      <c r="L144" s="207">
        <f t="shared" si="88"/>
        <v>0.20452018513058856</v>
      </c>
    </row>
    <row r="145" spans="1:18" ht="15.6" x14ac:dyDescent="0.35">
      <c r="A145" s="51"/>
      <c r="B145" s="68" t="s">
        <v>250</v>
      </c>
      <c r="C145" s="68"/>
      <c r="D145" s="68"/>
      <c r="E145" s="68"/>
      <c r="F145" s="133">
        <f>F36</f>
        <v>7.6151707704527449E-2</v>
      </c>
      <c r="G145" s="133">
        <f t="shared" ref="G145:L145" si="89">G36</f>
        <v>5.6387132763108985E-2</v>
      </c>
      <c r="H145" s="355">
        <f t="shared" si="89"/>
        <v>6.9196528325015536E-2</v>
      </c>
      <c r="I145" s="355">
        <f t="shared" si="89"/>
        <v>6.9072472412150893E-2</v>
      </c>
      <c r="J145" s="355">
        <f t="shared" si="89"/>
        <v>7.1376185537093351E-2</v>
      </c>
      <c r="K145" s="355">
        <f t="shared" si="89"/>
        <v>7.5921114457823374E-2</v>
      </c>
      <c r="L145" s="355">
        <f t="shared" si="89"/>
        <v>8.3005756751001927E-2</v>
      </c>
      <c r="R145" s="40"/>
    </row>
    <row r="146" spans="1:18" ht="15.6" x14ac:dyDescent="0.35">
      <c r="A146" s="51"/>
      <c r="B146" s="68" t="s">
        <v>251</v>
      </c>
      <c r="C146" s="68"/>
      <c r="D146" s="68"/>
      <c r="E146" s="68"/>
      <c r="F146" s="356">
        <f>F489</f>
        <v>0.24767042667974487</v>
      </c>
      <c r="G146" s="356">
        <f t="shared" ref="G146:L146" si="90">G489</f>
        <v>0.27538829151732375</v>
      </c>
      <c r="H146" s="163">
        <f t="shared" si="90"/>
        <v>0.26</v>
      </c>
      <c r="I146" s="163">
        <f t="shared" si="90"/>
        <v>0.26</v>
      </c>
      <c r="J146" s="163">
        <f t="shared" si="90"/>
        <v>0.26</v>
      </c>
      <c r="K146" s="163">
        <f t="shared" si="90"/>
        <v>0.26</v>
      </c>
      <c r="L146" s="163">
        <f t="shared" si="90"/>
        <v>0.26</v>
      </c>
    </row>
    <row r="147" spans="1:18" ht="15.6" x14ac:dyDescent="0.35">
      <c r="A147" s="51"/>
      <c r="B147" s="68"/>
      <c r="C147" s="68"/>
      <c r="D147" s="68"/>
      <c r="E147" s="68"/>
      <c r="F147" s="154"/>
      <c r="G147" s="155"/>
      <c r="H147" s="155"/>
      <c r="I147" s="155"/>
      <c r="J147" s="155"/>
      <c r="K147" s="155"/>
      <c r="L147" s="155"/>
    </row>
    <row r="148" spans="1:18" ht="15.6" x14ac:dyDescent="0.35">
      <c r="A148" s="51"/>
      <c r="B148" s="94" t="s">
        <v>253</v>
      </c>
      <c r="C148" s="95"/>
      <c r="D148" s="96"/>
      <c r="E148" s="96"/>
      <c r="F148" s="97"/>
      <c r="G148" s="97"/>
      <c r="H148" s="98"/>
      <c r="I148" s="98"/>
      <c r="J148" s="98"/>
      <c r="K148" s="98"/>
      <c r="L148" s="99"/>
    </row>
    <row r="149" spans="1:18" ht="15.6" x14ac:dyDescent="0.35">
      <c r="A149" s="51"/>
      <c r="B149" s="68"/>
      <c r="C149" s="68"/>
      <c r="D149" s="68"/>
      <c r="E149" s="68"/>
      <c r="F149" s="156"/>
      <c r="G149" s="156"/>
      <c r="H149" s="157"/>
      <c r="I149" s="157"/>
      <c r="J149" s="157"/>
      <c r="K149" s="157"/>
      <c r="L149" s="157"/>
    </row>
    <row r="150" spans="1:18" ht="15.6" x14ac:dyDescent="0.35">
      <c r="A150" s="51"/>
      <c r="B150" s="68" t="s">
        <v>252</v>
      </c>
      <c r="C150" s="68"/>
      <c r="D150" s="68"/>
      <c r="E150" s="68"/>
      <c r="F150" s="357">
        <f>F18/ABS(F29)</f>
        <v>15.397058823529418</v>
      </c>
      <c r="G150" s="357">
        <f t="shared" ref="G150:L150" si="91">G18/ABS(G29)</f>
        <v>10.149171270718234</v>
      </c>
      <c r="H150" s="357">
        <f t="shared" si="91"/>
        <v>8.6326727837894026</v>
      </c>
      <c r="I150" s="357">
        <f t="shared" si="91"/>
        <v>9.4632401991154005</v>
      </c>
      <c r="J150" s="357">
        <f t="shared" si="91"/>
        <v>10.206232607192035</v>
      </c>
      <c r="K150" s="357">
        <f t="shared" si="91"/>
        <v>11.290527566280755</v>
      </c>
      <c r="L150" s="357">
        <f t="shared" si="91"/>
        <v>12.838584926701484</v>
      </c>
    </row>
    <row r="151" spans="1:18" ht="15.6" x14ac:dyDescent="0.35">
      <c r="A151" s="51"/>
      <c r="B151" s="68" t="s">
        <v>255</v>
      </c>
      <c r="C151" s="68"/>
      <c r="D151" s="68"/>
      <c r="E151" s="68"/>
      <c r="F151" s="358" t="str">
        <f>IF(F74=0, "N/A", ABS(F25/F74))</f>
        <v>N/A</v>
      </c>
      <c r="G151" s="358">
        <f>IF(G74=0, "N/A", ABS(G25/G74))</f>
        <v>13.772000000000002</v>
      </c>
      <c r="H151" s="358" t="str">
        <f t="shared" ref="H151:L151" si="92">IF(H74=0, "N/A", ABS(H25/H74))</f>
        <v>N/A</v>
      </c>
      <c r="I151" s="358" t="str">
        <f t="shared" si="92"/>
        <v>N/A</v>
      </c>
      <c r="J151" s="358" t="str">
        <f t="shared" si="92"/>
        <v>N/A</v>
      </c>
      <c r="K151" s="358" t="str">
        <f t="shared" si="92"/>
        <v>N/A</v>
      </c>
      <c r="L151" s="358" t="str">
        <f t="shared" si="92"/>
        <v>N/A</v>
      </c>
    </row>
    <row r="152" spans="1:18" ht="15.6" x14ac:dyDescent="0.35">
      <c r="A152" s="51"/>
      <c r="B152" s="68" t="s">
        <v>254</v>
      </c>
      <c r="C152" s="68"/>
      <c r="D152" s="68"/>
      <c r="E152" s="68"/>
      <c r="F152" s="359"/>
      <c r="G152" s="359"/>
      <c r="H152" s="358">
        <f>IF(SUM(H74+H346)=0,"N/A",ABS(H25/(H74+H346)))</f>
        <v>14.515371337688713</v>
      </c>
      <c r="I152" s="358">
        <f>IF(SUM(I74+I346)=0,"N/A",ABS(I25/(I74+I346)))</f>
        <v>15.840003577031862</v>
      </c>
      <c r="J152" s="358">
        <f>IF(SUM(J74+J346)=0,"N/A",ABS(J25/(J74+J346)))</f>
        <v>17.455717331587572</v>
      </c>
      <c r="K152" s="358">
        <f>IF(SUM(K74+K346)=0,"N/A",ABS(K25/(K74+K346)))</f>
        <v>19.386176442877627</v>
      </c>
      <c r="L152" s="358">
        <f>IF(SUM(L74+L346)=0,"N/A",ABS(L25/(L74+L346)))</f>
        <v>21.812401328285574</v>
      </c>
    </row>
    <row r="153" spans="1:18" ht="15.6" x14ac:dyDescent="0.35">
      <c r="A153" s="51"/>
      <c r="B153" s="68"/>
      <c r="C153" s="68"/>
      <c r="D153" s="68"/>
      <c r="E153" s="68"/>
      <c r="F153" s="358"/>
      <c r="G153" s="358"/>
      <c r="H153" s="358"/>
      <c r="I153" s="358"/>
      <c r="J153" s="358"/>
      <c r="K153" s="358"/>
      <c r="L153" s="358"/>
    </row>
    <row r="154" spans="1:18" ht="15.6" x14ac:dyDescent="0.35">
      <c r="A154" s="51"/>
      <c r="B154" s="94" t="s">
        <v>256</v>
      </c>
      <c r="C154" s="95"/>
      <c r="D154" s="96"/>
      <c r="E154" s="96"/>
      <c r="F154" s="97"/>
      <c r="G154" s="97"/>
      <c r="H154" s="98"/>
      <c r="I154" s="98"/>
      <c r="J154" s="98"/>
      <c r="K154" s="98"/>
      <c r="L154" s="99"/>
    </row>
    <row r="155" spans="1:18" ht="15.6" x14ac:dyDescent="0.35">
      <c r="A155" s="51"/>
      <c r="B155" s="68"/>
      <c r="C155" s="68"/>
      <c r="D155" s="68"/>
      <c r="E155" s="68"/>
      <c r="F155" s="358"/>
      <c r="G155" s="358"/>
      <c r="H155" s="358"/>
      <c r="I155" s="358"/>
      <c r="J155" s="358"/>
      <c r="K155" s="358"/>
      <c r="L155" s="358"/>
    </row>
    <row r="156" spans="1:18" ht="15.6" x14ac:dyDescent="0.35">
      <c r="A156" s="51"/>
      <c r="B156" s="68" t="s">
        <v>257</v>
      </c>
      <c r="C156" s="68"/>
      <c r="D156" s="68"/>
      <c r="E156" s="68"/>
      <c r="F156" s="359"/>
      <c r="G156" s="359"/>
      <c r="H156" s="358">
        <f>ABS((H74+H56+H352)/H25)</f>
        <v>1.0429422426183121</v>
      </c>
      <c r="I156" s="358">
        <f>ABS((I74+I56+I352)/I25)</f>
        <v>0.83399720997392235</v>
      </c>
      <c r="J156" s="358">
        <f>ABS((J74+J56+J352)/J25)</f>
        <v>0.54324445787868314</v>
      </c>
      <c r="K156" s="358">
        <f>ABS((K74+K56+K352)/K25)</f>
        <v>0.21838198875289333</v>
      </c>
      <c r="L156" s="358">
        <f>ABS((L74+L56+L352)/L25)</f>
        <v>0.10568499038784246</v>
      </c>
    </row>
    <row r="157" spans="1:18" ht="15.6" x14ac:dyDescent="0.35">
      <c r="A157" s="51"/>
      <c r="B157" s="68" t="s">
        <v>344</v>
      </c>
      <c r="C157" s="68"/>
      <c r="D157" s="68"/>
      <c r="E157" s="68"/>
      <c r="F157" s="359"/>
      <c r="G157" s="359"/>
      <c r="H157" s="358"/>
      <c r="I157" s="358"/>
      <c r="J157" s="358"/>
      <c r="K157" s="358"/>
      <c r="L157" s="358"/>
    </row>
    <row r="158" spans="1:18" ht="15.6" x14ac:dyDescent="0.35">
      <c r="A158" s="51"/>
      <c r="B158" s="68"/>
      <c r="C158" s="68"/>
      <c r="D158" s="68"/>
      <c r="E158" s="68"/>
      <c r="F158" s="358"/>
      <c r="G158" s="358"/>
      <c r="H158" s="358"/>
      <c r="I158" s="358"/>
      <c r="J158" s="358"/>
      <c r="K158" s="358"/>
      <c r="L158" s="358"/>
    </row>
    <row r="159" spans="1:18" ht="15.6" x14ac:dyDescent="0.35">
      <c r="A159" s="51"/>
      <c r="B159" s="94" t="s">
        <v>256</v>
      </c>
      <c r="C159" s="95"/>
      <c r="D159" s="96"/>
      <c r="E159" s="96"/>
      <c r="F159" s="97"/>
      <c r="G159" s="97"/>
      <c r="H159" s="98"/>
      <c r="I159" s="98"/>
      <c r="J159" s="98"/>
      <c r="K159" s="98"/>
      <c r="L159" s="99"/>
    </row>
    <row r="160" spans="1:18" ht="15.6" x14ac:dyDescent="0.35">
      <c r="A160" s="51"/>
      <c r="B160" s="105"/>
      <c r="C160" s="73"/>
      <c r="D160" s="68"/>
      <c r="E160" s="68"/>
      <c r="F160" s="100"/>
      <c r="G160" s="100"/>
      <c r="H160" s="101"/>
      <c r="I160" s="101"/>
      <c r="J160" s="101"/>
      <c r="K160" s="101"/>
      <c r="L160" s="101"/>
    </row>
    <row r="161" spans="1:12" ht="15.6" x14ac:dyDescent="0.35">
      <c r="A161" s="51"/>
      <c r="B161" s="68" t="s">
        <v>270</v>
      </c>
      <c r="C161" s="73"/>
      <c r="D161" s="68"/>
      <c r="E161" s="68"/>
      <c r="F161" s="169">
        <f>F57/ABS(F72)</f>
        <v>0.78304319793681487</v>
      </c>
      <c r="G161" s="169">
        <f t="shared" ref="G161:L161" si="93">G57/ABS(G72)</f>
        <v>0.56341673856773078</v>
      </c>
      <c r="H161" s="169">
        <f t="shared" si="93"/>
        <v>0.51396846709620414</v>
      </c>
      <c r="I161" s="169">
        <f t="shared" si="93"/>
        <v>0.65122686401547292</v>
      </c>
      <c r="J161" s="169">
        <f t="shared" si="93"/>
        <v>0.9044154633807866</v>
      </c>
      <c r="K161" s="169">
        <f t="shared" si="93"/>
        <v>1.241632254323024</v>
      </c>
      <c r="L161" s="169">
        <f t="shared" si="93"/>
        <v>1.6377580162904313</v>
      </c>
    </row>
    <row r="162" spans="1:12" ht="15.6" x14ac:dyDescent="0.35">
      <c r="A162" s="51"/>
      <c r="B162" s="68" t="s">
        <v>271</v>
      </c>
      <c r="C162" s="73"/>
      <c r="D162" s="68"/>
      <c r="E162" s="68"/>
      <c r="F162" s="169">
        <f>(F57-F54)/ABS(F72)</f>
        <v>0.60509348807221142</v>
      </c>
      <c r="G162" s="169">
        <f t="shared" ref="G162:L162" si="94">(G57-G54)/ABS(G72)</f>
        <v>0.40322116767328148</v>
      </c>
      <c r="H162" s="169">
        <f t="shared" si="94"/>
        <v>0.34741313905394089</v>
      </c>
      <c r="I162" s="169">
        <f t="shared" si="94"/>
        <v>0.48240118554750788</v>
      </c>
      <c r="J162" s="169">
        <f t="shared" si="94"/>
        <v>0.73370318494278419</v>
      </c>
      <c r="K162" s="169">
        <f t="shared" si="94"/>
        <v>1.0693497480399399</v>
      </c>
      <c r="L162" s="169">
        <f t="shared" si="94"/>
        <v>1.4641781373563099</v>
      </c>
    </row>
    <row r="163" spans="1:12" ht="15.6" x14ac:dyDescent="0.35">
      <c r="A163" s="51"/>
      <c r="B163" s="68" t="s">
        <v>272</v>
      </c>
      <c r="C163" s="73"/>
      <c r="D163" s="68"/>
      <c r="E163" s="68"/>
      <c r="F163" s="169">
        <f>F56/ABS(F72)</f>
        <v>0.40393294648613798</v>
      </c>
      <c r="G163" s="169">
        <f t="shared" ref="G163:L163" si="95">G56/ABS(G72)</f>
        <v>0.20362381363244172</v>
      </c>
      <c r="H163" s="169">
        <f t="shared" si="95"/>
        <v>0.13524747927704997</v>
      </c>
      <c r="I163" s="169">
        <f t="shared" si="95"/>
        <v>0.26764574542976577</v>
      </c>
      <c r="J163" s="169">
        <f t="shared" si="95"/>
        <v>0.51597479116010581</v>
      </c>
      <c r="K163" s="169">
        <f t="shared" si="95"/>
        <v>0.84831659890169775</v>
      </c>
      <c r="L163" s="169">
        <f t="shared" si="95"/>
        <v>1.239302763028705</v>
      </c>
    </row>
    <row r="164" spans="1:12" ht="15.6" x14ac:dyDescent="0.35">
      <c r="A164" s="51"/>
      <c r="B164" s="105"/>
      <c r="C164" s="73"/>
      <c r="D164" s="68"/>
      <c r="E164" s="68"/>
      <c r="F164" s="100"/>
      <c r="G164" s="100"/>
      <c r="H164" s="101"/>
      <c r="I164" s="101"/>
      <c r="J164" s="101"/>
      <c r="K164" s="101"/>
      <c r="L164" s="101"/>
    </row>
    <row r="165" spans="1:12" ht="15.6" x14ac:dyDescent="0.35">
      <c r="A165" s="51"/>
      <c r="B165" s="94" t="s">
        <v>258</v>
      </c>
      <c r="C165" s="95"/>
      <c r="D165" s="96"/>
      <c r="E165" s="96"/>
      <c r="F165" s="97"/>
      <c r="G165" s="97"/>
      <c r="H165" s="98"/>
      <c r="I165" s="98"/>
      <c r="J165" s="98"/>
      <c r="K165" s="98"/>
      <c r="L165" s="99"/>
    </row>
    <row r="166" spans="1:12" ht="15.6" x14ac:dyDescent="0.35">
      <c r="A166" s="51"/>
      <c r="B166" s="73"/>
      <c r="C166" s="73"/>
      <c r="D166" s="68"/>
      <c r="E166" s="68"/>
      <c r="F166" s="114"/>
      <c r="G166" s="114"/>
      <c r="H166" s="109"/>
      <c r="I166" s="109"/>
      <c r="J166" s="109"/>
      <c r="K166" s="109"/>
      <c r="L166" s="109"/>
    </row>
    <row r="167" spans="1:12" ht="15.6" x14ac:dyDescent="0.35">
      <c r="A167" s="51"/>
      <c r="B167" s="68" t="s">
        <v>259</v>
      </c>
      <c r="C167" s="68"/>
      <c r="D167" s="68"/>
      <c r="E167" s="68"/>
      <c r="F167" s="360"/>
      <c r="G167" s="360"/>
      <c r="H167" s="101">
        <f>H109+H115</f>
        <v>111.14062254120449</v>
      </c>
      <c r="I167" s="101">
        <f>I109+I115</f>
        <v>165.04153628295902</v>
      </c>
      <c r="J167" s="101">
        <f>J109+J115</f>
        <v>221.52674737080011</v>
      </c>
      <c r="K167" s="101">
        <f>K109+K115</f>
        <v>273.50841796010138</v>
      </c>
      <c r="L167" s="101">
        <f>L109+L115</f>
        <v>321.55584772958593</v>
      </c>
    </row>
    <row r="168" spans="1:12" ht="15.6" x14ac:dyDescent="0.35">
      <c r="A168" s="51"/>
      <c r="B168" s="68" t="s">
        <v>260</v>
      </c>
      <c r="C168" s="68"/>
      <c r="D168" s="68"/>
      <c r="E168" s="68"/>
      <c r="F168" s="360"/>
      <c r="G168" s="360"/>
      <c r="H168" s="101">
        <f>H167+H346</f>
        <v>84.152622541204494</v>
      </c>
      <c r="I168" s="101">
        <f t="shared" ref="I168:L168" si="96">I167+I346</f>
        <v>137.664256282959</v>
      </c>
      <c r="J168" s="101">
        <f t="shared" si="96"/>
        <v>193.82608057080012</v>
      </c>
      <c r="K168" s="101">
        <f t="shared" si="96"/>
        <v>245.57206115210138</v>
      </c>
      <c r="L168" s="101">
        <f t="shared" si="96"/>
        <v>293.49617138810595</v>
      </c>
    </row>
    <row r="169" spans="1:12" ht="15.6" x14ac:dyDescent="0.35">
      <c r="A169" s="51"/>
      <c r="B169" s="68" t="s">
        <v>265</v>
      </c>
      <c r="C169" s="68"/>
      <c r="D169" s="68"/>
      <c r="E169" s="68"/>
      <c r="F169" s="361"/>
      <c r="G169" s="361"/>
      <c r="H169" s="158">
        <f>H167/H35</f>
        <v>0.69211140401029325</v>
      </c>
      <c r="I169" s="158">
        <f>I167/I35</f>
        <v>0.96059638361177424</v>
      </c>
      <c r="J169" s="158">
        <f>J167/J35</f>
        <v>1.1692906029809678</v>
      </c>
      <c r="K169" s="158">
        <f>K167/K35</f>
        <v>1.2766642884722343</v>
      </c>
      <c r="L169" s="158">
        <f>L167/L35</f>
        <v>1.2944886258343054</v>
      </c>
    </row>
    <row r="170" spans="1:12" ht="15.6" x14ac:dyDescent="0.35">
      <c r="A170" s="51"/>
      <c r="B170" s="68"/>
      <c r="C170" s="68"/>
      <c r="D170" s="68"/>
      <c r="E170" s="68"/>
      <c r="F170" s="158"/>
      <c r="G170" s="158"/>
      <c r="H170" s="158"/>
      <c r="I170" s="158"/>
      <c r="J170" s="158"/>
      <c r="K170" s="158"/>
      <c r="L170" s="158"/>
    </row>
    <row r="171" spans="1:12" ht="15.6" x14ac:dyDescent="0.35">
      <c r="A171" s="51"/>
      <c r="B171" s="94" t="s">
        <v>266</v>
      </c>
      <c r="C171" s="95"/>
      <c r="D171" s="96"/>
      <c r="E171" s="96"/>
      <c r="F171" s="97"/>
      <c r="G171" s="97"/>
      <c r="H171" s="98"/>
      <c r="I171" s="98"/>
      <c r="J171" s="98"/>
      <c r="K171" s="98"/>
      <c r="L171" s="99"/>
    </row>
    <row r="172" spans="1:12" ht="15.6" x14ac:dyDescent="0.35">
      <c r="A172" s="51"/>
      <c r="B172" s="68"/>
      <c r="C172" s="68"/>
      <c r="D172" s="68"/>
      <c r="E172" s="68"/>
      <c r="F172" s="114"/>
      <c r="G172" s="114"/>
      <c r="H172" s="109"/>
      <c r="I172" s="109"/>
      <c r="J172" s="109"/>
      <c r="K172" s="109"/>
      <c r="L172" s="109"/>
    </row>
    <row r="173" spans="1:12" ht="15.6" x14ac:dyDescent="0.35">
      <c r="A173" s="51"/>
      <c r="B173" s="68" t="s">
        <v>267</v>
      </c>
      <c r="C173" s="68"/>
      <c r="D173" s="68"/>
      <c r="E173" s="68"/>
      <c r="F173" s="360"/>
      <c r="G173" s="360"/>
      <c r="H173" s="133">
        <f>H$35/(AVERAGE(SUM(H$81:H$84), SUM(G$81:G$84)))</f>
        <v>0.23706016757774837</v>
      </c>
      <c r="I173" s="133">
        <f t="shared" ref="I173:L173" si="97">I$35/(AVERAGE(SUM(I$81:I$84), SUM(H$81:H$84)))</f>
        <v>0.21875197984052649</v>
      </c>
      <c r="J173" s="133">
        <f t="shared" si="97"/>
        <v>0.2098449561600042</v>
      </c>
      <c r="K173" s="133">
        <f t="shared" si="97"/>
        <v>0.20718664932130254</v>
      </c>
      <c r="L173" s="133">
        <f t="shared" si="97"/>
        <v>0.20973210438090498</v>
      </c>
    </row>
    <row r="174" spans="1:12" ht="15.6" x14ac:dyDescent="0.35">
      <c r="A174" s="51"/>
      <c r="B174" s="68" t="s">
        <v>268</v>
      </c>
      <c r="C174" s="68"/>
      <c r="D174" s="68"/>
      <c r="E174" s="68"/>
      <c r="F174" s="360"/>
      <c r="G174" s="360"/>
      <c r="H174" s="133">
        <f>H$35/(AVERAGE(SUM(H$81:H$84), SUM(G$81:G$84))-H61)</f>
        <v>0.25597907431321432</v>
      </c>
      <c r="I174" s="133">
        <f>I$35/(AVERAGE(SUM(I$81:I$84), SUM(H$81:H$84))-I61)</f>
        <v>0.23515096621795517</v>
      </c>
      <c r="J174" s="133">
        <f>J$35/(AVERAGE(SUM(J$81:J$84), SUM(I$81:I$84))-J61)</f>
        <v>0.22395399619694495</v>
      </c>
      <c r="K174" s="133">
        <f>K$35/(AVERAGE(SUM(K$81:K$84), SUM(J$81:J$84))-K61)</f>
        <v>0.21907927170077457</v>
      </c>
      <c r="L174" s="133">
        <f>L$35/(AVERAGE(SUM(L$81:L$84), SUM(K$81:K$84))-L61)</f>
        <v>0.21942236202368964</v>
      </c>
    </row>
    <row r="175" spans="1:12" ht="15.6" x14ac:dyDescent="0.35">
      <c r="A175" s="51"/>
      <c r="B175" s="68" t="s">
        <v>269</v>
      </c>
      <c r="C175" s="68"/>
      <c r="D175" s="68"/>
      <c r="E175" s="68"/>
      <c r="F175" s="360"/>
      <c r="G175" s="360"/>
      <c r="H175" s="133">
        <f>H35/AVERAGE(G64,H64)</f>
        <v>0.10465066707956289</v>
      </c>
      <c r="I175" s="133">
        <f>I35/AVERAGE(H64,I64)</f>
        <v>0.10387595917429077</v>
      </c>
      <c r="J175" s="133">
        <f>J35/AVERAGE(I64,J64)</f>
        <v>0.10545336207605149</v>
      </c>
      <c r="K175" s="133">
        <f>K35/AVERAGE(J64,K64)</f>
        <v>0.10986295409021252</v>
      </c>
      <c r="L175" s="133">
        <f>L35/AVERAGE(K64,L64)</f>
        <v>0.1172069420536541</v>
      </c>
    </row>
    <row r="176" spans="1:12" ht="15.6" x14ac:dyDescent="0.35">
      <c r="A176" s="51"/>
      <c r="B176" s="51"/>
      <c r="C176" s="51"/>
      <c r="D176" s="51"/>
      <c r="E176" s="51"/>
      <c r="F176" s="117"/>
      <c r="G176" s="117"/>
      <c r="H176" s="113"/>
      <c r="I176" s="113"/>
      <c r="J176" s="113"/>
      <c r="K176" s="113"/>
      <c r="L176" s="113"/>
    </row>
    <row r="177" spans="1:12" ht="15.6" x14ac:dyDescent="0.35">
      <c r="A177" s="51"/>
      <c r="B177" s="51"/>
      <c r="C177" s="51"/>
      <c r="D177" s="51"/>
      <c r="E177" s="51"/>
      <c r="F177" s="117"/>
      <c r="G177" s="117"/>
      <c r="H177" s="113"/>
      <c r="I177" s="113"/>
      <c r="J177" s="113"/>
      <c r="K177" s="113"/>
      <c r="L177" s="113"/>
    </row>
    <row r="178" spans="1:12" ht="28.8" x14ac:dyDescent="0.65">
      <c r="A178" s="51"/>
      <c r="B178" s="52" t="str">
        <f>Cover!$B$2</f>
        <v>Greggs</v>
      </c>
      <c r="C178" s="52"/>
      <c r="D178" s="53"/>
      <c r="E178" s="54"/>
      <c r="F178" s="54"/>
      <c r="G178" s="54"/>
      <c r="H178" s="54"/>
      <c r="I178" s="54"/>
      <c r="J178" s="54"/>
      <c r="K178" s="54"/>
      <c r="L178" s="54"/>
    </row>
    <row r="179" spans="1:12" ht="21" x14ac:dyDescent="0.5">
      <c r="A179" s="51"/>
      <c r="B179" s="55" t="s">
        <v>12</v>
      </c>
      <c r="C179" s="56"/>
      <c r="D179" s="54"/>
      <c r="E179" s="54"/>
      <c r="F179" s="54"/>
      <c r="G179" s="54"/>
      <c r="H179" s="54"/>
      <c r="I179" s="54"/>
      <c r="J179" s="54"/>
      <c r="K179" s="54"/>
      <c r="L179" s="377" t="str">
        <f>"Currently Running: "&amp;CHOOSE(Assumptions!$B$10,Assumptions!$F$15,Assumptions!$F$16,Assumptions!$F$17)&amp;"Scenario"</f>
        <v>Currently Running: Base Scenario</v>
      </c>
    </row>
    <row r="180" spans="1:12" ht="15.6" x14ac:dyDescent="0.35">
      <c r="A180" s="51"/>
      <c r="B180" s="57"/>
      <c r="C180" s="57"/>
      <c r="D180" s="57"/>
      <c r="E180" s="57"/>
      <c r="F180" s="57"/>
      <c r="G180" s="57"/>
      <c r="H180" s="57"/>
      <c r="I180" s="57"/>
      <c r="J180" s="57"/>
      <c r="K180" s="58"/>
      <c r="L180" s="58"/>
    </row>
    <row r="181" spans="1:12" ht="15.6" x14ac:dyDescent="0.35">
      <c r="A181" s="51"/>
      <c r="B181" s="58"/>
      <c r="C181" s="58"/>
      <c r="D181" s="58"/>
      <c r="E181" s="58"/>
      <c r="F181" s="59" t="s">
        <v>63</v>
      </c>
      <c r="G181" s="59"/>
      <c r="H181" s="59"/>
      <c r="I181" s="59"/>
      <c r="J181" s="59"/>
      <c r="K181" s="59"/>
      <c r="L181" s="59"/>
    </row>
    <row r="182" spans="1:12" ht="15.6" x14ac:dyDescent="0.35">
      <c r="A182" s="51"/>
      <c r="B182" s="58"/>
      <c r="C182" s="58"/>
      <c r="D182" s="58"/>
      <c r="E182" s="58"/>
      <c r="F182" s="60">
        <v>2024</v>
      </c>
      <c r="G182" s="60">
        <v>2025</v>
      </c>
      <c r="H182" s="61">
        <f>G182+1</f>
        <v>2026</v>
      </c>
      <c r="I182" s="61">
        <f t="shared" ref="I182" si="98">H182+1</f>
        <v>2027</v>
      </c>
      <c r="J182" s="61">
        <f t="shared" ref="J182" si="99">I182+1</f>
        <v>2028</v>
      </c>
      <c r="K182" s="61">
        <f t="shared" ref="K182" si="100">J182+1</f>
        <v>2029</v>
      </c>
      <c r="L182" s="61">
        <f t="shared" ref="L182" si="101">K182+1</f>
        <v>2030</v>
      </c>
    </row>
    <row r="183" spans="1:12" ht="16.2" thickBot="1" x14ac:dyDescent="0.4">
      <c r="A183" s="51"/>
      <c r="B183" s="62" t="s">
        <v>62</v>
      </c>
      <c r="C183" s="62"/>
      <c r="D183" s="62"/>
      <c r="E183" s="62"/>
      <c r="F183" s="63" t="s">
        <v>64</v>
      </c>
      <c r="G183" s="63"/>
      <c r="H183" s="64"/>
      <c r="I183" s="64"/>
      <c r="J183" s="64"/>
      <c r="K183" s="64"/>
      <c r="L183" s="64" t="s">
        <v>46</v>
      </c>
    </row>
    <row r="184" spans="1:12" ht="15.6" x14ac:dyDescent="0.35">
      <c r="A184" s="51"/>
      <c r="B184" s="58"/>
      <c r="C184" s="58"/>
      <c r="D184" s="58"/>
      <c r="E184" s="58"/>
      <c r="F184" s="92"/>
      <c r="G184" s="92"/>
      <c r="H184" s="93"/>
      <c r="I184" s="93"/>
      <c r="J184" s="93"/>
      <c r="K184" s="93"/>
      <c r="L184" s="93"/>
    </row>
    <row r="185" spans="1:12" ht="15.6" x14ac:dyDescent="0.35">
      <c r="A185" s="51"/>
      <c r="B185" s="94" t="s">
        <v>111</v>
      </c>
      <c r="C185" s="95"/>
      <c r="D185" s="96"/>
      <c r="E185" s="96"/>
      <c r="F185" s="97"/>
      <c r="G185" s="97"/>
      <c r="H185" s="98"/>
      <c r="I185" s="98"/>
      <c r="J185" s="98"/>
      <c r="K185" s="98"/>
      <c r="L185" s="99"/>
    </row>
    <row r="186" spans="1:12" ht="15.6" x14ac:dyDescent="0.35">
      <c r="A186" s="51"/>
      <c r="B186" s="68"/>
      <c r="C186" s="68"/>
      <c r="D186" s="68"/>
      <c r="E186" s="68"/>
      <c r="F186" s="164"/>
      <c r="G186" s="164"/>
      <c r="H186" s="161"/>
      <c r="I186" s="161"/>
      <c r="J186" s="161"/>
      <c r="K186" s="161"/>
      <c r="L186" s="161"/>
    </row>
    <row r="187" spans="1:12" ht="15.6" x14ac:dyDescent="0.35">
      <c r="A187" s="51"/>
      <c r="B187" s="68" t="s">
        <v>107</v>
      </c>
      <c r="C187" s="73"/>
      <c r="D187" s="73"/>
      <c r="E187" s="73"/>
      <c r="F187" s="162"/>
      <c r="G187" s="177">
        <f>F189</f>
        <v>2057</v>
      </c>
      <c r="H187" s="177">
        <f>G189</f>
        <v>2137</v>
      </c>
      <c r="I187" s="177">
        <f t="shared" ref="I187:L187" si="102">H189</f>
        <v>2207</v>
      </c>
      <c r="J187" s="177">
        <f t="shared" si="102"/>
        <v>2272</v>
      </c>
      <c r="K187" s="177">
        <f t="shared" si="102"/>
        <v>2332</v>
      </c>
      <c r="L187" s="177">
        <f t="shared" si="102"/>
        <v>2387</v>
      </c>
    </row>
    <row r="188" spans="1:12" ht="15.6" x14ac:dyDescent="0.35">
      <c r="A188" s="51"/>
      <c r="B188" s="182" t="s">
        <v>103</v>
      </c>
      <c r="C188" s="182"/>
      <c r="D188" s="182"/>
      <c r="E188" s="182"/>
      <c r="F188" s="183"/>
      <c r="G188" s="183">
        <v>80</v>
      </c>
      <c r="H188" s="353">
        <v>70</v>
      </c>
      <c r="I188" s="353">
        <v>65</v>
      </c>
      <c r="J188" s="353">
        <v>60</v>
      </c>
      <c r="K188" s="353">
        <v>55</v>
      </c>
      <c r="L188" s="353">
        <v>50</v>
      </c>
    </row>
    <row r="189" spans="1:12" ht="15.6" x14ac:dyDescent="0.35">
      <c r="A189" s="51"/>
      <c r="B189" s="68" t="s">
        <v>102</v>
      </c>
      <c r="C189" s="68"/>
      <c r="D189" s="68"/>
      <c r="E189" s="68"/>
      <c r="F189" s="175">
        <v>2057</v>
      </c>
      <c r="G189" s="177">
        <f>SUM(G187:G188)</f>
        <v>2137</v>
      </c>
      <c r="H189" s="176">
        <f>SUM(H187:H188)</f>
        <v>2207</v>
      </c>
      <c r="I189" s="176">
        <f t="shared" ref="I189:L189" si="103">SUM(I187:I188)</f>
        <v>2272</v>
      </c>
      <c r="J189" s="176">
        <f t="shared" si="103"/>
        <v>2332</v>
      </c>
      <c r="K189" s="176">
        <f t="shared" si="103"/>
        <v>2387</v>
      </c>
      <c r="L189" s="176">
        <f t="shared" si="103"/>
        <v>2437</v>
      </c>
    </row>
    <row r="190" spans="1:12" ht="15.6" x14ac:dyDescent="0.35">
      <c r="A190" s="51"/>
      <c r="B190" s="68" t="s">
        <v>104</v>
      </c>
      <c r="C190" s="68"/>
      <c r="D190" s="68"/>
      <c r="E190" s="68"/>
      <c r="F190" s="160"/>
      <c r="G190" s="177">
        <f>AVERAGE(F189,G189)</f>
        <v>2097</v>
      </c>
      <c r="H190" s="177">
        <f t="shared" ref="H190:L190" si="104">AVERAGE(G189,H189)</f>
        <v>2172</v>
      </c>
      <c r="I190" s="177">
        <f t="shared" si="104"/>
        <v>2239.5</v>
      </c>
      <c r="J190" s="177">
        <f t="shared" si="104"/>
        <v>2302</v>
      </c>
      <c r="K190" s="177">
        <f t="shared" si="104"/>
        <v>2359.5</v>
      </c>
      <c r="L190" s="177">
        <f t="shared" si="104"/>
        <v>2412</v>
      </c>
    </row>
    <row r="191" spans="1:12" ht="15.6" x14ac:dyDescent="0.35">
      <c r="A191" s="51"/>
      <c r="B191" s="68"/>
      <c r="C191" s="68"/>
      <c r="D191" s="68"/>
      <c r="E191" s="68"/>
      <c r="F191" s="160"/>
      <c r="G191" s="177"/>
      <c r="H191" s="177"/>
      <c r="I191" s="177"/>
      <c r="J191" s="177"/>
      <c r="K191" s="177"/>
      <c r="L191" s="177"/>
    </row>
    <row r="192" spans="1:12" ht="15.6" x14ac:dyDescent="0.35">
      <c r="A192" s="51"/>
      <c r="B192" s="80" t="s">
        <v>106</v>
      </c>
      <c r="C192" s="80"/>
      <c r="D192" s="80"/>
      <c r="E192" s="80"/>
      <c r="F192" s="181">
        <v>5.5E-2</v>
      </c>
      <c r="G192" s="181">
        <v>2.4E-2</v>
      </c>
      <c r="H192" s="364">
        <f>Assumptions!H33</f>
        <v>3.5000000000000003E-2</v>
      </c>
      <c r="I192" s="364">
        <f>Assumptions!I33</f>
        <v>3.5000000000000003E-2</v>
      </c>
      <c r="J192" s="364">
        <f>Assumptions!J33</f>
        <v>3.5000000000000003E-2</v>
      </c>
      <c r="K192" s="364">
        <f>Assumptions!K33</f>
        <v>3.5000000000000003E-2</v>
      </c>
      <c r="L192" s="364">
        <f>Assumptions!L33</f>
        <v>3.5000000000000003E-2</v>
      </c>
    </row>
    <row r="193" spans="1:12" ht="15.6" x14ac:dyDescent="0.35">
      <c r="A193" s="51"/>
      <c r="B193" s="68" t="s">
        <v>109</v>
      </c>
      <c r="C193" s="68"/>
      <c r="D193" s="68"/>
      <c r="E193" s="68"/>
      <c r="F193" s="184"/>
      <c r="G193" s="185">
        <f>G196</f>
        <v>904.72103004291841</v>
      </c>
      <c r="H193" s="186">
        <f>G193*(1+H192)</f>
        <v>936.38626609442053</v>
      </c>
      <c r="I193" s="186">
        <f t="shared" ref="I193:L193" si="105">H193*(1+I192)</f>
        <v>969.15978540772517</v>
      </c>
      <c r="J193" s="186">
        <f t="shared" si="105"/>
        <v>1003.0803778969955</v>
      </c>
      <c r="K193" s="186">
        <f t="shared" si="105"/>
        <v>1038.1881911233902</v>
      </c>
      <c r="L193" s="186">
        <f t="shared" si="105"/>
        <v>1074.5247778127089</v>
      </c>
    </row>
    <row r="194" spans="1:12" ht="15.6" x14ac:dyDescent="0.35">
      <c r="A194" s="51"/>
      <c r="B194" s="68"/>
      <c r="C194" s="68"/>
      <c r="D194" s="68"/>
      <c r="E194" s="68"/>
      <c r="F194" s="184"/>
      <c r="G194" s="185"/>
      <c r="H194" s="186"/>
      <c r="I194" s="186"/>
      <c r="J194" s="186"/>
      <c r="K194" s="186"/>
      <c r="L194" s="186"/>
    </row>
    <row r="195" spans="1:12" ht="15.6" x14ac:dyDescent="0.35">
      <c r="A195" s="51"/>
      <c r="B195" s="68" t="s">
        <v>104</v>
      </c>
      <c r="C195" s="68"/>
      <c r="D195" s="68"/>
      <c r="E195" s="68"/>
      <c r="F195" s="184"/>
      <c r="G195" s="116">
        <f>G190</f>
        <v>2097</v>
      </c>
      <c r="H195" s="176">
        <f t="shared" ref="H195:L195" si="106">H190</f>
        <v>2172</v>
      </c>
      <c r="I195" s="176">
        <f t="shared" si="106"/>
        <v>2239.5</v>
      </c>
      <c r="J195" s="176">
        <f t="shared" si="106"/>
        <v>2302</v>
      </c>
      <c r="K195" s="176">
        <f t="shared" si="106"/>
        <v>2359.5</v>
      </c>
      <c r="L195" s="176">
        <f t="shared" si="106"/>
        <v>2412</v>
      </c>
    </row>
    <row r="196" spans="1:12" ht="16.2" thickBot="1" x14ac:dyDescent="0.4">
      <c r="A196" s="51"/>
      <c r="B196" s="75" t="s">
        <v>105</v>
      </c>
      <c r="C196" s="75"/>
      <c r="D196" s="75"/>
      <c r="E196" s="75"/>
      <c r="F196" s="200"/>
      <c r="G196" s="201">
        <f>G197*1000/G195</f>
        <v>904.72103004291841</v>
      </c>
      <c r="H196" s="202">
        <f t="shared" ref="H196:L196" si="107">H193</f>
        <v>936.38626609442053</v>
      </c>
      <c r="I196" s="202">
        <f t="shared" si="107"/>
        <v>969.15978540772517</v>
      </c>
      <c r="J196" s="202">
        <f t="shared" si="107"/>
        <v>1003.0803778969955</v>
      </c>
      <c r="K196" s="202">
        <f t="shared" si="107"/>
        <v>1038.1881911233902</v>
      </c>
      <c r="L196" s="202">
        <f t="shared" si="107"/>
        <v>1074.5247778127089</v>
      </c>
    </row>
    <row r="197" spans="1:12" ht="15.6" x14ac:dyDescent="0.35">
      <c r="A197" s="51"/>
      <c r="B197" s="73" t="s">
        <v>113</v>
      </c>
      <c r="C197" s="68"/>
      <c r="D197" s="68"/>
      <c r="E197" s="68"/>
      <c r="F197" s="173">
        <v>1781.7</v>
      </c>
      <c r="G197" s="173">
        <v>1897.2</v>
      </c>
      <c r="H197" s="174">
        <f t="shared" ref="H197:L197" si="108">(H196*H195)/1000</f>
        <v>2033.8309699570814</v>
      </c>
      <c r="I197" s="174">
        <f t="shared" si="108"/>
        <v>2170.4333394206005</v>
      </c>
      <c r="J197" s="174">
        <f t="shared" si="108"/>
        <v>2309.0910299188836</v>
      </c>
      <c r="K197" s="174">
        <f t="shared" si="108"/>
        <v>2449.6050369556392</v>
      </c>
      <c r="L197" s="174">
        <f t="shared" si="108"/>
        <v>2591.7537640842538</v>
      </c>
    </row>
    <row r="198" spans="1:12" ht="15.6" x14ac:dyDescent="0.35">
      <c r="A198" s="51"/>
      <c r="B198" s="68" t="s">
        <v>101</v>
      </c>
      <c r="C198" s="68"/>
      <c r="D198" s="68"/>
      <c r="E198" s="68"/>
      <c r="F198" s="184"/>
      <c r="G198" s="163">
        <f>(G197-F197)/F197</f>
        <v>6.4825728237076941E-2</v>
      </c>
      <c r="H198" s="163">
        <f>(H197-G197)/G197</f>
        <v>7.201716738197414E-2</v>
      </c>
      <c r="I198" s="163">
        <f t="shared" ref="I198:L198" si="109">(I197-H197)/H197</f>
        <v>6.716505524861871E-2</v>
      </c>
      <c r="J198" s="163">
        <f t="shared" si="109"/>
        <v>6.3884795713328779E-2</v>
      </c>
      <c r="K198" s="163">
        <f t="shared" si="109"/>
        <v>6.0852519548218839E-2</v>
      </c>
      <c r="L198" s="163">
        <f t="shared" si="109"/>
        <v>5.8029243483788948E-2</v>
      </c>
    </row>
    <row r="199" spans="1:12" ht="15.6" x14ac:dyDescent="0.35">
      <c r="A199" s="51"/>
      <c r="B199" s="68"/>
      <c r="C199" s="68"/>
      <c r="D199" s="68"/>
      <c r="E199" s="68"/>
      <c r="F199" s="167"/>
      <c r="G199" s="167"/>
      <c r="H199" s="168"/>
      <c r="I199" s="168"/>
      <c r="J199" s="168"/>
      <c r="K199" s="168"/>
      <c r="L199" s="168"/>
    </row>
    <row r="200" spans="1:12" ht="15.6" x14ac:dyDescent="0.35">
      <c r="A200" s="51"/>
      <c r="B200" s="94" t="s">
        <v>112</v>
      </c>
      <c r="C200" s="95"/>
      <c r="D200" s="96"/>
      <c r="E200" s="96"/>
      <c r="F200" s="97"/>
      <c r="G200" s="97"/>
      <c r="H200" s="98"/>
      <c r="I200" s="98"/>
      <c r="J200" s="98"/>
      <c r="K200" s="98"/>
      <c r="L200" s="99"/>
    </row>
    <row r="201" spans="1:12" ht="15.6" x14ac:dyDescent="0.35">
      <c r="A201" s="51"/>
      <c r="B201" s="68"/>
      <c r="C201" s="68"/>
      <c r="D201" s="68"/>
      <c r="E201" s="68"/>
      <c r="F201" s="160"/>
      <c r="G201" s="169"/>
      <c r="H201" s="169"/>
      <c r="I201" s="169"/>
      <c r="J201" s="169"/>
      <c r="K201" s="169"/>
      <c r="L201" s="169"/>
    </row>
    <row r="202" spans="1:12" ht="15.6" x14ac:dyDescent="0.35">
      <c r="A202" s="51"/>
      <c r="B202" s="68" t="s">
        <v>108</v>
      </c>
      <c r="C202" s="73"/>
      <c r="D202" s="73"/>
      <c r="E202" s="73"/>
      <c r="F202" s="188"/>
      <c r="G202" s="190">
        <f>F204</f>
        <v>561</v>
      </c>
      <c r="H202" s="190">
        <f t="shared" ref="H202:L202" si="110">G204</f>
        <v>602</v>
      </c>
      <c r="I202" s="190">
        <f t="shared" si="110"/>
        <v>637</v>
      </c>
      <c r="J202" s="190">
        <f t="shared" si="110"/>
        <v>667</v>
      </c>
      <c r="K202" s="190">
        <f t="shared" si="110"/>
        <v>692</v>
      </c>
      <c r="L202" s="190">
        <f t="shared" si="110"/>
        <v>717</v>
      </c>
    </row>
    <row r="203" spans="1:12" ht="15.6" x14ac:dyDescent="0.35">
      <c r="A203" s="51"/>
      <c r="B203" s="182" t="s">
        <v>103</v>
      </c>
      <c r="C203" s="182"/>
      <c r="D203" s="182"/>
      <c r="E203" s="182"/>
      <c r="F203" s="187"/>
      <c r="G203" s="191">
        <v>41</v>
      </c>
      <c r="H203" s="354">
        <v>35</v>
      </c>
      <c r="I203" s="354">
        <v>30</v>
      </c>
      <c r="J203" s="354">
        <v>25</v>
      </c>
      <c r="K203" s="354">
        <v>25</v>
      </c>
      <c r="L203" s="354">
        <v>25</v>
      </c>
    </row>
    <row r="204" spans="1:12" ht="15.6" x14ac:dyDescent="0.35">
      <c r="A204" s="51"/>
      <c r="B204" s="68" t="s">
        <v>102</v>
      </c>
      <c r="C204" s="68"/>
      <c r="D204" s="68"/>
      <c r="E204" s="68"/>
      <c r="F204" s="193">
        <v>561</v>
      </c>
      <c r="G204" s="116">
        <f>SUM(G202:G203)</f>
        <v>602</v>
      </c>
      <c r="H204" s="176">
        <f t="shared" ref="H204:L204" si="111">SUM(H202:H203)</f>
        <v>637</v>
      </c>
      <c r="I204" s="176">
        <f t="shared" si="111"/>
        <v>667</v>
      </c>
      <c r="J204" s="176">
        <f t="shared" si="111"/>
        <v>692</v>
      </c>
      <c r="K204" s="176">
        <f t="shared" si="111"/>
        <v>717</v>
      </c>
      <c r="L204" s="176">
        <f t="shared" si="111"/>
        <v>742</v>
      </c>
    </row>
    <row r="205" spans="1:12" ht="15.6" x14ac:dyDescent="0.35">
      <c r="A205" s="51"/>
      <c r="B205" s="68" t="s">
        <v>104</v>
      </c>
      <c r="C205" s="68"/>
      <c r="D205" s="68"/>
      <c r="E205" s="68"/>
      <c r="F205" s="170"/>
      <c r="G205" s="177">
        <f>AVERAGE(F204,G204)</f>
        <v>581.5</v>
      </c>
      <c r="H205" s="203">
        <f t="shared" ref="H205:L205" si="112">AVERAGE(G204,H204)</f>
        <v>619.5</v>
      </c>
      <c r="I205" s="203">
        <f t="shared" si="112"/>
        <v>652</v>
      </c>
      <c r="J205" s="203">
        <f t="shared" si="112"/>
        <v>679.5</v>
      </c>
      <c r="K205" s="203">
        <f t="shared" si="112"/>
        <v>704.5</v>
      </c>
      <c r="L205" s="203">
        <f t="shared" si="112"/>
        <v>729.5</v>
      </c>
    </row>
    <row r="206" spans="1:12" ht="15.6" x14ac:dyDescent="0.35">
      <c r="A206" s="51"/>
      <c r="B206" s="73"/>
      <c r="C206" s="73"/>
      <c r="D206" s="73"/>
      <c r="E206" s="73"/>
      <c r="F206" s="171"/>
      <c r="G206" s="171"/>
      <c r="H206" s="166"/>
      <c r="I206" s="166"/>
      <c r="J206" s="166"/>
      <c r="K206" s="166"/>
      <c r="L206" s="166"/>
    </row>
    <row r="207" spans="1:12" ht="15.6" x14ac:dyDescent="0.35">
      <c r="A207" s="51"/>
      <c r="B207" s="68" t="s">
        <v>106</v>
      </c>
      <c r="C207" s="73"/>
      <c r="D207" s="73"/>
      <c r="E207" s="73"/>
      <c r="F207" s="165"/>
      <c r="G207" s="165"/>
      <c r="H207" s="380">
        <f>Assumptions!H38</f>
        <v>0.06</v>
      </c>
      <c r="I207" s="380">
        <f>Assumptions!I38</f>
        <v>0.05</v>
      </c>
      <c r="J207" s="380">
        <f>Assumptions!J38</f>
        <v>4.4999999999999998E-2</v>
      </c>
      <c r="K207" s="380">
        <f>Assumptions!K38</f>
        <v>0.04</v>
      </c>
      <c r="L207" s="380">
        <f>Assumptions!L38</f>
        <v>0.04</v>
      </c>
    </row>
    <row r="208" spans="1:12" ht="15.6" x14ac:dyDescent="0.35">
      <c r="A208" s="51"/>
      <c r="B208" s="194" t="s">
        <v>110</v>
      </c>
      <c r="C208" s="86"/>
      <c r="D208" s="86"/>
      <c r="E208" s="86"/>
      <c r="F208" s="195"/>
      <c r="G208" s="196">
        <f>G212/G205*1000</f>
        <v>436.80137575236455</v>
      </c>
      <c r="H208" s="196">
        <f>G208*(1+H207)</f>
        <v>463.00945829750646</v>
      </c>
      <c r="I208" s="196">
        <f t="shared" ref="I208:L208" si="113">H208*(1+I207)</f>
        <v>486.15993121238182</v>
      </c>
      <c r="J208" s="196">
        <f t="shared" si="113"/>
        <v>508.03712811693896</v>
      </c>
      <c r="K208" s="196">
        <f t="shared" si="113"/>
        <v>528.35861324161658</v>
      </c>
      <c r="L208" s="196">
        <f t="shared" si="113"/>
        <v>549.49295777128123</v>
      </c>
    </row>
    <row r="209" spans="1:13" ht="15.6" x14ac:dyDescent="0.35">
      <c r="A209" s="51"/>
      <c r="B209" s="68"/>
      <c r="C209" s="68"/>
      <c r="D209" s="68"/>
      <c r="E209" s="68"/>
      <c r="F209" s="170"/>
      <c r="G209" s="170"/>
      <c r="H209" s="115"/>
      <c r="I209" s="115"/>
      <c r="J209" s="115"/>
      <c r="K209" s="115"/>
      <c r="L209" s="115"/>
    </row>
    <row r="210" spans="1:13" ht="15.6" x14ac:dyDescent="0.35">
      <c r="A210" s="51"/>
      <c r="B210" s="68" t="s">
        <v>104</v>
      </c>
      <c r="C210" s="68"/>
      <c r="D210" s="68"/>
      <c r="E210" s="68"/>
      <c r="F210" s="170"/>
      <c r="G210" s="177">
        <f>G205</f>
        <v>581.5</v>
      </c>
      <c r="H210" s="204">
        <f t="shared" ref="H210:L210" si="114">H205</f>
        <v>619.5</v>
      </c>
      <c r="I210" s="204">
        <f t="shared" si="114"/>
        <v>652</v>
      </c>
      <c r="J210" s="204">
        <f t="shared" si="114"/>
        <v>679.5</v>
      </c>
      <c r="K210" s="204">
        <f t="shared" si="114"/>
        <v>704.5</v>
      </c>
      <c r="L210" s="204">
        <f t="shared" si="114"/>
        <v>729.5</v>
      </c>
    </row>
    <row r="211" spans="1:13" ht="16.2" thickBot="1" x14ac:dyDescent="0.4">
      <c r="A211" s="51"/>
      <c r="B211" s="75" t="s">
        <v>109</v>
      </c>
      <c r="C211" s="75"/>
      <c r="D211" s="75"/>
      <c r="E211" s="75"/>
      <c r="F211" s="180"/>
      <c r="G211" s="201">
        <f>G208</f>
        <v>436.80137575236455</v>
      </c>
      <c r="H211" s="201">
        <f t="shared" ref="H211:L211" si="115">H208</f>
        <v>463.00945829750646</v>
      </c>
      <c r="I211" s="201">
        <f t="shared" si="115"/>
        <v>486.15993121238182</v>
      </c>
      <c r="J211" s="201">
        <f t="shared" si="115"/>
        <v>508.03712811693896</v>
      </c>
      <c r="K211" s="201">
        <f t="shared" si="115"/>
        <v>528.35861324161658</v>
      </c>
      <c r="L211" s="201">
        <f t="shared" si="115"/>
        <v>549.49295777128123</v>
      </c>
    </row>
    <row r="212" spans="1:13" ht="15.6" x14ac:dyDescent="0.35">
      <c r="A212" s="51"/>
      <c r="B212" s="73" t="s">
        <v>264</v>
      </c>
      <c r="C212" s="73"/>
      <c r="D212" s="73"/>
      <c r="E212" s="73"/>
      <c r="F212" s="173">
        <v>232.7</v>
      </c>
      <c r="G212" s="173">
        <v>254</v>
      </c>
      <c r="H212" s="174">
        <f>(H211*H210)/1000</f>
        <v>286.83435941530524</v>
      </c>
      <c r="I212" s="174">
        <f t="shared" ref="I212:L212" si="116">(I211*I210)/1000</f>
        <v>316.97627515047293</v>
      </c>
      <c r="J212" s="174">
        <f t="shared" si="116"/>
        <v>345.21122855545997</v>
      </c>
      <c r="K212" s="174">
        <f t="shared" si="116"/>
        <v>372.22864302871886</v>
      </c>
      <c r="L212" s="174">
        <f t="shared" si="116"/>
        <v>400.85511269414968</v>
      </c>
    </row>
    <row r="213" spans="1:13" ht="15.6" x14ac:dyDescent="0.35">
      <c r="A213" s="51"/>
      <c r="B213" s="68" t="s">
        <v>101</v>
      </c>
      <c r="C213" s="68"/>
      <c r="D213" s="68"/>
      <c r="E213" s="68"/>
      <c r="F213" s="172"/>
      <c r="G213" s="207">
        <f>(G212-F212)/F212</f>
        <v>9.1534164159862541E-2</v>
      </c>
      <c r="H213" s="207">
        <f t="shared" ref="H213:L213" si="117">(H212-G212)/G212</f>
        <v>0.12926913155631986</v>
      </c>
      <c r="I213" s="207">
        <f t="shared" si="117"/>
        <v>0.10508474576271191</v>
      </c>
      <c r="J213" s="207">
        <f t="shared" si="117"/>
        <v>8.9075920245398565E-2</v>
      </c>
      <c r="K213" s="207">
        <f t="shared" si="117"/>
        <v>7.8263428991906067E-2</v>
      </c>
      <c r="L213" s="207">
        <f t="shared" si="117"/>
        <v>7.6905606813342881E-2</v>
      </c>
    </row>
    <row r="214" spans="1:13" ht="15.6" x14ac:dyDescent="0.35">
      <c r="A214" s="51"/>
      <c r="B214" s="68"/>
      <c r="C214" s="68"/>
      <c r="D214" s="68"/>
      <c r="E214" s="68"/>
      <c r="F214" s="172"/>
      <c r="G214" s="119"/>
      <c r="H214" s="119"/>
      <c r="I214" s="119"/>
      <c r="J214" s="119"/>
      <c r="K214" s="119"/>
      <c r="L214" s="119"/>
    </row>
    <row r="215" spans="1:13" ht="15.6" x14ac:dyDescent="0.35">
      <c r="A215" s="51"/>
      <c r="B215" s="94" t="s">
        <v>15</v>
      </c>
      <c r="C215" s="95"/>
      <c r="D215" s="96"/>
      <c r="E215" s="96"/>
      <c r="F215" s="97"/>
      <c r="G215" s="97"/>
      <c r="H215" s="98"/>
      <c r="I215" s="98"/>
      <c r="J215" s="98"/>
      <c r="K215" s="98"/>
      <c r="L215" s="99"/>
    </row>
    <row r="216" spans="1:13" ht="15.6" x14ac:dyDescent="0.35">
      <c r="A216" s="51"/>
      <c r="B216" s="51"/>
      <c r="C216" s="51"/>
      <c r="D216" s="51"/>
      <c r="E216" s="51"/>
      <c r="F216" s="120"/>
      <c r="G216" s="120"/>
      <c r="H216" s="121"/>
      <c r="I216" s="121"/>
      <c r="J216" s="121"/>
      <c r="K216" s="121"/>
      <c r="L216" s="121"/>
    </row>
    <row r="217" spans="1:13" ht="15.6" x14ac:dyDescent="0.35">
      <c r="A217" s="51"/>
      <c r="B217" s="73" t="s">
        <v>15</v>
      </c>
      <c r="C217" s="68"/>
      <c r="D217" s="68"/>
      <c r="E217" s="68"/>
      <c r="F217" s="208">
        <f>F212+F197</f>
        <v>2014.4</v>
      </c>
      <c r="G217" s="208">
        <f t="shared" ref="G217:L217" si="118">G212+G197</f>
        <v>2151.1999999999998</v>
      </c>
      <c r="H217" s="208">
        <f t="shared" si="118"/>
        <v>2320.6653293723866</v>
      </c>
      <c r="I217" s="208">
        <f t="shared" si="118"/>
        <v>2487.4096145710737</v>
      </c>
      <c r="J217" s="208">
        <f t="shared" si="118"/>
        <v>2654.3022584743435</v>
      </c>
      <c r="K217" s="208">
        <f t="shared" si="118"/>
        <v>2821.8336799843582</v>
      </c>
      <c r="L217" s="208">
        <f t="shared" si="118"/>
        <v>2992.6088767784036</v>
      </c>
    </row>
    <row r="218" spans="1:13" ht="15.6" x14ac:dyDescent="0.35">
      <c r="A218" s="51"/>
      <c r="B218" s="68" t="s">
        <v>114</v>
      </c>
      <c r="C218" s="68"/>
      <c r="D218" s="68"/>
      <c r="E218" s="68"/>
      <c r="F218" s="125"/>
      <c r="G218" s="207">
        <f>(G217-F217)/F217</f>
        <v>6.7911040508339821E-2</v>
      </c>
      <c r="H218" s="207">
        <f t="shared" ref="H218:L218" si="119">(H217-G217)/G217</f>
        <v>7.8777114806799373E-2</v>
      </c>
      <c r="I218" s="207">
        <f t="shared" si="119"/>
        <v>7.1851931033839467E-2</v>
      </c>
      <c r="J218" s="207">
        <f t="shared" si="119"/>
        <v>6.709495811450765E-2</v>
      </c>
      <c r="K218" s="207">
        <f t="shared" si="119"/>
        <v>6.3116934394016416E-2</v>
      </c>
      <c r="L218" s="207">
        <f t="shared" si="119"/>
        <v>6.0519228332051075E-2</v>
      </c>
    </row>
    <row r="219" spans="1:13" ht="15.6" x14ac:dyDescent="0.35">
      <c r="A219" s="51"/>
      <c r="B219" s="105"/>
      <c r="C219" s="51"/>
      <c r="D219" s="51"/>
      <c r="E219" s="51"/>
      <c r="F219" s="205"/>
      <c r="G219" s="205"/>
      <c r="H219" s="206"/>
      <c r="I219" s="206"/>
      <c r="J219" s="206"/>
      <c r="K219" s="206"/>
      <c r="L219" s="206"/>
    </row>
    <row r="220" spans="1:13" ht="15.6" x14ac:dyDescent="0.35">
      <c r="A220" s="51"/>
      <c r="B220" s="73" t="s">
        <v>285</v>
      </c>
      <c r="C220" s="68"/>
      <c r="D220" s="68"/>
      <c r="E220" s="68"/>
      <c r="F220" s="179">
        <f>F204+F189</f>
        <v>2618</v>
      </c>
      <c r="G220" s="179">
        <f>G204+G189</f>
        <v>2739</v>
      </c>
      <c r="H220" s="179">
        <f t="shared" ref="H220:L220" si="120">H204+H189</f>
        <v>2844</v>
      </c>
      <c r="I220" s="179">
        <f t="shared" si="120"/>
        <v>2939</v>
      </c>
      <c r="J220" s="179">
        <f t="shared" si="120"/>
        <v>3024</v>
      </c>
      <c r="K220" s="179">
        <f t="shared" si="120"/>
        <v>3104</v>
      </c>
      <c r="L220" s="179">
        <f t="shared" si="120"/>
        <v>3179</v>
      </c>
    </row>
    <row r="221" spans="1:13" ht="15.6" x14ac:dyDescent="0.35">
      <c r="A221" s="51"/>
      <c r="B221" s="68" t="s">
        <v>286</v>
      </c>
      <c r="C221" s="68"/>
      <c r="D221" s="68"/>
      <c r="E221" s="68"/>
      <c r="F221" s="100"/>
      <c r="G221" s="133">
        <f>(G220-F220)/F220</f>
        <v>4.6218487394957986E-2</v>
      </c>
      <c r="H221" s="133">
        <f t="shared" ref="H221:L221" si="121">(H220-G220)/G220</f>
        <v>3.8335158817086525E-2</v>
      </c>
      <c r="I221" s="133">
        <f t="shared" si="121"/>
        <v>3.3403656821378337E-2</v>
      </c>
      <c r="J221" s="133">
        <f t="shared" si="121"/>
        <v>2.8921401837359646E-2</v>
      </c>
      <c r="K221" s="133">
        <f t="shared" si="121"/>
        <v>2.6455026455026454E-2</v>
      </c>
      <c r="L221" s="133">
        <f t="shared" si="121"/>
        <v>2.4162371134020619E-2</v>
      </c>
    </row>
    <row r="222" spans="1:13" ht="28.95" customHeight="1" x14ac:dyDescent="0.35">
      <c r="A222" s="51"/>
      <c r="B222" s="105"/>
      <c r="C222" s="105"/>
      <c r="D222" s="51"/>
      <c r="E222" s="51"/>
      <c r="F222" s="121"/>
      <c r="G222" s="121"/>
      <c r="H222" s="121"/>
      <c r="I222" s="121"/>
      <c r="J222" s="121"/>
      <c r="K222" s="121"/>
      <c r="L222" s="121"/>
    </row>
    <row r="223" spans="1:13" ht="28.8" customHeight="1" x14ac:dyDescent="0.65">
      <c r="A223" s="51"/>
      <c r="B223" s="52" t="str">
        <f>Cover!$B$2</f>
        <v>Greggs</v>
      </c>
      <c r="C223" s="52"/>
      <c r="D223" s="53"/>
      <c r="E223" s="54"/>
      <c r="F223" s="54"/>
      <c r="G223" s="54"/>
      <c r="H223" s="54"/>
      <c r="I223" s="54"/>
      <c r="J223" s="54"/>
      <c r="K223" s="54"/>
      <c r="L223" s="54"/>
      <c r="M223" s="5"/>
    </row>
    <row r="224" spans="1:13" ht="21" x14ac:dyDescent="0.5">
      <c r="A224" s="51"/>
      <c r="B224" s="55" t="s">
        <v>16</v>
      </c>
      <c r="C224" s="56"/>
      <c r="D224" s="54"/>
      <c r="E224" s="54"/>
      <c r="F224" s="54"/>
      <c r="G224" s="54"/>
      <c r="H224" s="54"/>
      <c r="I224" s="54"/>
      <c r="J224" s="54"/>
      <c r="K224" s="54"/>
      <c r="L224" s="377" t="str">
        <f>"Currently Running: "&amp;CHOOSE(Assumptions!$B$10,Assumptions!$F$15,Assumptions!$F$16,Assumptions!$F$17)&amp;"Scenario"</f>
        <v>Currently Running: Base Scenario</v>
      </c>
    </row>
    <row r="225" spans="1:12" ht="15.6" x14ac:dyDescent="0.35">
      <c r="A225" s="51"/>
      <c r="B225" s="57"/>
      <c r="C225" s="57"/>
      <c r="D225" s="57"/>
      <c r="E225" s="57"/>
      <c r="F225" s="57"/>
      <c r="G225" s="57"/>
      <c r="H225" s="57"/>
      <c r="I225" s="57"/>
      <c r="J225" s="57"/>
      <c r="K225" s="58"/>
      <c r="L225" s="58"/>
    </row>
    <row r="226" spans="1:12" ht="15.6" x14ac:dyDescent="0.35">
      <c r="A226" s="51"/>
      <c r="B226" s="58"/>
      <c r="C226" s="58"/>
      <c r="D226" s="58"/>
      <c r="E226" s="58"/>
      <c r="F226" s="59" t="s">
        <v>63</v>
      </c>
      <c r="G226" s="59"/>
      <c r="H226" s="59"/>
      <c r="I226" s="59"/>
      <c r="J226" s="59"/>
      <c r="K226" s="59"/>
      <c r="L226" s="59"/>
    </row>
    <row r="227" spans="1:12" ht="15.6" x14ac:dyDescent="0.35">
      <c r="A227" s="51"/>
      <c r="B227" s="58"/>
      <c r="C227" s="58"/>
      <c r="D227" s="58"/>
      <c r="E227" s="58"/>
      <c r="F227" s="60">
        <v>2024</v>
      </c>
      <c r="G227" s="60">
        <v>2025</v>
      </c>
      <c r="H227" s="61">
        <f>G227+1</f>
        <v>2026</v>
      </c>
      <c r="I227" s="61">
        <f t="shared" ref="I227" si="122">H227+1</f>
        <v>2027</v>
      </c>
      <c r="J227" s="61">
        <f t="shared" ref="J227" si="123">I227+1</f>
        <v>2028</v>
      </c>
      <c r="K227" s="61">
        <f t="shared" ref="K227" si="124">J227+1</f>
        <v>2029</v>
      </c>
      <c r="L227" s="61">
        <f t="shared" ref="L227" si="125">K227+1</f>
        <v>2030</v>
      </c>
    </row>
    <row r="228" spans="1:12" ht="16.2" thickBot="1" x14ac:dyDescent="0.4">
      <c r="A228" s="51"/>
      <c r="B228" s="62" t="s">
        <v>62</v>
      </c>
      <c r="C228" s="62"/>
      <c r="D228" s="62"/>
      <c r="E228" s="62"/>
      <c r="F228" s="63" t="s">
        <v>64</v>
      </c>
      <c r="G228" s="63"/>
      <c r="H228" s="64"/>
      <c r="I228" s="64"/>
      <c r="J228" s="64"/>
      <c r="K228" s="64"/>
      <c r="L228" s="64" t="s">
        <v>46</v>
      </c>
    </row>
    <row r="229" spans="1:12" ht="15.6" x14ac:dyDescent="0.35">
      <c r="A229" s="51"/>
      <c r="B229" s="58"/>
      <c r="C229" s="58"/>
      <c r="D229" s="58"/>
      <c r="E229" s="58"/>
      <c r="F229" s="92"/>
      <c r="G229" s="92"/>
      <c r="H229" s="93"/>
      <c r="I229" s="93"/>
      <c r="J229" s="93"/>
      <c r="K229" s="93"/>
      <c r="L229" s="93"/>
    </row>
    <row r="230" spans="1:12" ht="15.6" x14ac:dyDescent="0.35">
      <c r="A230" s="51"/>
      <c r="B230" s="94" t="s">
        <v>190</v>
      </c>
      <c r="C230" s="95"/>
      <c r="D230" s="96"/>
      <c r="E230" s="96"/>
      <c r="F230" s="97"/>
      <c r="G230" s="97"/>
      <c r="H230" s="98"/>
      <c r="I230" s="98"/>
      <c r="J230" s="98"/>
      <c r="K230" s="98"/>
      <c r="L230" s="99"/>
    </row>
    <row r="231" spans="1:12" ht="15.6" x14ac:dyDescent="0.35">
      <c r="A231" s="51"/>
      <c r="B231" s="105"/>
      <c r="C231" s="73"/>
      <c r="D231" s="68"/>
      <c r="E231" s="68"/>
      <c r="F231" s="100"/>
      <c r="G231" s="100"/>
      <c r="H231" s="101"/>
      <c r="I231" s="101"/>
      <c r="J231" s="101"/>
      <c r="K231" s="101"/>
      <c r="L231" s="101"/>
    </row>
    <row r="232" spans="1:12" ht="15.6" x14ac:dyDescent="0.35">
      <c r="A232" s="51"/>
      <c r="B232" s="68" t="s">
        <v>175</v>
      </c>
      <c r="C232" s="68"/>
      <c r="D232" s="68"/>
      <c r="E232" s="68"/>
      <c r="F232" s="100"/>
      <c r="G232" s="100"/>
      <c r="H232" s="328">
        <v>0.01</v>
      </c>
      <c r="I232" s="328">
        <v>0.01</v>
      </c>
      <c r="J232" s="328">
        <v>0.01</v>
      </c>
      <c r="K232" s="328">
        <v>0.01</v>
      </c>
      <c r="L232" s="328">
        <v>0.01</v>
      </c>
    </row>
    <row r="233" spans="1:12" ht="15.6" x14ac:dyDescent="0.35">
      <c r="A233" s="51"/>
      <c r="B233" s="68" t="s">
        <v>174</v>
      </c>
      <c r="C233" s="68"/>
      <c r="D233" s="68"/>
      <c r="E233" s="68"/>
      <c r="F233" s="175">
        <v>32258</v>
      </c>
      <c r="G233" s="175">
        <v>33283</v>
      </c>
      <c r="H233" s="116">
        <f>G233*(1+H232)</f>
        <v>33615.83</v>
      </c>
      <c r="I233" s="116">
        <f t="shared" ref="I233:L233" si="126">H233*(1+I232)</f>
        <v>33951.988300000005</v>
      </c>
      <c r="J233" s="116">
        <f t="shared" si="126"/>
        <v>34291.508183000005</v>
      </c>
      <c r="K233" s="116">
        <f t="shared" si="126"/>
        <v>34634.423264830002</v>
      </c>
      <c r="L233" s="116">
        <f t="shared" si="126"/>
        <v>34980.7674974783</v>
      </c>
    </row>
    <row r="234" spans="1:12" ht="15.6" x14ac:dyDescent="0.35">
      <c r="A234" s="51"/>
      <c r="B234" s="139" t="s">
        <v>177</v>
      </c>
      <c r="C234" s="139"/>
      <c r="D234" s="139"/>
      <c r="E234" s="139"/>
      <c r="F234" s="266"/>
      <c r="G234" s="267"/>
      <c r="H234" s="381">
        <f>Assumptions!H14</f>
        <v>0.04</v>
      </c>
      <c r="I234" s="381">
        <f>Assumptions!I14</f>
        <v>0.04</v>
      </c>
      <c r="J234" s="381">
        <f>Assumptions!J14</f>
        <v>3.5000000000000003E-2</v>
      </c>
      <c r="K234" s="381">
        <f>Assumptions!K14</f>
        <v>0.03</v>
      </c>
      <c r="L234" s="381">
        <f>Assumptions!L14</f>
        <v>2.5000000000000001E-2</v>
      </c>
    </row>
    <row r="235" spans="1:12" ht="15.6" x14ac:dyDescent="0.35">
      <c r="A235" s="51"/>
      <c r="B235" s="68" t="s">
        <v>176</v>
      </c>
      <c r="C235" s="68"/>
      <c r="D235" s="68"/>
      <c r="E235" s="68"/>
      <c r="F235" s="265">
        <f>(F236*1000000)/F233</f>
        <v>21284.642569285137</v>
      </c>
      <c r="G235" s="265">
        <f>(G236*1000000)/G233</f>
        <v>22726.316738274796</v>
      </c>
      <c r="H235" s="265">
        <f>G235*(1+H234)</f>
        <v>23635.369407805789</v>
      </c>
      <c r="I235" s="265">
        <f t="shared" ref="I235:L235" si="127">H235*(1+I234)</f>
        <v>24580.78418411802</v>
      </c>
      <c r="J235" s="265">
        <f t="shared" si="127"/>
        <v>25441.111630562147</v>
      </c>
      <c r="K235" s="265">
        <f t="shared" si="127"/>
        <v>26204.344979479014</v>
      </c>
      <c r="L235" s="265">
        <f t="shared" si="127"/>
        <v>26859.453603965987</v>
      </c>
    </row>
    <row r="236" spans="1:12" ht="15.6" x14ac:dyDescent="0.35">
      <c r="A236" s="51"/>
      <c r="B236" s="268" t="s">
        <v>115</v>
      </c>
      <c r="C236" s="268"/>
      <c r="D236" s="268"/>
      <c r="E236" s="268"/>
      <c r="F236" s="223">
        <v>686.6</v>
      </c>
      <c r="G236" s="223">
        <v>756.4</v>
      </c>
      <c r="H236" s="269">
        <f>(H235*H233)/1000000</f>
        <v>794.52256000000011</v>
      </c>
      <c r="I236" s="269">
        <f>(I235*I233)/1000000</f>
        <v>834.56649702400011</v>
      </c>
      <c r="J236" s="269">
        <f>(J235*J233)/1000000</f>
        <v>872.41408766403856</v>
      </c>
      <c r="K236" s="269">
        <f>(K235*K233)/1000000</f>
        <v>907.57237539689925</v>
      </c>
      <c r="L236" s="269">
        <f>(L235*L233)/1000000</f>
        <v>939.56430162963977</v>
      </c>
    </row>
    <row r="237" spans="1:12" ht="15.6" x14ac:dyDescent="0.35">
      <c r="A237" s="51"/>
      <c r="B237" s="270"/>
      <c r="C237" s="270"/>
      <c r="D237" s="270"/>
      <c r="E237" s="270"/>
      <c r="F237" s="100"/>
      <c r="G237" s="100"/>
      <c r="H237" s="125"/>
      <c r="I237" s="125"/>
      <c r="J237" s="125"/>
      <c r="K237" s="125"/>
      <c r="L237" s="125"/>
    </row>
    <row r="238" spans="1:12" ht="15.6" x14ac:dyDescent="0.35">
      <c r="A238" s="51"/>
      <c r="B238" s="270" t="s">
        <v>286</v>
      </c>
      <c r="C238" s="270"/>
      <c r="D238" s="270"/>
      <c r="E238" s="270"/>
      <c r="F238" s="100"/>
      <c r="G238" s="272">
        <f>G221</f>
        <v>4.6218487394957986E-2</v>
      </c>
      <c r="H238" s="272">
        <f t="shared" ref="H238:L238" si="128">H221</f>
        <v>3.8335158817086525E-2</v>
      </c>
      <c r="I238" s="272">
        <f t="shared" si="128"/>
        <v>3.3403656821378337E-2</v>
      </c>
      <c r="J238" s="272">
        <f t="shared" si="128"/>
        <v>2.8921401837359646E-2</v>
      </c>
      <c r="K238" s="272">
        <f t="shared" si="128"/>
        <v>2.6455026455026454E-2</v>
      </c>
      <c r="L238" s="272">
        <f t="shared" si="128"/>
        <v>2.4162371134020619E-2</v>
      </c>
    </row>
    <row r="239" spans="1:12" ht="15.6" x14ac:dyDescent="0.35">
      <c r="A239" s="51"/>
      <c r="B239" s="273" t="s">
        <v>178</v>
      </c>
      <c r="C239" s="273"/>
      <c r="D239" s="273"/>
      <c r="E239" s="273"/>
      <c r="F239" s="274"/>
      <c r="G239" s="274"/>
      <c r="H239" s="382">
        <f>Assumptions!H19</f>
        <v>0.04</v>
      </c>
      <c r="I239" s="382">
        <f>Assumptions!I19</f>
        <v>0.04</v>
      </c>
      <c r="J239" s="382">
        <f>Assumptions!J19</f>
        <v>3.5000000000000003E-2</v>
      </c>
      <c r="K239" s="382">
        <f>Assumptions!K19</f>
        <v>0.03</v>
      </c>
      <c r="L239" s="382">
        <f>Assumptions!L19</f>
        <v>2.5000000000000001E-2</v>
      </c>
    </row>
    <row r="240" spans="1:12" ht="15.6" x14ac:dyDescent="0.35">
      <c r="A240" s="51"/>
      <c r="B240" s="68" t="s">
        <v>116</v>
      </c>
      <c r="C240" s="68"/>
      <c r="D240" s="68"/>
      <c r="E240" s="73"/>
      <c r="F240" s="100">
        <v>613.20000000000005</v>
      </c>
      <c r="G240" s="100">
        <v>670.9</v>
      </c>
      <c r="H240" s="125">
        <f>G240*(1+H238)*(1+H239)</f>
        <v>724.48382037239878</v>
      </c>
      <c r="I240" s="125">
        <f t="shared" ref="I240:L240" si="129">H240*(1+I238)*(1+I239)</f>
        <v>778.63159845198982</v>
      </c>
      <c r="J240" s="125">
        <f t="shared" si="129"/>
        <v>829.19099084687832</v>
      </c>
      <c r="K240" s="125">
        <f t="shared" si="129"/>
        <v>876.66107825938218</v>
      </c>
      <c r="L240" s="125">
        <f t="shared" si="129"/>
        <v>920.28937080581193</v>
      </c>
    </row>
    <row r="241" spans="1:12" ht="15.6" x14ac:dyDescent="0.35">
      <c r="A241" s="51"/>
      <c r="B241" s="68"/>
      <c r="C241" s="68"/>
      <c r="D241" s="68"/>
      <c r="E241" s="73"/>
      <c r="F241" s="100"/>
      <c r="G241" s="100"/>
      <c r="H241" s="178"/>
      <c r="I241" s="178"/>
      <c r="J241" s="178"/>
      <c r="K241" s="178"/>
      <c r="L241" s="178"/>
    </row>
    <row r="242" spans="1:12" ht="15.6" x14ac:dyDescent="0.35">
      <c r="A242" s="51"/>
      <c r="B242" s="68" t="s">
        <v>179</v>
      </c>
      <c r="C242" s="68"/>
      <c r="D242" s="68"/>
      <c r="E242" s="68"/>
      <c r="F242" s="101">
        <f>F385</f>
        <v>76.599999999999994</v>
      </c>
      <c r="G242" s="101">
        <f t="shared" ref="G242:L242" si="130">G385</f>
        <v>90.7</v>
      </c>
      <c r="H242" s="101">
        <f t="shared" si="130"/>
        <v>92.492661317489549</v>
      </c>
      <c r="I242" s="101">
        <f t="shared" si="130"/>
        <v>110.48125628597786</v>
      </c>
      <c r="J242" s="101">
        <f t="shared" si="130"/>
        <v>127.15009671239966</v>
      </c>
      <c r="K242" s="101">
        <f t="shared" si="130"/>
        <v>142.87304610777966</v>
      </c>
      <c r="L242" s="101">
        <f t="shared" si="130"/>
        <v>158.86276313887726</v>
      </c>
    </row>
    <row r="243" spans="1:12" ht="15.6" x14ac:dyDescent="0.35">
      <c r="A243" s="51"/>
      <c r="B243" s="68" t="s">
        <v>180</v>
      </c>
      <c r="C243" s="68"/>
      <c r="D243" s="68"/>
      <c r="E243" s="68"/>
      <c r="F243" s="101">
        <f>F407</f>
        <v>4.2</v>
      </c>
      <c r="G243" s="101">
        <f t="shared" ref="G243:L243" si="131">G407</f>
        <v>4.7</v>
      </c>
      <c r="H243" s="101">
        <f t="shared" si="131"/>
        <v>10.34049899702929</v>
      </c>
      <c r="I243" s="101">
        <f t="shared" si="131"/>
        <v>13.946555204986884</v>
      </c>
      <c r="J243" s="101">
        <f t="shared" si="131"/>
        <v>17.80283910977095</v>
      </c>
      <c r="K243" s="101">
        <f t="shared" si="131"/>
        <v>21.909941063614973</v>
      </c>
      <c r="L243" s="101">
        <f t="shared" si="131"/>
        <v>26.270772981187044</v>
      </c>
    </row>
    <row r="244" spans="1:12" ht="15.6" x14ac:dyDescent="0.35">
      <c r="A244" s="51"/>
      <c r="B244" s="80" t="s">
        <v>181</v>
      </c>
      <c r="C244" s="80"/>
      <c r="D244" s="80"/>
      <c r="E244" s="80"/>
      <c r="F244" s="276">
        <f>F331/1000000</f>
        <v>59.2</v>
      </c>
      <c r="G244" s="276">
        <f>G331/1000000</f>
        <v>65.2</v>
      </c>
      <c r="H244" s="276">
        <f>H331/1000000</f>
        <v>44.274999999999999</v>
      </c>
      <c r="I244" s="276">
        <f t="shared" ref="I244:L244" si="132">I331/1000000</f>
        <v>50.150624999999998</v>
      </c>
      <c r="J244" s="276">
        <f t="shared" si="132"/>
        <v>55.862625000000001</v>
      </c>
      <c r="K244" s="276">
        <f t="shared" si="132"/>
        <v>61.379948437499998</v>
      </c>
      <c r="L244" s="276">
        <f t="shared" si="132"/>
        <v>66.668847656249994</v>
      </c>
    </row>
    <row r="245" spans="1:12" ht="15.6" x14ac:dyDescent="0.35">
      <c r="A245" s="51"/>
      <c r="B245" s="68" t="s">
        <v>182</v>
      </c>
      <c r="C245" s="68"/>
      <c r="D245" s="68"/>
      <c r="E245" s="68"/>
      <c r="F245" s="101">
        <f>SUM(F242:F244)</f>
        <v>140</v>
      </c>
      <c r="G245" s="101">
        <f t="shared" ref="G245:L245" si="133">SUM(G242:G244)</f>
        <v>160.60000000000002</v>
      </c>
      <c r="H245" s="101">
        <f t="shared" si="133"/>
        <v>147.10816031451884</v>
      </c>
      <c r="I245" s="101">
        <f t="shared" si="133"/>
        <v>174.57843649096475</v>
      </c>
      <c r="J245" s="101">
        <f t="shared" si="133"/>
        <v>200.81556082217062</v>
      </c>
      <c r="K245" s="101">
        <f t="shared" si="133"/>
        <v>226.16293560889463</v>
      </c>
      <c r="L245" s="101">
        <f t="shared" si="133"/>
        <v>251.80238377631429</v>
      </c>
    </row>
    <row r="246" spans="1:12" ht="15.6" x14ac:dyDescent="0.35">
      <c r="A246" s="51"/>
      <c r="B246" s="68"/>
      <c r="C246" s="68"/>
      <c r="D246" s="68"/>
      <c r="E246" s="68"/>
      <c r="F246" s="101"/>
      <c r="G246" s="101"/>
      <c r="H246" s="101"/>
      <c r="I246" s="101"/>
      <c r="J246" s="101"/>
      <c r="K246" s="101"/>
      <c r="L246" s="101"/>
    </row>
    <row r="247" spans="1:12" ht="15.6" x14ac:dyDescent="0.35">
      <c r="A247" s="51"/>
      <c r="B247" s="68"/>
      <c r="C247" s="68"/>
      <c r="D247" s="68"/>
      <c r="E247" s="68"/>
      <c r="F247" s="101"/>
      <c r="G247" s="101"/>
      <c r="H247" s="101"/>
      <c r="I247" s="101"/>
      <c r="J247" s="101"/>
      <c r="K247" s="101"/>
      <c r="L247" s="101"/>
    </row>
    <row r="248" spans="1:12" ht="15.6" x14ac:dyDescent="0.35">
      <c r="A248" s="51"/>
      <c r="B248" s="68" t="s">
        <v>186</v>
      </c>
      <c r="C248" s="68"/>
      <c r="D248" s="68"/>
      <c r="E248" s="68"/>
      <c r="F248" s="101"/>
      <c r="G248" s="101"/>
      <c r="H248" s="393">
        <f>Assumptions!H24</f>
        <v>0.04</v>
      </c>
      <c r="I248" s="393">
        <f>Assumptions!I24</f>
        <v>0.04</v>
      </c>
      <c r="J248" s="393">
        <f>Assumptions!J24</f>
        <v>3.5000000000000003E-2</v>
      </c>
      <c r="K248" s="393">
        <f>Assumptions!K24</f>
        <v>0.03</v>
      </c>
      <c r="L248" s="393">
        <f>Assumptions!L24</f>
        <v>2.5000000000000001E-2</v>
      </c>
    </row>
    <row r="249" spans="1:12" ht="15.6" x14ac:dyDescent="0.35">
      <c r="A249" s="51"/>
      <c r="B249" s="80" t="s">
        <v>286</v>
      </c>
      <c r="C249" s="80"/>
      <c r="D249" s="80"/>
      <c r="E249" s="80"/>
      <c r="F249" s="276"/>
      <c r="G249" s="276"/>
      <c r="H249" s="279">
        <f>H221</f>
        <v>3.8335158817086525E-2</v>
      </c>
      <c r="I249" s="279">
        <f t="shared" ref="I249:L249" si="134">I221</f>
        <v>3.3403656821378337E-2</v>
      </c>
      <c r="J249" s="279">
        <f t="shared" si="134"/>
        <v>2.8921401837359646E-2</v>
      </c>
      <c r="K249" s="279">
        <f t="shared" si="134"/>
        <v>2.6455026455026454E-2</v>
      </c>
      <c r="L249" s="279">
        <f t="shared" si="134"/>
        <v>2.4162371134020619E-2</v>
      </c>
    </row>
    <row r="250" spans="1:12" ht="15.6" x14ac:dyDescent="0.35">
      <c r="A250" s="51"/>
      <c r="B250" s="68" t="s">
        <v>184</v>
      </c>
      <c r="C250" s="68"/>
      <c r="D250" s="68"/>
      <c r="E250" s="68"/>
      <c r="F250" s="101">
        <f>F253-F245-F240-F236</f>
        <v>378.99999999999989</v>
      </c>
      <c r="G250" s="101">
        <f>G253-G245-G240-G236</f>
        <v>379.6</v>
      </c>
      <c r="H250" s="101">
        <f>G250*(1+H248)*(H249+1)</f>
        <v>409.91810733844477</v>
      </c>
      <c r="I250" s="101">
        <f t="shared" ref="I250:L250" si="135">H250*(1+I248)*(I249+1)</f>
        <v>440.55530596568099</v>
      </c>
      <c r="J250" s="101">
        <f t="shared" si="135"/>
        <v>469.16217040613367</v>
      </c>
      <c r="K250" s="101">
        <f t="shared" si="135"/>
        <v>496.02108407700337</v>
      </c>
      <c r="L250" s="101">
        <f t="shared" si="135"/>
        <v>520.70628284079044</v>
      </c>
    </row>
    <row r="251" spans="1:12" ht="15.6" x14ac:dyDescent="0.35">
      <c r="A251" s="51"/>
      <c r="B251" s="68"/>
      <c r="C251" s="68"/>
      <c r="D251" s="68"/>
      <c r="E251" s="68"/>
      <c r="F251" s="101"/>
      <c r="G251" s="101"/>
      <c r="H251" s="178"/>
      <c r="I251" s="178"/>
      <c r="J251" s="178"/>
      <c r="K251" s="178"/>
      <c r="L251" s="178"/>
    </row>
    <row r="252" spans="1:12" ht="16.2" thickBot="1" x14ac:dyDescent="0.4">
      <c r="A252" s="51"/>
      <c r="B252" s="75"/>
      <c r="C252" s="75"/>
      <c r="D252" s="75"/>
      <c r="E252" s="75"/>
      <c r="F252" s="278"/>
      <c r="G252" s="278"/>
      <c r="H252" s="277"/>
      <c r="I252" s="277"/>
      <c r="J252" s="277"/>
      <c r="K252" s="277"/>
      <c r="L252" s="277"/>
    </row>
    <row r="253" spans="1:12" ht="15.6" x14ac:dyDescent="0.35">
      <c r="A253" s="51"/>
      <c r="B253" s="68" t="s">
        <v>185</v>
      </c>
      <c r="C253" s="68"/>
      <c r="D253" s="68"/>
      <c r="E253" s="68"/>
      <c r="F253" s="125">
        <f>-(SUM(F15:F16)+F11)</f>
        <v>1818.8</v>
      </c>
      <c r="G253" s="125">
        <f>-(SUM(G15:G16)+G11)</f>
        <v>1967.5</v>
      </c>
      <c r="H253" s="125">
        <f>H250+H245+H240+H236</f>
        <v>2076.0326480253625</v>
      </c>
      <c r="I253" s="125">
        <f>I250+I245+I240+I236</f>
        <v>2228.3318379326356</v>
      </c>
      <c r="J253" s="125">
        <f t="shared" ref="J253:L253" si="136">J250+J245+J240+J236</f>
        <v>2371.5828097392214</v>
      </c>
      <c r="K253" s="125">
        <f t="shared" si="136"/>
        <v>2506.4174733421792</v>
      </c>
      <c r="L253" s="125">
        <f t="shared" si="136"/>
        <v>2632.3623390525563</v>
      </c>
    </row>
    <row r="254" spans="1:12" ht="15.6" x14ac:dyDescent="0.35">
      <c r="A254" s="51"/>
      <c r="B254" s="68"/>
      <c r="C254" s="68"/>
      <c r="D254" s="68"/>
      <c r="E254" s="68"/>
      <c r="F254" s="125"/>
      <c r="G254" s="125"/>
      <c r="H254" s="125"/>
      <c r="I254" s="125"/>
      <c r="J254" s="125"/>
      <c r="K254" s="125"/>
      <c r="L254" s="125"/>
    </row>
    <row r="255" spans="1:12" ht="15.6" x14ac:dyDescent="0.35">
      <c r="A255" s="51"/>
      <c r="B255" s="68"/>
      <c r="C255" s="68"/>
      <c r="D255" s="68"/>
      <c r="E255" s="68"/>
      <c r="F255" s="125"/>
      <c r="G255" s="125"/>
      <c r="H255" s="125"/>
      <c r="I255" s="125"/>
      <c r="J255" s="125"/>
      <c r="K255" s="125"/>
      <c r="L255" s="125"/>
    </row>
    <row r="256" spans="1:12" ht="15.6" x14ac:dyDescent="0.35">
      <c r="A256" s="51"/>
      <c r="B256" s="94" t="s">
        <v>187</v>
      </c>
      <c r="C256" s="95"/>
      <c r="D256" s="96"/>
      <c r="E256" s="96"/>
      <c r="F256" s="97"/>
      <c r="G256" s="97"/>
      <c r="H256" s="98"/>
      <c r="I256" s="98"/>
      <c r="J256" s="98"/>
      <c r="K256" s="98"/>
      <c r="L256" s="99"/>
    </row>
    <row r="257" spans="1:12" ht="15.6" x14ac:dyDescent="0.35">
      <c r="A257" s="51"/>
      <c r="B257" s="68"/>
      <c r="C257" s="68"/>
      <c r="D257" s="68"/>
      <c r="E257" s="68"/>
      <c r="F257" s="100"/>
      <c r="G257" s="100"/>
      <c r="H257" s="178"/>
      <c r="I257" s="178"/>
      <c r="J257" s="178"/>
      <c r="K257" s="178"/>
      <c r="L257" s="178"/>
    </row>
    <row r="258" spans="1:12" ht="15.6" x14ac:dyDescent="0.35">
      <c r="A258" s="51"/>
      <c r="B258" s="68" t="s">
        <v>188</v>
      </c>
      <c r="C258" s="68"/>
      <c r="D258" s="68"/>
      <c r="E258" s="68"/>
      <c r="F258" s="100"/>
      <c r="G258" s="100"/>
      <c r="H258" s="178"/>
      <c r="I258" s="178"/>
      <c r="J258" s="178"/>
      <c r="K258" s="178"/>
      <c r="L258" s="178"/>
    </row>
    <row r="259" spans="1:12" ht="15.6" x14ac:dyDescent="0.35">
      <c r="A259" s="51"/>
      <c r="B259" s="144" t="s">
        <v>166</v>
      </c>
      <c r="C259" s="68"/>
      <c r="D259" s="68"/>
      <c r="E259" s="68"/>
      <c r="F259" s="133">
        <f>ABS(F11)/F253</f>
        <v>0.42379590939080714</v>
      </c>
      <c r="G259" s="133">
        <f>ABS(G11)/G253</f>
        <v>0.4213977128335451</v>
      </c>
      <c r="H259" s="281">
        <f>G259</f>
        <v>0.4213977128335451</v>
      </c>
      <c r="I259" s="281">
        <f t="shared" ref="I259:L259" si="137">H259</f>
        <v>0.4213977128335451</v>
      </c>
      <c r="J259" s="281">
        <f t="shared" si="137"/>
        <v>0.4213977128335451</v>
      </c>
      <c r="K259" s="281">
        <f t="shared" si="137"/>
        <v>0.4213977128335451</v>
      </c>
      <c r="L259" s="281">
        <f t="shared" si="137"/>
        <v>0.4213977128335451</v>
      </c>
    </row>
    <row r="260" spans="1:12" ht="15.6" x14ac:dyDescent="0.35">
      <c r="A260" s="51"/>
      <c r="B260" s="144" t="s">
        <v>58</v>
      </c>
      <c r="C260" s="68"/>
      <c r="D260" s="68"/>
      <c r="E260" s="68"/>
      <c r="F260" s="133">
        <f>ABS(F15)/F253</f>
        <v>0.52237739168682651</v>
      </c>
      <c r="G260" s="133">
        <f>ABS(G15)/G253</f>
        <v>0.52670902160101651</v>
      </c>
      <c r="H260" s="281">
        <f>G260</f>
        <v>0.52670902160101651</v>
      </c>
      <c r="I260" s="281">
        <f t="shared" ref="I260:L260" si="138">H260</f>
        <v>0.52670902160101651</v>
      </c>
      <c r="J260" s="281">
        <f t="shared" si="138"/>
        <v>0.52670902160101651</v>
      </c>
      <c r="K260" s="281">
        <f t="shared" si="138"/>
        <v>0.52670902160101651</v>
      </c>
      <c r="L260" s="281">
        <f t="shared" si="138"/>
        <v>0.52670902160101651</v>
      </c>
    </row>
    <row r="261" spans="1:12" ht="15.6" x14ac:dyDescent="0.35">
      <c r="A261" s="51"/>
      <c r="B261" s="144" t="s">
        <v>59</v>
      </c>
      <c r="C261" s="68"/>
      <c r="D261" s="68"/>
      <c r="E261" s="68"/>
      <c r="F261" s="207">
        <f>ABS(F16)/F253</f>
        <v>5.3826698922366398E-2</v>
      </c>
      <c r="G261" s="207">
        <f>ABS(G16)/G253</f>
        <v>5.1893265565438371E-2</v>
      </c>
      <c r="H261" s="282">
        <f>G261</f>
        <v>5.1893265565438371E-2</v>
      </c>
      <c r="I261" s="282">
        <f t="shared" ref="I261:L261" si="139">H261</f>
        <v>5.1893265565438371E-2</v>
      </c>
      <c r="J261" s="282">
        <f t="shared" si="139"/>
        <v>5.1893265565438371E-2</v>
      </c>
      <c r="K261" s="282">
        <f t="shared" si="139"/>
        <v>5.1893265565438371E-2</v>
      </c>
      <c r="L261" s="282">
        <f t="shared" si="139"/>
        <v>5.1893265565438371E-2</v>
      </c>
    </row>
    <row r="262" spans="1:12" ht="15.6" x14ac:dyDescent="0.35">
      <c r="A262" s="51"/>
      <c r="B262" s="68"/>
      <c r="C262" s="68"/>
      <c r="D262" s="68"/>
      <c r="E262" s="68"/>
      <c r="F262" s="100"/>
      <c r="G262" s="100"/>
      <c r="H262" s="178"/>
      <c r="I262" s="178"/>
      <c r="J262" s="178"/>
      <c r="K262" s="178"/>
      <c r="L262" s="178"/>
    </row>
    <row r="263" spans="1:12" ht="15.6" x14ac:dyDescent="0.35">
      <c r="A263" s="51"/>
      <c r="B263" s="68" t="s">
        <v>189</v>
      </c>
      <c r="C263" s="68"/>
      <c r="D263" s="68"/>
      <c r="E263" s="68"/>
      <c r="F263" s="100"/>
      <c r="G263" s="100"/>
      <c r="H263" s="178"/>
      <c r="I263" s="178"/>
      <c r="J263" s="178"/>
      <c r="K263" s="178"/>
      <c r="L263" s="178"/>
    </row>
    <row r="264" spans="1:12" ht="15.6" x14ac:dyDescent="0.35">
      <c r="A264" s="51"/>
      <c r="B264" s="144" t="s">
        <v>166</v>
      </c>
      <c r="C264" s="68"/>
      <c r="D264" s="68"/>
      <c r="E264" s="68"/>
      <c r="F264" s="100"/>
      <c r="G264" s="100"/>
      <c r="H264" s="101">
        <f>H259*H253</f>
        <v>874.83540964565589</v>
      </c>
      <c r="I264" s="101">
        <f t="shared" ref="I264:L264" si="140">I259*I253</f>
        <v>939.0139399389825</v>
      </c>
      <c r="J264" s="101">
        <f t="shared" si="140"/>
        <v>999.37957181946047</v>
      </c>
      <c r="K264" s="101">
        <f t="shared" si="140"/>
        <v>1056.1985906724274</v>
      </c>
      <c r="L264" s="101">
        <f t="shared" si="140"/>
        <v>1109.2714690259081</v>
      </c>
    </row>
    <row r="265" spans="1:12" ht="15.6" x14ac:dyDescent="0.35">
      <c r="A265" s="51"/>
      <c r="B265" s="144" t="s">
        <v>58</v>
      </c>
      <c r="C265" s="68"/>
      <c r="D265" s="68"/>
      <c r="E265" s="68"/>
      <c r="F265" s="100"/>
      <c r="G265" s="100"/>
      <c r="H265" s="101">
        <f>H253*H260</f>
        <v>1093.4651248532061</v>
      </c>
      <c r="I265" s="101">
        <f t="shared" ref="I265:L265" si="141">I253*I260</f>
        <v>1173.6824821598934</v>
      </c>
      <c r="J265" s="101">
        <f t="shared" si="141"/>
        <v>1249.134061363535</v>
      </c>
      <c r="K265" s="101">
        <f t="shared" si="141"/>
        <v>1320.152695107751</v>
      </c>
      <c r="L265" s="101">
        <f t="shared" si="141"/>
        <v>1386.4889921017352</v>
      </c>
    </row>
    <row r="266" spans="1:12" ht="15.6" x14ac:dyDescent="0.35">
      <c r="A266" s="51"/>
      <c r="B266" s="144" t="s">
        <v>59</v>
      </c>
      <c r="C266" s="68"/>
      <c r="D266" s="68"/>
      <c r="E266" s="68"/>
      <c r="F266" s="100"/>
      <c r="G266" s="100"/>
      <c r="H266" s="101">
        <f t="shared" ref="H266:L266" si="142">H261*H253</f>
        <v>107.73211352650038</v>
      </c>
      <c r="I266" s="101">
        <f t="shared" si="142"/>
        <v>115.63541583375964</v>
      </c>
      <c r="J266" s="101">
        <f t="shared" si="142"/>
        <v>123.06917655622591</v>
      </c>
      <c r="K266" s="101">
        <f t="shared" si="142"/>
        <v>130.06618756200075</v>
      </c>
      <c r="L266" s="101">
        <f t="shared" si="142"/>
        <v>136.60187792491283</v>
      </c>
    </row>
    <row r="267" spans="1:12" ht="15.6" x14ac:dyDescent="0.35">
      <c r="A267" s="51"/>
      <c r="B267" s="68"/>
      <c r="C267" s="68"/>
      <c r="D267" s="68"/>
      <c r="E267" s="68"/>
      <c r="F267" s="100"/>
      <c r="G267" s="100"/>
      <c r="H267" s="178"/>
      <c r="I267" s="178"/>
      <c r="J267" s="178"/>
      <c r="K267" s="178"/>
      <c r="L267" s="178"/>
    </row>
    <row r="268" spans="1:12" ht="15.6" x14ac:dyDescent="0.35">
      <c r="A268" s="51"/>
      <c r="B268" s="73"/>
      <c r="C268" s="73"/>
      <c r="D268" s="73"/>
      <c r="E268" s="73"/>
      <c r="F268" s="197"/>
      <c r="G268" s="179"/>
      <c r="H268" s="179"/>
      <c r="I268" s="179"/>
      <c r="J268" s="179"/>
      <c r="K268" s="179"/>
      <c r="L268" s="179"/>
    </row>
    <row r="269" spans="1:12" ht="28.8" x14ac:dyDescent="0.65">
      <c r="A269" s="51"/>
      <c r="B269" s="52" t="str">
        <f>Cover!$B$2</f>
        <v>Greggs</v>
      </c>
      <c r="C269" s="52"/>
      <c r="D269" s="53"/>
      <c r="E269" s="54"/>
      <c r="F269" s="54"/>
      <c r="G269" s="54"/>
      <c r="H269" s="54"/>
      <c r="I269" s="54"/>
      <c r="J269" s="54"/>
      <c r="K269" s="54"/>
      <c r="L269" s="54"/>
    </row>
    <row r="270" spans="1:12" ht="21" x14ac:dyDescent="0.5">
      <c r="A270" s="51"/>
      <c r="B270" s="55" t="s">
        <v>25</v>
      </c>
      <c r="C270" s="56"/>
      <c r="D270" s="54"/>
      <c r="E270" s="54"/>
      <c r="F270" s="54"/>
      <c r="G270" s="54"/>
      <c r="H270" s="54"/>
      <c r="I270" s="54"/>
      <c r="J270" s="54"/>
      <c r="K270" s="54"/>
      <c r="L270" s="377" t="str">
        <f>"Currently Running: "&amp;CHOOSE(Assumptions!$B$10,Assumptions!$F$15,Assumptions!$F$16,Assumptions!$F$17)&amp;"Scenario"</f>
        <v>Currently Running: Base Scenario</v>
      </c>
    </row>
    <row r="271" spans="1:12" ht="15.6" x14ac:dyDescent="0.35">
      <c r="A271" s="51"/>
      <c r="B271" s="57"/>
      <c r="C271" s="57"/>
      <c r="D271" s="57"/>
      <c r="E271" s="57"/>
      <c r="F271" s="57"/>
      <c r="G271" s="57"/>
      <c r="H271" s="57"/>
      <c r="I271" s="57"/>
      <c r="J271" s="57"/>
      <c r="K271" s="58"/>
      <c r="L271" s="58"/>
    </row>
    <row r="272" spans="1:12" ht="15.6" x14ac:dyDescent="0.35">
      <c r="A272" s="51"/>
      <c r="B272" s="58"/>
      <c r="C272" s="58"/>
      <c r="D272" s="58"/>
      <c r="E272" s="58"/>
      <c r="F272" s="59" t="s">
        <v>63</v>
      </c>
      <c r="G272" s="59"/>
      <c r="H272" s="59"/>
      <c r="I272" s="59"/>
      <c r="J272" s="59"/>
      <c r="K272" s="59"/>
      <c r="L272" s="59"/>
    </row>
    <row r="273" spans="1:12" ht="15.6" x14ac:dyDescent="0.35">
      <c r="A273" s="51"/>
      <c r="B273" s="58"/>
      <c r="C273" s="58"/>
      <c r="D273" s="58"/>
      <c r="E273" s="58"/>
      <c r="F273" s="60">
        <v>2024</v>
      </c>
      <c r="G273" s="60">
        <v>2025</v>
      </c>
      <c r="H273" s="61">
        <f>G273+1</f>
        <v>2026</v>
      </c>
      <c r="I273" s="61">
        <f t="shared" ref="I273" si="143">H273+1</f>
        <v>2027</v>
      </c>
      <c r="J273" s="61">
        <f t="shared" ref="J273" si="144">I273+1</f>
        <v>2028</v>
      </c>
      <c r="K273" s="61">
        <f t="shared" ref="K273" si="145">J273+1</f>
        <v>2029</v>
      </c>
      <c r="L273" s="61">
        <f t="shared" ref="L273" si="146">K273+1</f>
        <v>2030</v>
      </c>
    </row>
    <row r="274" spans="1:12" ht="16.2" thickBot="1" x14ac:dyDescent="0.4">
      <c r="A274" s="51"/>
      <c r="B274" s="62" t="s">
        <v>62</v>
      </c>
      <c r="C274" s="62"/>
      <c r="D274" s="62"/>
      <c r="E274" s="62"/>
      <c r="F274" s="63" t="s">
        <v>64</v>
      </c>
      <c r="G274" s="63"/>
      <c r="H274" s="64"/>
      <c r="I274" s="64"/>
      <c r="J274" s="64"/>
      <c r="K274" s="64"/>
      <c r="L274" s="64" t="s">
        <v>46</v>
      </c>
    </row>
    <row r="275" spans="1:12" ht="15.6" x14ac:dyDescent="0.35">
      <c r="A275" s="51"/>
      <c r="B275" s="68"/>
      <c r="C275" s="68"/>
      <c r="D275" s="73"/>
      <c r="E275" s="73"/>
      <c r="F275" s="197"/>
      <c r="G275" s="179"/>
      <c r="H275" s="165"/>
      <c r="I275" s="165"/>
      <c r="J275" s="165"/>
      <c r="K275" s="165"/>
      <c r="L275" s="165"/>
    </row>
    <row r="276" spans="1:12" ht="15.6" x14ac:dyDescent="0.35">
      <c r="A276" s="51"/>
      <c r="B276" s="68" t="s">
        <v>161</v>
      </c>
      <c r="C276" s="73"/>
      <c r="D276" s="73"/>
      <c r="E276" s="73"/>
      <c r="F276" s="198"/>
      <c r="G276" s="259">
        <v>365</v>
      </c>
      <c r="H276" s="189"/>
      <c r="I276" s="189"/>
      <c r="J276" s="189"/>
      <c r="K276" s="189"/>
      <c r="L276" s="189"/>
    </row>
    <row r="277" spans="1:12" ht="15.6" x14ac:dyDescent="0.35">
      <c r="A277" s="51"/>
      <c r="B277" s="73"/>
      <c r="C277" s="73"/>
      <c r="D277" s="73"/>
      <c r="E277" s="73"/>
      <c r="F277" s="198"/>
      <c r="G277" s="166"/>
      <c r="H277" s="189"/>
      <c r="I277" s="189"/>
      <c r="J277" s="189"/>
      <c r="K277" s="189"/>
      <c r="L277" s="189"/>
    </row>
    <row r="278" spans="1:12" ht="15.6" x14ac:dyDescent="0.35">
      <c r="A278" s="51"/>
      <c r="B278" s="94" t="s">
        <v>162</v>
      </c>
      <c r="C278" s="95"/>
      <c r="D278" s="96"/>
      <c r="E278" s="96"/>
      <c r="F278" s="97"/>
      <c r="G278" s="97"/>
      <c r="H278" s="98"/>
      <c r="I278" s="98"/>
      <c r="J278" s="98"/>
      <c r="K278" s="98"/>
      <c r="L278" s="99"/>
    </row>
    <row r="279" spans="1:12" ht="15.6" x14ac:dyDescent="0.35">
      <c r="A279" s="51"/>
      <c r="B279" s="68"/>
      <c r="C279" s="68"/>
      <c r="D279" s="68"/>
      <c r="E279" s="68"/>
      <c r="F279" s="101"/>
      <c r="G279" s="163"/>
      <c r="H279" s="199"/>
      <c r="I279" s="199"/>
      <c r="J279" s="199"/>
      <c r="K279" s="199"/>
      <c r="L279" s="199"/>
    </row>
    <row r="280" spans="1:12" ht="15.6" x14ac:dyDescent="0.35">
      <c r="A280" s="51"/>
      <c r="B280" s="144" t="s">
        <v>66</v>
      </c>
      <c r="C280" s="68"/>
      <c r="D280" s="68"/>
      <c r="E280" s="68"/>
      <c r="F280" s="101">
        <f>F55</f>
        <v>62.4</v>
      </c>
      <c r="G280" s="101">
        <f>G55</f>
        <v>69.400000000000006</v>
      </c>
      <c r="H280" s="101">
        <f>H294*H291</f>
        <v>74.867131767591886</v>
      </c>
      <c r="I280" s="101">
        <f t="shared" ref="I280:L280" si="147">I294*I291</f>
        <v>80.246479756058264</v>
      </c>
      <c r="J280" s="101">
        <f t="shared" si="147"/>
        <v>85.630613954127682</v>
      </c>
      <c r="K280" s="101">
        <f t="shared" si="147"/>
        <v>91.035355797189709</v>
      </c>
      <c r="L280" s="101">
        <f t="shared" si="147"/>
        <v>96.544745280969337</v>
      </c>
    </row>
    <row r="281" spans="1:12" ht="15.6" x14ac:dyDescent="0.35">
      <c r="A281" s="51"/>
      <c r="B281" s="144" t="s">
        <v>26</v>
      </c>
      <c r="C281" s="68"/>
      <c r="D281" s="68"/>
      <c r="E281" s="68"/>
      <c r="F281" s="101">
        <f>F54</f>
        <v>55.2</v>
      </c>
      <c r="G281" s="101">
        <f>G54</f>
        <v>55.7</v>
      </c>
      <c r="H281" s="101">
        <f>ABS(H295*H292)</f>
        <v>58.772563402801879</v>
      </c>
      <c r="I281" s="101">
        <f t="shared" ref="I281:L281" si="148">ABS(I295*I292)</f>
        <v>63.084159274636747</v>
      </c>
      <c r="J281" s="101">
        <f t="shared" si="148"/>
        <v>67.139599747128159</v>
      </c>
      <c r="K281" s="101">
        <f t="shared" si="148"/>
        <v>70.956774213549878</v>
      </c>
      <c r="L281" s="101">
        <f t="shared" si="148"/>
        <v>74.522278162758511</v>
      </c>
    </row>
    <row r="282" spans="1:12" ht="15.6" x14ac:dyDescent="0.35">
      <c r="A282" s="51"/>
      <c r="B282" s="147" t="s">
        <v>163</v>
      </c>
      <c r="C282" s="147"/>
      <c r="D282" s="147"/>
      <c r="E282" s="146"/>
      <c r="F282" s="241">
        <f>SUM(F280:F281)</f>
        <v>117.6</v>
      </c>
      <c r="G282" s="241">
        <f t="shared" ref="G282:L282" si="149">SUM(G280:G281)</f>
        <v>125.10000000000001</v>
      </c>
      <c r="H282" s="241">
        <f t="shared" si="149"/>
        <v>133.63969517039376</v>
      </c>
      <c r="I282" s="241">
        <f t="shared" si="149"/>
        <v>143.33063903069501</v>
      </c>
      <c r="J282" s="241">
        <f t="shared" si="149"/>
        <v>152.77021370125584</v>
      </c>
      <c r="K282" s="241">
        <f t="shared" si="149"/>
        <v>161.99213001073957</v>
      </c>
      <c r="L282" s="241">
        <f t="shared" si="149"/>
        <v>171.06702344372786</v>
      </c>
    </row>
    <row r="283" spans="1:12" ht="15.6" x14ac:dyDescent="0.35">
      <c r="A283" s="51"/>
      <c r="B283" s="145" t="s">
        <v>14</v>
      </c>
      <c r="C283" s="257"/>
      <c r="D283" s="257"/>
      <c r="E283" s="257"/>
      <c r="F283" s="254">
        <f>-F68</f>
        <v>243.9</v>
      </c>
      <c r="G283" s="254">
        <f>-G68</f>
        <v>272.8</v>
      </c>
      <c r="H283" s="254">
        <f>H296*ABS(H292)</f>
        <v>287.8483895203654</v>
      </c>
      <c r="I283" s="254">
        <f t="shared" ref="I283:L283" si="150">I296*ABS(I292)</f>
        <v>308.96514632173978</v>
      </c>
      <c r="J283" s="254">
        <f t="shared" si="150"/>
        <v>328.82733951555764</v>
      </c>
      <c r="K283" s="254">
        <f t="shared" si="150"/>
        <v>347.52258537623715</v>
      </c>
      <c r="L283" s="254">
        <f t="shared" si="150"/>
        <v>364.98523308439002</v>
      </c>
    </row>
    <row r="284" spans="1:12" ht="16.2" thickBot="1" x14ac:dyDescent="0.4">
      <c r="A284" s="51"/>
      <c r="B284" s="313" t="s">
        <v>164</v>
      </c>
      <c r="C284" s="314"/>
      <c r="D284" s="314"/>
      <c r="E284" s="314"/>
      <c r="F284" s="315">
        <f>SUM(F283)</f>
        <v>243.9</v>
      </c>
      <c r="G284" s="315">
        <f t="shared" ref="G284:L284" si="151">SUM(G283)</f>
        <v>272.8</v>
      </c>
      <c r="H284" s="315">
        <f t="shared" si="151"/>
        <v>287.8483895203654</v>
      </c>
      <c r="I284" s="315">
        <f t="shared" si="151"/>
        <v>308.96514632173978</v>
      </c>
      <c r="J284" s="315">
        <f t="shared" si="151"/>
        <v>328.82733951555764</v>
      </c>
      <c r="K284" s="315">
        <f t="shared" si="151"/>
        <v>347.52258537623715</v>
      </c>
      <c r="L284" s="315">
        <f t="shared" si="151"/>
        <v>364.98523308439002</v>
      </c>
    </row>
    <row r="285" spans="1:12" ht="15.6" x14ac:dyDescent="0.35">
      <c r="A285" s="51"/>
      <c r="B285" s="68" t="s">
        <v>162</v>
      </c>
      <c r="C285" s="73"/>
      <c r="D285" s="73"/>
      <c r="E285" s="73"/>
      <c r="F285" s="101"/>
      <c r="G285" s="101">
        <f>G282-G284</f>
        <v>-147.69999999999999</v>
      </c>
      <c r="H285" s="101">
        <f>H282-H284</f>
        <v>-154.20869434997164</v>
      </c>
      <c r="I285" s="101">
        <f t="shared" ref="I285:L285" si="152">I282-I284</f>
        <v>-165.63450729104477</v>
      </c>
      <c r="J285" s="101">
        <f t="shared" si="152"/>
        <v>-176.0571258143018</v>
      </c>
      <c r="K285" s="101">
        <f t="shared" si="152"/>
        <v>-185.53045536549757</v>
      </c>
      <c r="L285" s="101">
        <f t="shared" si="152"/>
        <v>-193.91820964066216</v>
      </c>
    </row>
    <row r="286" spans="1:12" ht="15.6" x14ac:dyDescent="0.35">
      <c r="A286" s="51"/>
      <c r="B286" s="68" t="s">
        <v>27</v>
      </c>
      <c r="C286" s="73"/>
      <c r="D286" s="73"/>
      <c r="E286" s="73"/>
      <c r="F286" s="101"/>
      <c r="G286" s="101"/>
      <c r="H286" s="101">
        <f>G285-H285</f>
        <v>6.5086943499716483</v>
      </c>
      <c r="I286" s="101">
        <f t="shared" ref="I286:L286" si="153">H285-I285</f>
        <v>11.425812941073133</v>
      </c>
      <c r="J286" s="101">
        <f t="shared" si="153"/>
        <v>10.422618523257029</v>
      </c>
      <c r="K286" s="101">
        <f t="shared" si="153"/>
        <v>9.4733295511957749</v>
      </c>
      <c r="L286" s="101">
        <f t="shared" si="153"/>
        <v>8.3877542751645819</v>
      </c>
    </row>
    <row r="287" spans="1:12" ht="15.6" x14ac:dyDescent="0.35">
      <c r="A287" s="51"/>
      <c r="B287" s="68"/>
      <c r="C287" s="73"/>
      <c r="D287" s="73"/>
      <c r="E287" s="73"/>
      <c r="F287" s="101"/>
      <c r="G287" s="101"/>
      <c r="H287" s="101"/>
      <c r="I287" s="101"/>
      <c r="J287" s="101"/>
      <c r="K287" s="101"/>
      <c r="L287" s="101"/>
    </row>
    <row r="288" spans="1:12" ht="15.6" x14ac:dyDescent="0.35">
      <c r="A288" s="51"/>
      <c r="B288" s="68"/>
      <c r="C288" s="68"/>
      <c r="D288" s="68"/>
      <c r="E288" s="68"/>
      <c r="F288" s="122"/>
      <c r="G288" s="123"/>
      <c r="H288" s="118"/>
      <c r="I288" s="118"/>
      <c r="J288" s="118"/>
      <c r="K288" s="118"/>
      <c r="L288" s="118"/>
    </row>
    <row r="289" spans="1:12" ht="15.6" x14ac:dyDescent="0.35">
      <c r="A289" s="51"/>
      <c r="B289" s="94" t="s">
        <v>165</v>
      </c>
      <c r="C289" s="95"/>
      <c r="D289" s="96"/>
      <c r="E289" s="96"/>
      <c r="F289" s="97"/>
      <c r="G289" s="97"/>
      <c r="H289" s="98"/>
      <c r="I289" s="98"/>
      <c r="J289" s="98"/>
      <c r="K289" s="98"/>
      <c r="L289" s="99"/>
    </row>
    <row r="290" spans="1:12" ht="15.6" x14ac:dyDescent="0.35">
      <c r="A290" s="51"/>
      <c r="B290" s="68"/>
      <c r="C290" s="68"/>
      <c r="D290" s="68"/>
      <c r="E290" s="68"/>
      <c r="F290" s="122"/>
      <c r="G290" s="123"/>
      <c r="H290" s="118"/>
      <c r="I290" s="118"/>
      <c r="J290" s="118"/>
      <c r="K290" s="118"/>
      <c r="L290" s="118"/>
    </row>
    <row r="291" spans="1:12" ht="15.6" x14ac:dyDescent="0.35">
      <c r="A291" s="51"/>
      <c r="B291" s="68" t="s">
        <v>10</v>
      </c>
      <c r="C291" s="68"/>
      <c r="D291" s="68"/>
      <c r="E291" s="68"/>
      <c r="F291" s="122">
        <f t="shared" ref="F291:L292" si="154">F10</f>
        <v>2014.4</v>
      </c>
      <c r="G291" s="122">
        <f t="shared" si="154"/>
        <v>2151.1999999999998</v>
      </c>
      <c r="H291" s="122">
        <f t="shared" si="154"/>
        <v>2320.6653293723866</v>
      </c>
      <c r="I291" s="122">
        <f t="shared" si="154"/>
        <v>2487.4096145710737</v>
      </c>
      <c r="J291" s="122">
        <f t="shared" si="154"/>
        <v>2654.3022584743435</v>
      </c>
      <c r="K291" s="122">
        <f t="shared" si="154"/>
        <v>2821.8336799843582</v>
      </c>
      <c r="L291" s="122">
        <f t="shared" si="154"/>
        <v>2992.6088767784036</v>
      </c>
    </row>
    <row r="292" spans="1:12" ht="15.6" x14ac:dyDescent="0.35">
      <c r="A292" s="51"/>
      <c r="B292" s="68" t="s">
        <v>166</v>
      </c>
      <c r="C292" s="68"/>
      <c r="D292" s="68"/>
      <c r="E292" s="68"/>
      <c r="F292" s="122">
        <f t="shared" si="154"/>
        <v>-770.8</v>
      </c>
      <c r="G292" s="122">
        <f t="shared" si="154"/>
        <v>-829.1</v>
      </c>
      <c r="H292" s="122">
        <f t="shared" si="154"/>
        <v>-874.83540964565589</v>
      </c>
      <c r="I292" s="122">
        <f t="shared" si="154"/>
        <v>-939.0139399389825</v>
      </c>
      <c r="J292" s="122">
        <f t="shared" si="154"/>
        <v>-999.37957181946047</v>
      </c>
      <c r="K292" s="122">
        <f t="shared" si="154"/>
        <v>-1056.1985906724274</v>
      </c>
      <c r="L292" s="122">
        <f t="shared" si="154"/>
        <v>-1109.2714690259081</v>
      </c>
    </row>
    <row r="293" spans="1:12" ht="15.6" x14ac:dyDescent="0.35">
      <c r="A293" s="51"/>
      <c r="B293" s="68"/>
      <c r="C293" s="68"/>
      <c r="D293" s="68"/>
      <c r="E293" s="68"/>
      <c r="F293" s="122"/>
      <c r="G293" s="123"/>
      <c r="H293" s="118"/>
      <c r="I293" s="118"/>
      <c r="J293" s="118"/>
      <c r="K293" s="118"/>
      <c r="L293" s="118"/>
    </row>
    <row r="294" spans="1:12" ht="15.6" x14ac:dyDescent="0.35">
      <c r="A294" s="51"/>
      <c r="B294" s="68" t="s">
        <v>167</v>
      </c>
      <c r="C294" s="68"/>
      <c r="D294" s="68"/>
      <c r="E294" s="68"/>
      <c r="F294" s="260">
        <f>F280/F291</f>
        <v>3.0976965845909449E-2</v>
      </c>
      <c r="G294" s="261">
        <f>G280/G291</f>
        <v>3.2261063592413541E-2</v>
      </c>
      <c r="H294" s="262">
        <f>G294</f>
        <v>3.2261063592413541E-2</v>
      </c>
      <c r="I294" s="262">
        <f t="shared" ref="I294:L294" si="155">H294</f>
        <v>3.2261063592413541E-2</v>
      </c>
      <c r="J294" s="262">
        <f t="shared" si="155"/>
        <v>3.2261063592413541E-2</v>
      </c>
      <c r="K294" s="262">
        <f t="shared" si="155"/>
        <v>3.2261063592413541E-2</v>
      </c>
      <c r="L294" s="262">
        <f t="shared" si="155"/>
        <v>3.2261063592413541E-2</v>
      </c>
    </row>
    <row r="295" spans="1:12" ht="15.6" x14ac:dyDescent="0.35">
      <c r="A295" s="51"/>
      <c r="B295" s="68" t="s">
        <v>168</v>
      </c>
      <c r="C295" s="68"/>
      <c r="D295" s="68"/>
      <c r="E295" s="68"/>
      <c r="F295" s="260">
        <f>F281/ABS(F292)</f>
        <v>7.1613907628438001E-2</v>
      </c>
      <c r="G295" s="261">
        <f>G281/ABS(G292)</f>
        <v>6.7181280907007604E-2</v>
      </c>
      <c r="H295" s="262">
        <f>G295</f>
        <v>6.7181280907007604E-2</v>
      </c>
      <c r="I295" s="262">
        <f t="shared" ref="I295:L296" si="156">H295</f>
        <v>6.7181280907007604E-2</v>
      </c>
      <c r="J295" s="262">
        <f t="shared" si="156"/>
        <v>6.7181280907007604E-2</v>
      </c>
      <c r="K295" s="262">
        <f t="shared" si="156"/>
        <v>6.7181280907007604E-2</v>
      </c>
      <c r="L295" s="262">
        <f t="shared" si="156"/>
        <v>6.7181280907007604E-2</v>
      </c>
    </row>
    <row r="296" spans="1:12" ht="15.6" x14ac:dyDescent="0.35">
      <c r="A296" s="51"/>
      <c r="B296" s="68" t="s">
        <v>169</v>
      </c>
      <c r="C296" s="51"/>
      <c r="D296" s="51"/>
      <c r="E296" s="51"/>
      <c r="F296" s="207">
        <f>F283/ABS(F292)</f>
        <v>0.31642449403217437</v>
      </c>
      <c r="G296" s="207">
        <f>G283/ABS(G292)</f>
        <v>0.32903147991798337</v>
      </c>
      <c r="H296" s="281">
        <f>G296</f>
        <v>0.32903147991798337</v>
      </c>
      <c r="I296" s="281">
        <f t="shared" si="156"/>
        <v>0.32903147991798337</v>
      </c>
      <c r="J296" s="281">
        <f t="shared" si="156"/>
        <v>0.32903147991798337</v>
      </c>
      <c r="K296" s="281">
        <f t="shared" si="156"/>
        <v>0.32903147991798337</v>
      </c>
      <c r="L296" s="281">
        <f t="shared" si="156"/>
        <v>0.32903147991798337</v>
      </c>
    </row>
    <row r="297" spans="1:12" ht="15.6" x14ac:dyDescent="0.35">
      <c r="A297" s="51"/>
      <c r="B297" s="68"/>
      <c r="C297" s="51"/>
      <c r="D297" s="51"/>
      <c r="E297" s="51"/>
      <c r="F297" s="120"/>
      <c r="G297" s="124"/>
      <c r="H297" s="121"/>
      <c r="I297" s="121"/>
      <c r="J297" s="121"/>
      <c r="K297" s="121"/>
      <c r="L297" s="121"/>
    </row>
    <row r="298" spans="1:12" ht="15.6" x14ac:dyDescent="0.35">
      <c r="A298" s="51"/>
      <c r="B298" s="68" t="s">
        <v>170</v>
      </c>
      <c r="C298" s="51"/>
      <c r="D298" s="51"/>
      <c r="E298" s="51"/>
      <c r="F298" s="263">
        <f t="shared" ref="F298:L298" si="157">F280/F291*$G$276</f>
        <v>11.306592533756948</v>
      </c>
      <c r="G298" s="263">
        <f t="shared" si="157"/>
        <v>11.775288211230942</v>
      </c>
      <c r="H298" s="263">
        <f t="shared" si="157"/>
        <v>11.775288211230942</v>
      </c>
      <c r="I298" s="263">
        <f t="shared" si="157"/>
        <v>11.775288211230942</v>
      </c>
      <c r="J298" s="263">
        <f t="shared" si="157"/>
        <v>11.775288211230942</v>
      </c>
      <c r="K298" s="263">
        <f t="shared" si="157"/>
        <v>11.775288211230942</v>
      </c>
      <c r="L298" s="263">
        <f t="shared" si="157"/>
        <v>11.775288211230942</v>
      </c>
    </row>
    <row r="299" spans="1:12" ht="15.6" x14ac:dyDescent="0.35">
      <c r="A299" s="51"/>
      <c r="B299" s="68" t="s">
        <v>171</v>
      </c>
      <c r="C299" s="51"/>
      <c r="D299" s="51"/>
      <c r="E299" s="51"/>
      <c r="F299" s="263">
        <f>F281/ABS(F292)*G276</f>
        <v>26.139076284379872</v>
      </c>
      <c r="G299" s="263">
        <f>G281/ABS(G292)*G276</f>
        <v>24.521167531057774</v>
      </c>
      <c r="H299" s="263">
        <f>G299</f>
        <v>24.521167531057774</v>
      </c>
      <c r="I299" s="263">
        <f t="shared" ref="I299:L299" si="158">H299</f>
        <v>24.521167531057774</v>
      </c>
      <c r="J299" s="263">
        <f t="shared" si="158"/>
        <v>24.521167531057774</v>
      </c>
      <c r="K299" s="263">
        <f t="shared" si="158"/>
        <v>24.521167531057774</v>
      </c>
      <c r="L299" s="263">
        <f t="shared" si="158"/>
        <v>24.521167531057774</v>
      </c>
    </row>
    <row r="300" spans="1:12" ht="15.6" x14ac:dyDescent="0.35">
      <c r="A300" s="51"/>
      <c r="B300" s="68" t="s">
        <v>172</v>
      </c>
      <c r="C300" s="51"/>
      <c r="D300" s="51"/>
      <c r="E300" s="51"/>
      <c r="F300" s="263">
        <f t="shared" ref="F300:L300" si="159">F283/ABS(F292)*$G$276</f>
        <v>115.49494032174364</v>
      </c>
      <c r="G300" s="263">
        <f t="shared" si="159"/>
        <v>120.09649017006393</v>
      </c>
      <c r="H300" s="263">
        <f t="shared" si="159"/>
        <v>120.09649017006393</v>
      </c>
      <c r="I300" s="263">
        <f t="shared" si="159"/>
        <v>120.09649017006393</v>
      </c>
      <c r="J300" s="263">
        <f t="shared" si="159"/>
        <v>120.09649017006393</v>
      </c>
      <c r="K300" s="263">
        <f t="shared" si="159"/>
        <v>120.09649017006393</v>
      </c>
      <c r="L300" s="263">
        <f t="shared" si="159"/>
        <v>120.09649017006393</v>
      </c>
    </row>
    <row r="301" spans="1:12" ht="15.6" x14ac:dyDescent="0.35">
      <c r="A301" s="51"/>
      <c r="B301" s="68"/>
      <c r="C301" s="51"/>
      <c r="D301" s="51"/>
      <c r="E301" s="51"/>
      <c r="F301" s="120"/>
      <c r="G301" s="124"/>
      <c r="H301" s="121"/>
      <c r="I301" s="121"/>
      <c r="J301" s="121"/>
      <c r="K301" s="121"/>
      <c r="L301" s="121"/>
    </row>
    <row r="302" spans="1:12" ht="15.6" x14ac:dyDescent="0.35">
      <c r="A302" s="51"/>
      <c r="B302" s="68"/>
      <c r="C302" s="51"/>
      <c r="D302" s="51"/>
      <c r="E302" s="51"/>
      <c r="F302" s="120"/>
      <c r="G302" s="124"/>
      <c r="H302" s="121"/>
      <c r="I302" s="121"/>
      <c r="J302" s="121"/>
      <c r="K302" s="121"/>
      <c r="L302" s="121"/>
    </row>
    <row r="303" spans="1:12" ht="15.6" x14ac:dyDescent="0.35">
      <c r="A303" s="51"/>
      <c r="B303" s="68"/>
      <c r="C303" s="51"/>
      <c r="D303" s="51"/>
      <c r="E303" s="51"/>
      <c r="F303" s="120"/>
      <c r="G303" s="124"/>
      <c r="H303" s="121"/>
      <c r="I303" s="121"/>
      <c r="J303" s="121"/>
      <c r="K303" s="121"/>
      <c r="L303" s="121"/>
    </row>
    <row r="304" spans="1:12" ht="15.6" x14ac:dyDescent="0.35">
      <c r="A304" s="51"/>
      <c r="B304" s="51"/>
      <c r="C304" s="51"/>
      <c r="D304" s="51"/>
      <c r="E304" s="51"/>
      <c r="F304" s="120"/>
      <c r="G304" s="120"/>
      <c r="H304" s="121"/>
      <c r="I304" s="121"/>
      <c r="J304" s="121"/>
      <c r="K304" s="51"/>
      <c r="L304" s="51"/>
    </row>
    <row r="305" spans="1:12" ht="28.8" x14ac:dyDescent="0.65">
      <c r="A305" s="51"/>
      <c r="B305" s="52" t="str">
        <f>Cover!$B$2</f>
        <v>Greggs</v>
      </c>
      <c r="C305" s="52"/>
      <c r="D305" s="53"/>
      <c r="E305" s="54"/>
      <c r="F305" s="54"/>
      <c r="G305" s="54"/>
      <c r="H305" s="54"/>
      <c r="I305" s="54"/>
      <c r="J305" s="54"/>
      <c r="K305" s="54"/>
      <c r="L305" s="54"/>
    </row>
    <row r="306" spans="1:12" ht="21" x14ac:dyDescent="0.5">
      <c r="A306" s="51"/>
      <c r="B306" s="55" t="s">
        <v>117</v>
      </c>
      <c r="C306" s="56"/>
      <c r="D306" s="54"/>
      <c r="E306" s="54"/>
      <c r="F306" s="54"/>
      <c r="G306" s="54"/>
      <c r="H306" s="54"/>
      <c r="I306" s="54"/>
      <c r="J306" s="54"/>
      <c r="K306" s="54"/>
      <c r="L306" s="377" t="str">
        <f>"Currently Running: "&amp;CHOOSE(Assumptions!$B$10,Assumptions!$F$15,Assumptions!$F$16,Assumptions!$F$17)&amp;"Scenario"</f>
        <v>Currently Running: Base Scenario</v>
      </c>
    </row>
    <row r="307" spans="1:12" ht="15.6" x14ac:dyDescent="0.35">
      <c r="A307" s="51"/>
      <c r="B307" s="57"/>
      <c r="C307" s="57"/>
      <c r="D307" s="57"/>
      <c r="E307" s="57"/>
      <c r="F307" s="57"/>
      <c r="G307" s="57"/>
      <c r="H307" s="57"/>
      <c r="I307" s="57"/>
      <c r="J307" s="57"/>
      <c r="K307" s="58"/>
      <c r="L307" s="58"/>
    </row>
    <row r="308" spans="1:12" ht="15.6" x14ac:dyDescent="0.35">
      <c r="A308" s="51"/>
      <c r="B308" s="58"/>
      <c r="C308" s="58"/>
      <c r="D308" s="58"/>
      <c r="E308" s="58"/>
      <c r="F308" s="59" t="s">
        <v>63</v>
      </c>
      <c r="G308" s="59"/>
      <c r="H308" s="59"/>
      <c r="I308" s="59"/>
      <c r="J308" s="59"/>
      <c r="K308" s="59"/>
      <c r="L308" s="59"/>
    </row>
    <row r="309" spans="1:12" ht="15.6" x14ac:dyDescent="0.35">
      <c r="A309" s="51"/>
      <c r="B309" s="58"/>
      <c r="C309" s="58"/>
      <c r="D309" s="58"/>
      <c r="E309" s="58"/>
      <c r="F309" s="60">
        <v>2024</v>
      </c>
      <c r="G309" s="60">
        <v>2025</v>
      </c>
      <c r="H309" s="61">
        <f>G309+1</f>
        <v>2026</v>
      </c>
      <c r="I309" s="61">
        <f t="shared" ref="I309" si="160">H309+1</f>
        <v>2027</v>
      </c>
      <c r="J309" s="61">
        <f t="shared" ref="J309" si="161">I309+1</f>
        <v>2028</v>
      </c>
      <c r="K309" s="61">
        <f t="shared" ref="K309" si="162">J309+1</f>
        <v>2029</v>
      </c>
      <c r="L309" s="61">
        <f t="shared" ref="L309" si="163">K309+1</f>
        <v>2030</v>
      </c>
    </row>
    <row r="310" spans="1:12" ht="16.2" thickBot="1" x14ac:dyDescent="0.4">
      <c r="A310" s="51"/>
      <c r="B310" s="62" t="s">
        <v>123</v>
      </c>
      <c r="C310" s="62"/>
      <c r="D310" s="62"/>
      <c r="E310" s="62"/>
      <c r="F310" s="63" t="s">
        <v>64</v>
      </c>
      <c r="G310" s="63"/>
      <c r="H310" s="64"/>
      <c r="I310" s="64"/>
      <c r="J310" s="64"/>
      <c r="K310" s="64"/>
      <c r="L310" s="64" t="s">
        <v>46</v>
      </c>
    </row>
    <row r="311" spans="1:12" ht="15.6" x14ac:dyDescent="0.35">
      <c r="A311" s="51"/>
      <c r="B311" s="58"/>
      <c r="C311" s="58"/>
      <c r="D311" s="58"/>
      <c r="E311" s="58"/>
      <c r="F311" s="92"/>
      <c r="G311" s="92"/>
      <c r="H311" s="93"/>
      <c r="I311" s="93"/>
      <c r="J311" s="93"/>
      <c r="K311" s="93"/>
      <c r="L311" s="93"/>
    </row>
    <row r="312" spans="1:12" ht="15.6" x14ac:dyDescent="0.35">
      <c r="A312" s="51"/>
      <c r="B312" s="94" t="s">
        <v>122</v>
      </c>
      <c r="C312" s="95"/>
      <c r="D312" s="96"/>
      <c r="E312" s="96"/>
      <c r="F312" s="97"/>
      <c r="G312" s="97"/>
      <c r="H312" s="98"/>
      <c r="I312" s="98"/>
      <c r="J312" s="98"/>
      <c r="K312" s="98"/>
      <c r="L312" s="99"/>
    </row>
    <row r="313" spans="1:12" ht="15.6" x14ac:dyDescent="0.35">
      <c r="A313" s="51"/>
      <c r="B313" s="58"/>
      <c r="C313" s="58"/>
      <c r="D313" s="58"/>
      <c r="E313" s="58"/>
      <c r="F313" s="92"/>
      <c r="G313" s="92"/>
      <c r="H313" s="93"/>
      <c r="I313" s="93"/>
      <c r="J313" s="93"/>
      <c r="K313" s="93"/>
      <c r="L313" s="93"/>
    </row>
    <row r="314" spans="1:12" ht="15.6" x14ac:dyDescent="0.35">
      <c r="A314" s="51"/>
      <c r="B314" s="68" t="s">
        <v>119</v>
      </c>
      <c r="C314" s="105"/>
      <c r="D314" s="51"/>
      <c r="E314" s="51"/>
      <c r="F314" s="120"/>
      <c r="G314" s="121"/>
      <c r="H314" s="116">
        <f>H188</f>
        <v>70</v>
      </c>
      <c r="I314" s="116">
        <f>I188</f>
        <v>65</v>
      </c>
      <c r="J314" s="116">
        <f>J188</f>
        <v>60</v>
      </c>
      <c r="K314" s="116">
        <f>K188</f>
        <v>55</v>
      </c>
      <c r="L314" s="116">
        <f>L188</f>
        <v>50</v>
      </c>
    </row>
    <row r="315" spans="1:12" ht="15.6" x14ac:dyDescent="0.35">
      <c r="A315" s="51"/>
      <c r="B315" s="139" t="s">
        <v>121</v>
      </c>
      <c r="C315" s="219"/>
      <c r="D315" s="220"/>
      <c r="E315" s="220"/>
      <c r="F315" s="221"/>
      <c r="G315" s="222"/>
      <c r="H315" s="231">
        <v>0.05</v>
      </c>
      <c r="I315" s="231">
        <v>0.05</v>
      </c>
      <c r="J315" s="231">
        <v>0.05</v>
      </c>
      <c r="K315" s="231">
        <v>0.05</v>
      </c>
      <c r="L315" s="231">
        <v>0.05</v>
      </c>
    </row>
    <row r="316" spans="1:12" ht="15.6" x14ac:dyDescent="0.35">
      <c r="A316" s="51"/>
      <c r="B316" s="68" t="s">
        <v>120</v>
      </c>
      <c r="C316" s="68"/>
      <c r="D316" s="68"/>
      <c r="E316" s="68"/>
      <c r="F316" s="100"/>
      <c r="G316" s="209"/>
      <c r="H316" s="232">
        <v>850000</v>
      </c>
      <c r="I316" s="239">
        <f>H316*(1+I315)</f>
        <v>892500</v>
      </c>
      <c r="J316" s="239">
        <f t="shared" ref="J316:L316" si="164">I316*(1+J315)</f>
        <v>937125</v>
      </c>
      <c r="K316" s="239">
        <f t="shared" si="164"/>
        <v>983981.25</v>
      </c>
      <c r="L316" s="239">
        <f t="shared" si="164"/>
        <v>1033180.3125</v>
      </c>
    </row>
    <row r="317" spans="1:12" ht="15.6" x14ac:dyDescent="0.35">
      <c r="A317" s="51"/>
      <c r="B317" s="194" t="s">
        <v>122</v>
      </c>
      <c r="C317" s="194"/>
      <c r="D317" s="194"/>
      <c r="E317" s="194"/>
      <c r="F317" s="223"/>
      <c r="G317" s="224"/>
      <c r="H317" s="225">
        <f>H316*H314</f>
        <v>59500000</v>
      </c>
      <c r="I317" s="225">
        <f t="shared" ref="I317:L317" si="165">I316*I314</f>
        <v>58012500</v>
      </c>
      <c r="J317" s="225">
        <f t="shared" si="165"/>
        <v>56227500</v>
      </c>
      <c r="K317" s="225">
        <f t="shared" si="165"/>
        <v>54118968.75</v>
      </c>
      <c r="L317" s="225">
        <f t="shared" si="165"/>
        <v>51659015.625</v>
      </c>
    </row>
    <row r="318" spans="1:12" ht="15.6" x14ac:dyDescent="0.35">
      <c r="A318" s="51"/>
      <c r="B318" s="73"/>
      <c r="C318" s="68"/>
      <c r="D318" s="68"/>
      <c r="E318" s="68"/>
      <c r="F318" s="100"/>
      <c r="G318" s="209"/>
      <c r="H318" s="230"/>
      <c r="I318" s="230"/>
      <c r="J318" s="230"/>
      <c r="K318" s="230"/>
      <c r="L318" s="230"/>
    </row>
    <row r="319" spans="1:12" ht="15.6" x14ac:dyDescent="0.35">
      <c r="A319" s="51"/>
      <c r="B319" s="94" t="s">
        <v>20</v>
      </c>
      <c r="C319" s="95"/>
      <c r="D319" s="96"/>
      <c r="E319" s="96"/>
      <c r="F319" s="97"/>
      <c r="G319" s="97"/>
      <c r="H319" s="98"/>
      <c r="I319" s="98"/>
      <c r="J319" s="98"/>
      <c r="K319" s="98"/>
      <c r="L319" s="99"/>
    </row>
    <row r="320" spans="1:12" ht="15.6" x14ac:dyDescent="0.35">
      <c r="A320" s="51"/>
      <c r="B320" s="73"/>
      <c r="C320" s="68"/>
      <c r="D320" s="68"/>
      <c r="E320" s="68"/>
      <c r="F320" s="100"/>
      <c r="G320" s="209"/>
      <c r="H320" s="230"/>
      <c r="I320" s="230"/>
      <c r="J320" s="230"/>
      <c r="K320" s="230"/>
      <c r="L320" s="230"/>
    </row>
    <row r="321" spans="1:12" ht="15.6" x14ac:dyDescent="0.35">
      <c r="A321" s="51"/>
      <c r="B321" s="68" t="s">
        <v>130</v>
      </c>
      <c r="C321" s="68"/>
      <c r="D321" s="68"/>
      <c r="E321" s="68"/>
      <c r="F321" s="100"/>
      <c r="G321" s="234">
        <v>10</v>
      </c>
      <c r="H321" s="230"/>
      <c r="I321" s="230"/>
      <c r="J321" s="230"/>
      <c r="K321" s="230"/>
      <c r="L321" s="230"/>
    </row>
    <row r="322" spans="1:12" ht="15.6" x14ac:dyDescent="0.35">
      <c r="A322" s="51"/>
      <c r="B322" s="68" t="s">
        <v>128</v>
      </c>
      <c r="C322" s="68"/>
      <c r="D322" s="68"/>
      <c r="E322" s="68"/>
      <c r="F322" s="100"/>
      <c r="G322" s="233" t="s">
        <v>129</v>
      </c>
      <c r="H322" s="230"/>
      <c r="I322" s="230"/>
      <c r="J322" s="230"/>
      <c r="K322" s="230"/>
      <c r="L322" s="230"/>
    </row>
    <row r="323" spans="1:12" ht="15.6" x14ac:dyDescent="0.35">
      <c r="A323" s="51"/>
      <c r="B323" s="73"/>
      <c r="C323" s="68"/>
      <c r="D323" s="68"/>
      <c r="E323" s="68"/>
      <c r="F323" s="100"/>
      <c r="G323" s="209"/>
      <c r="H323" s="230"/>
      <c r="I323" s="230"/>
      <c r="J323" s="230"/>
      <c r="K323" s="230"/>
      <c r="L323" s="230"/>
    </row>
    <row r="324" spans="1:12" ht="15.6" x14ac:dyDescent="0.35">
      <c r="A324" s="51"/>
      <c r="B324" s="68" cm="1">
        <f t="array" ref="B324:B328">TRANSPOSE(H309:L309)</f>
        <v>2026</v>
      </c>
      <c r="C324" s="235" cm="1">
        <f t="array" ref="C324:C328">TRANSPOSE(H317:L317)</f>
        <v>59500000</v>
      </c>
      <c r="D324" s="68"/>
      <c r="E324" s="68"/>
      <c r="F324" s="100"/>
      <c r="G324" s="209"/>
      <c r="H324" s="235">
        <f>MIN(IF($B324=H$309, 0.5*$C324/$G$321, $C324/$G$321), ($C324-SUM($G324:G324)))</f>
        <v>2975000</v>
      </c>
      <c r="I324" s="235">
        <f>MIN(IF($B324=I$309, 0.5*$C324/$G$321, $C324/$G$321), ($C324-SUM($G324:H324)))</f>
        <v>5950000</v>
      </c>
      <c r="J324" s="235">
        <f>MIN(IF($B324=J$309, 0.5*$C324/$G$321, $C324/$G$321), ($C324-SUM($G324:I324)))</f>
        <v>5950000</v>
      </c>
      <c r="K324" s="235">
        <f>MIN(IF($B324=K$309, 0.5*$C324/$G$321, $C324/$G$321), ($C324-SUM($G324:J324)))</f>
        <v>5950000</v>
      </c>
      <c r="L324" s="235">
        <f>MIN(IF($B324=L$309, 0.5*$C324/$G$321, $C324/$G$321), ($C324-SUM($G324:K324)))</f>
        <v>5950000</v>
      </c>
    </row>
    <row r="325" spans="1:12" ht="15.6" x14ac:dyDescent="0.35">
      <c r="A325" s="51"/>
      <c r="B325" s="68">
        <v>2027</v>
      </c>
      <c r="C325" s="235">
        <v>58012500</v>
      </c>
      <c r="D325" s="68"/>
      <c r="E325" s="68"/>
      <c r="F325" s="100"/>
      <c r="G325" s="209"/>
      <c r="H325" s="244"/>
      <c r="I325" s="235">
        <f>MIN(IF($B325=I$309, 0.5*$C325/$G$321, $C325/$G$321), ($C325-SUM($G325:H325)))</f>
        <v>2900625</v>
      </c>
      <c r="J325" s="235">
        <f>MIN(IF($B325=J$309, 0.5*$C325/$G$321, $C325/$G$321), ($C325-SUM($G325:I325)))</f>
        <v>5801250</v>
      </c>
      <c r="K325" s="235">
        <f>MIN(IF($B325=K$309, 0.5*$C325/$G$321, $C325/$G$321), ($C325-SUM($G325:J325)))</f>
        <v>5801250</v>
      </c>
      <c r="L325" s="235">
        <f>MIN(IF($B325=L$309, 0.5*$C325/$G$321, $C325/$G$321), ($C325-SUM($G325:K325)))</f>
        <v>5801250</v>
      </c>
    </row>
    <row r="326" spans="1:12" ht="15.6" x14ac:dyDescent="0.35">
      <c r="A326" s="51"/>
      <c r="B326" s="68">
        <v>2028</v>
      </c>
      <c r="C326" s="235">
        <v>56227500</v>
      </c>
      <c r="D326" s="68"/>
      <c r="E326" s="68"/>
      <c r="F326" s="100"/>
      <c r="G326" s="209"/>
      <c r="H326" s="244"/>
      <c r="I326" s="244"/>
      <c r="J326" s="235">
        <f>MIN(IF($B326=J$309, 0.5*$C326/$G$321, $C326/$G$321), ($C326-SUM($G326:I326)))</f>
        <v>2811375</v>
      </c>
      <c r="K326" s="235">
        <f>MIN(IF($B326=K$309, 0.5*$C326/$G$321, $C326/$G$321), ($C326-SUM($G326:J326)))</f>
        <v>5622750</v>
      </c>
      <c r="L326" s="235">
        <f>MIN(IF($B326=L$309, 0.5*$C326/$G$321, $C326/$G$321), ($C326-SUM($G326:K326)))</f>
        <v>5622750</v>
      </c>
    </row>
    <row r="327" spans="1:12" ht="15.6" x14ac:dyDescent="0.35">
      <c r="A327" s="51"/>
      <c r="B327" s="68">
        <v>2029</v>
      </c>
      <c r="C327" s="235">
        <v>54118968.75</v>
      </c>
      <c r="D327" s="68"/>
      <c r="E327" s="68"/>
      <c r="F327" s="100"/>
      <c r="G327" s="209"/>
      <c r="H327" s="244"/>
      <c r="I327" s="244"/>
      <c r="J327" s="244"/>
      <c r="K327" s="235">
        <f>MIN(IF($B327=K$309, 0.5*$C327/$G$321, $C327/$G$321), ($C327-SUM($G327:J327)))</f>
        <v>2705948.4375</v>
      </c>
      <c r="L327" s="235">
        <f>MIN(IF($B327=L$309, 0.5*$C327/$G$321, $C327/$G$321), ($C327-SUM($G327:K327)))</f>
        <v>5411896.875</v>
      </c>
    </row>
    <row r="328" spans="1:12" ht="15.6" x14ac:dyDescent="0.35">
      <c r="A328" s="51"/>
      <c r="B328" s="68">
        <v>2030</v>
      </c>
      <c r="C328" s="235">
        <v>51659015.625</v>
      </c>
      <c r="D328" s="68"/>
      <c r="E328" s="68"/>
      <c r="F328" s="100"/>
      <c r="G328" s="209"/>
      <c r="H328" s="244"/>
      <c r="I328" s="244"/>
      <c r="J328" s="244"/>
      <c r="K328" s="244"/>
      <c r="L328" s="235">
        <f>MIN(IF($B328=L$309, 0.5*$C328/$G$321, $C328/$G$321), ($C328-SUM($G328:K328)))</f>
        <v>2582950.78125</v>
      </c>
    </row>
    <row r="329" spans="1:12" ht="15.6" x14ac:dyDescent="0.35">
      <c r="A329" s="51"/>
      <c r="B329" s="147" t="s">
        <v>131</v>
      </c>
      <c r="C329" s="147"/>
      <c r="D329" s="147"/>
      <c r="E329" s="147"/>
      <c r="F329" s="236"/>
      <c r="G329" s="237"/>
      <c r="H329" s="238">
        <f t="shared" ref="H329:K329" si="166">SUM(H324:H328)</f>
        <v>2975000</v>
      </c>
      <c r="I329" s="238">
        <f t="shared" si="166"/>
        <v>8850625</v>
      </c>
      <c r="J329" s="238">
        <f t="shared" si="166"/>
        <v>14562625</v>
      </c>
      <c r="K329" s="238">
        <f t="shared" si="166"/>
        <v>20079948.4375</v>
      </c>
      <c r="L329" s="238">
        <f>SUM(L324:L328)</f>
        <v>25368847.65625</v>
      </c>
    </row>
    <row r="330" spans="1:12" ht="15.6" x14ac:dyDescent="0.35">
      <c r="A330" s="51"/>
      <c r="B330" s="68" t="s">
        <v>132</v>
      </c>
      <c r="C330" s="68"/>
      <c r="D330" s="68"/>
      <c r="E330" s="68"/>
      <c r="F330" s="100"/>
      <c r="G330" s="209"/>
      <c r="H330" s="235">
        <f>MIN(($H$336 * 1000000)/$G$321, ($H$336 * 1000000) - SUM($G330:G330))</f>
        <v>41300000</v>
      </c>
      <c r="I330" s="235">
        <f>MIN(($H$336 * 1000000)/$G$321, ($H$336 * 1000000) - SUM($G330:H330))</f>
        <v>41300000</v>
      </c>
      <c r="J330" s="235">
        <f>MIN(($H$336 * 1000000)/$G$321, ($H$336 * 1000000) - SUM($G330:I330))</f>
        <v>41300000</v>
      </c>
      <c r="K330" s="235">
        <f>MIN(($H$336 * 1000000)/$G$321, ($H$336 * 1000000) - SUM($G330:J330))</f>
        <v>41300000</v>
      </c>
      <c r="L330" s="235">
        <f>MIN(($H$336 * 1000000)/$G$321, ($H$336 * 1000000) - SUM($G330:K330))</f>
        <v>41300000</v>
      </c>
    </row>
    <row r="331" spans="1:12" ht="15.6" x14ac:dyDescent="0.35">
      <c r="A331" s="51"/>
      <c r="B331" s="194" t="s">
        <v>133</v>
      </c>
      <c r="C331" s="194"/>
      <c r="D331" s="194"/>
      <c r="E331" s="194"/>
      <c r="F331" s="275">
        <f>59.2*1000000</f>
        <v>59200000</v>
      </c>
      <c r="G331" s="275">
        <f>65.2*1000000</f>
        <v>65200000</v>
      </c>
      <c r="H331" s="225">
        <f>SUM(H329:H330)</f>
        <v>44275000</v>
      </c>
      <c r="I331" s="225">
        <f t="shared" ref="I331:L331" si="167">SUM(I329:I330)</f>
        <v>50150625</v>
      </c>
      <c r="J331" s="225">
        <f t="shared" si="167"/>
        <v>55862625</v>
      </c>
      <c r="K331" s="225">
        <f t="shared" si="167"/>
        <v>61379948.4375</v>
      </c>
      <c r="L331" s="225">
        <f t="shared" si="167"/>
        <v>66668847.65625</v>
      </c>
    </row>
    <row r="332" spans="1:12" ht="15.6" x14ac:dyDescent="0.35">
      <c r="A332" s="51"/>
      <c r="B332" s="73"/>
      <c r="C332" s="68"/>
      <c r="D332" s="68"/>
      <c r="E332" s="68"/>
      <c r="F332" s="100"/>
      <c r="G332" s="209"/>
      <c r="H332" s="230"/>
      <c r="I332" s="230"/>
      <c r="J332" s="230"/>
      <c r="K332" s="230"/>
      <c r="L332" s="230"/>
    </row>
    <row r="333" spans="1:12" ht="15.6" x14ac:dyDescent="0.35">
      <c r="A333" s="51"/>
      <c r="B333" s="68"/>
      <c r="C333" s="68"/>
      <c r="D333" s="68"/>
      <c r="E333" s="68"/>
      <c r="F333" s="100"/>
      <c r="G333" s="209"/>
      <c r="H333" s="210"/>
      <c r="I333" s="210"/>
      <c r="J333" s="210"/>
      <c r="K333" s="210"/>
      <c r="L333" s="210"/>
    </row>
    <row r="334" spans="1:12" ht="15.6" x14ac:dyDescent="0.35">
      <c r="A334" s="51"/>
      <c r="B334" s="94" t="s">
        <v>134</v>
      </c>
      <c r="C334" s="95"/>
      <c r="D334" s="96"/>
      <c r="E334" s="96"/>
      <c r="F334" s="97"/>
      <c r="G334" s="97"/>
      <c r="H334" s="98"/>
      <c r="I334" s="98"/>
      <c r="J334" s="98"/>
      <c r="K334" s="98"/>
      <c r="L334" s="99"/>
    </row>
    <row r="335" spans="1:12" ht="15.6" x14ac:dyDescent="0.35">
      <c r="A335" s="51"/>
      <c r="B335" s="73"/>
      <c r="C335" s="73"/>
      <c r="D335" s="73"/>
      <c r="E335" s="73"/>
      <c r="F335" s="197"/>
      <c r="G335" s="211"/>
      <c r="H335" s="211"/>
      <c r="I335" s="211"/>
      <c r="J335" s="211"/>
      <c r="K335" s="211"/>
      <c r="L335" s="211"/>
    </row>
    <row r="336" spans="1:12" ht="15.6" x14ac:dyDescent="0.35">
      <c r="A336" s="51"/>
      <c r="B336" s="68" t="s">
        <v>126</v>
      </c>
      <c r="C336" s="68"/>
      <c r="D336" s="68"/>
      <c r="E336" s="68"/>
      <c r="F336" s="100"/>
      <c r="G336" s="153"/>
      <c r="H336" s="226">
        <f>G62</f>
        <v>413</v>
      </c>
      <c r="I336" s="226">
        <f>H340</f>
        <v>428.22500000000002</v>
      </c>
      <c r="J336" s="226">
        <f t="shared" ref="J336:L336" si="168">I340</f>
        <v>436.08687500000002</v>
      </c>
      <c r="K336" s="226">
        <f t="shared" si="168"/>
        <v>436.45175000000006</v>
      </c>
      <c r="L336" s="226">
        <f t="shared" si="168"/>
        <v>429.19077031250009</v>
      </c>
    </row>
    <row r="337" spans="1:12" ht="15.6" x14ac:dyDescent="0.35">
      <c r="A337" s="51"/>
      <c r="B337" s="194" t="s">
        <v>122</v>
      </c>
      <c r="C337" s="86"/>
      <c r="D337" s="86"/>
      <c r="E337" s="86"/>
      <c r="F337" s="227"/>
      <c r="G337" s="227"/>
      <c r="H337" s="228">
        <f>H317/1000000</f>
        <v>59.5</v>
      </c>
      <c r="I337" s="228">
        <f t="shared" ref="I337:L337" si="169">I317/1000000</f>
        <v>58.012500000000003</v>
      </c>
      <c r="J337" s="228">
        <f t="shared" si="169"/>
        <v>56.227499999999999</v>
      </c>
      <c r="K337" s="228">
        <f t="shared" si="169"/>
        <v>54.118968750000001</v>
      </c>
      <c r="L337" s="228">
        <f t="shared" si="169"/>
        <v>51.659015625000002</v>
      </c>
    </row>
    <row r="338" spans="1:12" ht="15.6" x14ac:dyDescent="0.35">
      <c r="A338" s="51"/>
      <c r="B338" s="68" t="s">
        <v>124</v>
      </c>
      <c r="C338" s="68"/>
      <c r="D338" s="68"/>
      <c r="E338" s="68"/>
      <c r="F338" s="192"/>
      <c r="G338" s="192"/>
      <c r="H338" s="226">
        <f>-H331/1000000</f>
        <v>-44.274999999999999</v>
      </c>
      <c r="I338" s="226">
        <f t="shared" ref="I338:L338" si="170">-I331/1000000</f>
        <v>-50.150624999999998</v>
      </c>
      <c r="J338" s="226">
        <f t="shared" si="170"/>
        <v>-55.862625000000001</v>
      </c>
      <c r="K338" s="226">
        <f t="shared" si="170"/>
        <v>-61.379948437499998</v>
      </c>
      <c r="L338" s="226">
        <f t="shared" si="170"/>
        <v>-66.668847656249994</v>
      </c>
    </row>
    <row r="339" spans="1:12" ht="15.6" x14ac:dyDescent="0.35">
      <c r="A339" s="51"/>
      <c r="B339" s="80" t="s">
        <v>125</v>
      </c>
      <c r="C339" s="85"/>
      <c r="D339" s="85"/>
      <c r="E339" s="85"/>
      <c r="F339" s="229"/>
      <c r="G339" s="229"/>
      <c r="H339" s="229"/>
      <c r="I339" s="229"/>
      <c r="J339" s="229"/>
      <c r="K339" s="229"/>
      <c r="L339" s="229"/>
    </row>
    <row r="340" spans="1:12" ht="15.6" x14ac:dyDescent="0.35">
      <c r="A340" s="51"/>
      <c r="B340" s="68" t="s">
        <v>21</v>
      </c>
      <c r="C340" s="73"/>
      <c r="D340" s="73"/>
      <c r="E340" s="73"/>
      <c r="F340" s="212"/>
      <c r="G340" s="212"/>
      <c r="H340" s="226">
        <f>SUM(H336:H339)</f>
        <v>428.22500000000002</v>
      </c>
      <c r="I340" s="226">
        <f t="shared" ref="I340:L340" si="171">SUM(I336:I339)</f>
        <v>436.08687500000002</v>
      </c>
      <c r="J340" s="226">
        <f t="shared" si="171"/>
        <v>436.45175000000006</v>
      </c>
      <c r="K340" s="226">
        <f t="shared" si="171"/>
        <v>429.19077031250009</v>
      </c>
      <c r="L340" s="226">
        <f t="shared" si="171"/>
        <v>414.18093828125006</v>
      </c>
    </row>
    <row r="341" spans="1:12" ht="15.6" x14ac:dyDescent="0.35">
      <c r="A341" s="51"/>
      <c r="B341" s="68"/>
      <c r="C341" s="68"/>
      <c r="D341" s="68"/>
      <c r="E341" s="68"/>
      <c r="F341" s="100"/>
      <c r="G341" s="125"/>
      <c r="H341" s="101"/>
      <c r="I341" s="101"/>
      <c r="J341" s="101"/>
      <c r="K341" s="101"/>
      <c r="L341" s="101"/>
    </row>
    <row r="342" spans="1:12" ht="15.6" x14ac:dyDescent="0.35">
      <c r="A342" s="51"/>
      <c r="B342" s="94" t="s">
        <v>135</v>
      </c>
      <c r="C342" s="95"/>
      <c r="D342" s="96"/>
      <c r="E342" s="96"/>
      <c r="F342" s="97"/>
      <c r="G342" s="97"/>
      <c r="H342" s="98"/>
      <c r="I342" s="98"/>
      <c r="J342" s="98"/>
      <c r="K342" s="98"/>
      <c r="L342" s="99"/>
    </row>
    <row r="343" spans="1:12" ht="15.6" x14ac:dyDescent="0.35">
      <c r="A343" s="51"/>
      <c r="B343" s="105"/>
      <c r="C343" s="73"/>
      <c r="D343" s="68"/>
      <c r="E343" s="68"/>
      <c r="F343" s="100"/>
      <c r="G343" s="100"/>
      <c r="H343" s="101"/>
      <c r="I343" s="101"/>
      <c r="J343" s="101"/>
      <c r="K343" s="101"/>
      <c r="L343" s="101"/>
    </row>
    <row r="344" spans="1:12" ht="15.6" x14ac:dyDescent="0.35">
      <c r="A344" s="51"/>
      <c r="B344" s="68" t="s">
        <v>138</v>
      </c>
      <c r="C344" s="73"/>
      <c r="D344" s="68"/>
      <c r="E344" s="68"/>
      <c r="F344" s="100"/>
      <c r="G344" s="100"/>
      <c r="H344" s="101">
        <f>H348</f>
        <v>-449.8</v>
      </c>
      <c r="I344" s="101">
        <f t="shared" ref="I344:L344" si="172">I348</f>
        <v>-456.28800000000001</v>
      </c>
      <c r="J344" s="101">
        <f t="shared" si="172"/>
        <v>-461.6777800000001</v>
      </c>
      <c r="K344" s="101">
        <f t="shared" si="172"/>
        <v>-465.60594680000008</v>
      </c>
      <c r="L344" s="101">
        <f t="shared" si="172"/>
        <v>-467.66127235800013</v>
      </c>
    </row>
    <row r="345" spans="1:12" ht="15.6" x14ac:dyDescent="0.35">
      <c r="A345" s="51"/>
      <c r="B345" s="68" t="s">
        <v>139</v>
      </c>
      <c r="C345" s="73"/>
      <c r="D345" s="68"/>
      <c r="E345" s="68"/>
      <c r="F345" s="100"/>
      <c r="G345" s="100"/>
      <c r="H345" s="240">
        <v>0.06</v>
      </c>
      <c r="I345" s="240">
        <v>0.06</v>
      </c>
      <c r="J345" s="240">
        <v>0.06</v>
      </c>
      <c r="K345" s="240">
        <v>0.06</v>
      </c>
      <c r="L345" s="240">
        <v>0.06</v>
      </c>
    </row>
    <row r="346" spans="1:12" ht="15.6" x14ac:dyDescent="0.35">
      <c r="A346" s="51"/>
      <c r="B346" s="147" t="s">
        <v>140</v>
      </c>
      <c r="C346" s="146"/>
      <c r="D346" s="147"/>
      <c r="E346" s="147"/>
      <c r="F346" s="236"/>
      <c r="G346" s="236"/>
      <c r="H346" s="241">
        <f>H344*H345</f>
        <v>-26.988</v>
      </c>
      <c r="I346" s="241">
        <f t="shared" ref="I346:L346" si="173">I344*I345</f>
        <v>-27.377279999999999</v>
      </c>
      <c r="J346" s="241">
        <f t="shared" si="173"/>
        <v>-27.700666800000004</v>
      </c>
      <c r="K346" s="241">
        <f t="shared" si="173"/>
        <v>-27.936356808000003</v>
      </c>
      <c r="L346" s="241">
        <f t="shared" si="173"/>
        <v>-28.059676341480007</v>
      </c>
    </row>
    <row r="347" spans="1:12" ht="15.6" x14ac:dyDescent="0.35">
      <c r="A347" s="51"/>
      <c r="B347" s="51"/>
      <c r="C347" s="73"/>
      <c r="D347" s="68"/>
      <c r="E347" s="68"/>
      <c r="F347" s="100"/>
      <c r="G347" s="100"/>
      <c r="H347" s="101"/>
      <c r="I347" s="101"/>
      <c r="J347" s="101"/>
      <c r="K347" s="101"/>
      <c r="L347" s="101"/>
    </row>
    <row r="348" spans="1:12" ht="15.6" x14ac:dyDescent="0.35">
      <c r="A348" s="51"/>
      <c r="B348" s="68" t="s">
        <v>136</v>
      </c>
      <c r="C348" s="68"/>
      <c r="D348" s="68"/>
      <c r="E348" s="68"/>
      <c r="F348" s="100"/>
      <c r="G348" s="100"/>
      <c r="H348" s="226">
        <f>G70+G77</f>
        <v>-449.8</v>
      </c>
      <c r="I348" s="226">
        <f>H352</f>
        <v>-456.28800000000001</v>
      </c>
      <c r="J348" s="226">
        <f t="shared" ref="J348:L348" si="174">I352</f>
        <v>-461.6777800000001</v>
      </c>
      <c r="K348" s="226">
        <f t="shared" si="174"/>
        <v>-465.60594680000008</v>
      </c>
      <c r="L348" s="226">
        <f t="shared" si="174"/>
        <v>-467.66127235800013</v>
      </c>
    </row>
    <row r="349" spans="1:12" ht="15.6" x14ac:dyDescent="0.35">
      <c r="A349" s="51"/>
      <c r="B349" s="68" t="s">
        <v>137</v>
      </c>
      <c r="C349" s="68"/>
      <c r="D349" s="68"/>
      <c r="E349" s="68"/>
      <c r="F349" s="100"/>
      <c r="G349" s="101"/>
      <c r="H349" s="226">
        <f>-H317/1000000</f>
        <v>-59.5</v>
      </c>
      <c r="I349" s="226">
        <f t="shared" ref="I349:L349" si="175">-I317/1000000</f>
        <v>-58.012500000000003</v>
      </c>
      <c r="J349" s="226">
        <f t="shared" si="175"/>
        <v>-56.227499999999999</v>
      </c>
      <c r="K349" s="226">
        <f t="shared" si="175"/>
        <v>-54.118968750000001</v>
      </c>
      <c r="L349" s="226">
        <f t="shared" si="175"/>
        <v>-51.659015625000002</v>
      </c>
    </row>
    <row r="350" spans="1:12" ht="15.6" x14ac:dyDescent="0.35">
      <c r="A350" s="51"/>
      <c r="B350" s="68" t="s">
        <v>140</v>
      </c>
      <c r="C350" s="73"/>
      <c r="D350" s="73"/>
      <c r="E350" s="73"/>
      <c r="F350" s="197"/>
      <c r="G350" s="126"/>
      <c r="H350" s="226">
        <f>H346</f>
        <v>-26.988</v>
      </c>
      <c r="I350" s="226">
        <f t="shared" ref="I350:L350" si="176">I346</f>
        <v>-27.377279999999999</v>
      </c>
      <c r="J350" s="226">
        <f t="shared" si="176"/>
        <v>-27.700666800000004</v>
      </c>
      <c r="K350" s="226">
        <f t="shared" si="176"/>
        <v>-27.936356808000003</v>
      </c>
      <c r="L350" s="226">
        <f t="shared" si="176"/>
        <v>-28.059676341480007</v>
      </c>
    </row>
    <row r="351" spans="1:12" ht="15.6" x14ac:dyDescent="0.35">
      <c r="A351" s="51"/>
      <c r="B351" s="68" t="s">
        <v>141</v>
      </c>
      <c r="C351" s="68"/>
      <c r="D351" s="68"/>
      <c r="E351" s="68"/>
      <c r="F351" s="100"/>
      <c r="G351" s="100"/>
      <c r="H351" s="243">
        <v>80</v>
      </c>
      <c r="I351" s="243">
        <v>80</v>
      </c>
      <c r="J351" s="243">
        <v>80</v>
      </c>
      <c r="K351" s="243">
        <v>80</v>
      </c>
      <c r="L351" s="243">
        <v>80</v>
      </c>
    </row>
    <row r="352" spans="1:12" ht="15.6" x14ac:dyDescent="0.35">
      <c r="A352" s="51"/>
      <c r="B352" s="194" t="s">
        <v>142</v>
      </c>
      <c r="C352" s="194"/>
      <c r="D352" s="194"/>
      <c r="E352" s="194"/>
      <c r="F352" s="242"/>
      <c r="G352" s="242"/>
      <c r="H352" s="226">
        <f>SUM(H348:H351)</f>
        <v>-456.28800000000001</v>
      </c>
      <c r="I352" s="226">
        <f t="shared" ref="I352:L352" si="177">SUM(I348:I351)</f>
        <v>-461.6777800000001</v>
      </c>
      <c r="J352" s="226">
        <f t="shared" si="177"/>
        <v>-465.60594680000008</v>
      </c>
      <c r="K352" s="226">
        <f t="shared" si="177"/>
        <v>-467.66127235800013</v>
      </c>
      <c r="L352" s="226">
        <f t="shared" si="177"/>
        <v>-467.37996432448017</v>
      </c>
    </row>
    <row r="353" spans="1:14" ht="15.6" x14ac:dyDescent="0.35">
      <c r="A353" s="51"/>
      <c r="B353" s="68"/>
      <c r="C353" s="68"/>
      <c r="D353" s="68"/>
      <c r="E353" s="68"/>
      <c r="F353" s="110"/>
      <c r="G353" s="110"/>
      <c r="H353" s="161"/>
      <c r="I353" s="161"/>
      <c r="J353" s="161"/>
      <c r="K353" s="161"/>
      <c r="L353" s="161"/>
    </row>
    <row r="354" spans="1:14" ht="15.6" x14ac:dyDescent="0.35">
      <c r="A354" s="51"/>
      <c r="B354" s="68" t="s">
        <v>247</v>
      </c>
      <c r="C354" s="68"/>
      <c r="D354" s="68"/>
      <c r="E354" s="68"/>
      <c r="F354" s="110"/>
      <c r="G354" s="110"/>
      <c r="H354" s="226">
        <f>-(I351+I350)</f>
        <v>-52.622720000000001</v>
      </c>
      <c r="I354" s="226">
        <f t="shared" ref="I354:K354" si="178">-(J351+J350)</f>
        <v>-52.299333199999992</v>
      </c>
      <c r="J354" s="226">
        <f t="shared" si="178"/>
        <v>-52.063643192000001</v>
      </c>
      <c r="K354" s="226">
        <f t="shared" si="178"/>
        <v>-51.940323658519993</v>
      </c>
      <c r="L354" s="226">
        <f>K354</f>
        <v>-51.940323658519993</v>
      </c>
    </row>
    <row r="355" spans="1:14" ht="15.6" x14ac:dyDescent="0.35">
      <c r="A355" s="51"/>
      <c r="B355" s="68" t="s">
        <v>248</v>
      </c>
      <c r="C355" s="68"/>
      <c r="D355" s="68"/>
      <c r="E355" s="68"/>
      <c r="F355" s="110"/>
      <c r="G355" s="110"/>
      <c r="H355" s="226">
        <f>(H352-H354)</f>
        <v>-403.66528</v>
      </c>
      <c r="I355" s="226">
        <f t="shared" ref="I355:L355" si="179">(I352-I354)</f>
        <v>-409.37844680000012</v>
      </c>
      <c r="J355" s="226">
        <f t="shared" si="179"/>
        <v>-413.54230360800011</v>
      </c>
      <c r="K355" s="226">
        <f t="shared" si="179"/>
        <v>-415.72094869948012</v>
      </c>
      <c r="L355" s="226">
        <f t="shared" si="179"/>
        <v>-415.43964066596016</v>
      </c>
    </row>
    <row r="356" spans="1:14" ht="15.6" x14ac:dyDescent="0.35">
      <c r="A356" s="51"/>
      <c r="B356" s="68"/>
      <c r="C356" s="68"/>
      <c r="D356" s="68"/>
      <c r="E356" s="68"/>
      <c r="F356" s="110"/>
      <c r="G356" s="110"/>
      <c r="H356" s="161"/>
      <c r="I356" s="161"/>
      <c r="J356" s="161"/>
      <c r="K356" s="161"/>
      <c r="L356" s="161"/>
    </row>
    <row r="357" spans="1:14" ht="15.6" x14ac:dyDescent="0.35">
      <c r="A357" s="51"/>
      <c r="B357" s="73"/>
      <c r="C357" s="73"/>
      <c r="D357" s="73"/>
      <c r="E357" s="73"/>
      <c r="F357" s="212"/>
      <c r="G357" s="212"/>
      <c r="H357" s="212"/>
      <c r="I357" s="212"/>
      <c r="J357" s="212"/>
      <c r="K357" s="212"/>
      <c r="L357" s="212"/>
    </row>
    <row r="358" spans="1:14" ht="15.6" x14ac:dyDescent="0.35">
      <c r="A358" s="51"/>
      <c r="B358" s="73"/>
      <c r="C358" s="73"/>
      <c r="D358" s="68"/>
      <c r="E358" s="68"/>
      <c r="F358" s="68"/>
      <c r="G358" s="68"/>
      <c r="H358" s="68"/>
      <c r="I358" s="68"/>
      <c r="J358" s="68"/>
      <c r="K358" s="68"/>
      <c r="L358" s="68"/>
    </row>
    <row r="359" spans="1:14" ht="15.6" x14ac:dyDescent="0.35">
      <c r="A359" s="51"/>
      <c r="B359" s="68"/>
      <c r="C359" s="68"/>
      <c r="D359" s="68"/>
      <c r="E359" s="68"/>
      <c r="F359" s="126"/>
      <c r="G359" s="126"/>
      <c r="H359" s="126"/>
      <c r="I359" s="126"/>
      <c r="J359" s="126"/>
      <c r="K359" s="126"/>
      <c r="L359" s="126"/>
    </row>
    <row r="360" spans="1:14" ht="28.8" x14ac:dyDescent="0.65">
      <c r="A360" s="51"/>
      <c r="B360" s="52" t="str">
        <f>Cover!$B$2</f>
        <v>Greggs</v>
      </c>
      <c r="C360" s="52"/>
      <c r="D360" s="53"/>
      <c r="E360" s="54"/>
      <c r="F360" s="54"/>
      <c r="G360" s="54"/>
      <c r="H360" s="54"/>
      <c r="I360" s="54"/>
      <c r="J360" s="54"/>
      <c r="K360" s="54"/>
      <c r="L360" s="54"/>
    </row>
    <row r="361" spans="1:14" ht="21" x14ac:dyDescent="0.5">
      <c r="A361" s="51"/>
      <c r="B361" s="55" t="s">
        <v>118</v>
      </c>
      <c r="C361" s="56"/>
      <c r="D361" s="54"/>
      <c r="E361" s="54"/>
      <c r="F361" s="54"/>
      <c r="G361" s="54"/>
      <c r="H361" s="54"/>
      <c r="I361" s="54"/>
      <c r="J361" s="54"/>
      <c r="K361" s="54"/>
      <c r="L361" s="377" t="str">
        <f>"Currently Running: "&amp;CHOOSE(Assumptions!$B$10,Assumptions!$F$15,Assumptions!$F$16,Assumptions!$F$17)&amp;"Scenario"</f>
        <v>Currently Running: Base Scenario</v>
      </c>
    </row>
    <row r="362" spans="1:14" ht="15.6" x14ac:dyDescent="0.35">
      <c r="A362" s="51"/>
      <c r="B362" s="57"/>
      <c r="C362" s="57"/>
      <c r="D362" s="57"/>
      <c r="E362" s="57"/>
      <c r="F362" s="57"/>
      <c r="G362" s="57"/>
      <c r="H362" s="57"/>
      <c r="I362" s="57"/>
      <c r="J362" s="57"/>
      <c r="K362" s="58"/>
      <c r="L362" s="58"/>
    </row>
    <row r="363" spans="1:14" ht="15.6" x14ac:dyDescent="0.35">
      <c r="A363" s="51"/>
      <c r="B363" s="58"/>
      <c r="C363" s="58"/>
      <c r="D363" s="58"/>
      <c r="E363" s="58"/>
      <c r="F363" s="59" t="s">
        <v>63</v>
      </c>
      <c r="G363" s="59"/>
      <c r="H363" s="59"/>
      <c r="I363" s="59"/>
      <c r="J363" s="59"/>
      <c r="K363" s="59"/>
      <c r="L363" s="59"/>
    </row>
    <row r="364" spans="1:14" ht="15.6" x14ac:dyDescent="0.35">
      <c r="A364" s="51"/>
      <c r="B364" s="58"/>
      <c r="C364" s="58"/>
      <c r="D364" s="58"/>
      <c r="E364" s="58"/>
      <c r="F364" s="60">
        <v>2024</v>
      </c>
      <c r="G364" s="60">
        <v>2025</v>
      </c>
      <c r="H364" s="61">
        <f>G364+1</f>
        <v>2026</v>
      </c>
      <c r="I364" s="61">
        <f t="shared" ref="I364" si="180">H364+1</f>
        <v>2027</v>
      </c>
      <c r="J364" s="61">
        <f t="shared" ref="J364" si="181">I364+1</f>
        <v>2028</v>
      </c>
      <c r="K364" s="61">
        <f t="shared" ref="K364" si="182">J364+1</f>
        <v>2029</v>
      </c>
      <c r="L364" s="61">
        <f t="shared" ref="L364" si="183">K364+1</f>
        <v>2030</v>
      </c>
    </row>
    <row r="365" spans="1:14" ht="16.2" thickBot="1" x14ac:dyDescent="0.4">
      <c r="A365" s="51"/>
      <c r="B365" s="62" t="s">
        <v>62</v>
      </c>
      <c r="C365" s="62"/>
      <c r="D365" s="62"/>
      <c r="E365" s="62"/>
      <c r="F365" s="63" t="s">
        <v>64</v>
      </c>
      <c r="G365" s="63"/>
      <c r="H365" s="64"/>
      <c r="I365" s="64"/>
      <c r="J365" s="64"/>
      <c r="K365" s="64"/>
      <c r="L365" s="64" t="s">
        <v>46</v>
      </c>
    </row>
    <row r="366" spans="1:14" ht="15.6" x14ac:dyDescent="0.35">
      <c r="A366" s="51"/>
      <c r="B366" s="58"/>
      <c r="C366" s="58"/>
      <c r="D366" s="58"/>
      <c r="E366" s="58"/>
      <c r="F366" s="213"/>
      <c r="G366" s="213"/>
      <c r="H366" s="214"/>
      <c r="I366" s="214"/>
      <c r="J366" s="214"/>
      <c r="K366" s="214"/>
      <c r="L366" s="214"/>
    </row>
    <row r="367" spans="1:14" ht="15.6" x14ac:dyDescent="0.35">
      <c r="A367" s="51"/>
      <c r="B367" s="68" t="s">
        <v>153</v>
      </c>
      <c r="C367" s="68"/>
      <c r="D367" s="68"/>
      <c r="E367" s="68"/>
      <c r="F367" s="215">
        <v>238.2</v>
      </c>
      <c r="G367" s="215">
        <v>264.7</v>
      </c>
      <c r="H367" s="246">
        <f>H368*H10</f>
        <v>185.65322634979094</v>
      </c>
      <c r="I367" s="246">
        <f>I368*I10</f>
        <v>174.11867301997518</v>
      </c>
      <c r="J367" s="246">
        <f>J368*J10</f>
        <v>159.25813550846061</v>
      </c>
      <c r="K367" s="246">
        <f>K368*K10</f>
        <v>155.20085239913971</v>
      </c>
      <c r="L367" s="246">
        <f>L368*L10</f>
        <v>164.5934882228122</v>
      </c>
      <c r="N367" t="s">
        <v>145</v>
      </c>
    </row>
    <row r="368" spans="1:14" ht="15.6" x14ac:dyDescent="0.35">
      <c r="A368" s="51"/>
      <c r="B368" s="68" t="s">
        <v>143</v>
      </c>
      <c r="C368" s="73"/>
      <c r="D368" s="73"/>
      <c r="E368" s="73"/>
      <c r="F368" s="163">
        <f>F367/F10</f>
        <v>0.1182486100079428</v>
      </c>
      <c r="G368" s="163">
        <f>G367/G10</f>
        <v>0.12304760133878766</v>
      </c>
      <c r="H368" s="245">
        <v>0.08</v>
      </c>
      <c r="I368" s="245">
        <v>7.0000000000000007E-2</v>
      </c>
      <c r="J368" s="245">
        <v>0.06</v>
      </c>
      <c r="K368" s="245">
        <v>5.5E-2</v>
      </c>
      <c r="L368" s="245">
        <v>5.5E-2</v>
      </c>
    </row>
    <row r="369" spans="1:12" ht="15.6" x14ac:dyDescent="0.35">
      <c r="A369" s="51"/>
      <c r="B369" s="68"/>
      <c r="C369" s="73"/>
      <c r="D369" s="73"/>
      <c r="E369" s="73"/>
      <c r="F369" s="163"/>
      <c r="G369" s="163"/>
      <c r="H369" s="164"/>
      <c r="I369" s="164"/>
      <c r="J369" s="164"/>
      <c r="K369" s="164"/>
      <c r="L369" s="164"/>
    </row>
    <row r="370" spans="1:12" ht="15.6" x14ac:dyDescent="0.35">
      <c r="A370" s="51"/>
      <c r="B370" s="68" t="s">
        <v>154</v>
      </c>
      <c r="C370" s="73"/>
      <c r="D370" s="73"/>
      <c r="E370" s="73"/>
      <c r="F370" s="215">
        <v>10.8</v>
      </c>
      <c r="G370" s="215">
        <v>22.8</v>
      </c>
      <c r="H370" s="246">
        <f>H371*H10</f>
        <v>17.404989970292899</v>
      </c>
      <c r="I370" s="246">
        <f>I371*I10</f>
        <v>18.655572109283053</v>
      </c>
      <c r="J370" s="246">
        <f>J371*J10</f>
        <v>19.907266938557576</v>
      </c>
      <c r="K370" s="246">
        <f>K371*K10</f>
        <v>21.163752599882685</v>
      </c>
      <c r="L370" s="246">
        <f>L371*L10</f>
        <v>22.444566575838024</v>
      </c>
    </row>
    <row r="371" spans="1:12" ht="15.6" x14ac:dyDescent="0.35">
      <c r="A371" s="51"/>
      <c r="B371" s="68" t="s">
        <v>155</v>
      </c>
      <c r="C371" s="73"/>
      <c r="D371" s="73"/>
      <c r="E371" s="73"/>
      <c r="F371" s="163">
        <f>F370/F10</f>
        <v>5.3613979348689439E-3</v>
      </c>
      <c r="G371" s="163">
        <f>G370/G10</f>
        <v>1.0598735589438454E-2</v>
      </c>
      <c r="H371" s="255">
        <v>7.4999999999999997E-3</v>
      </c>
      <c r="I371" s="255">
        <v>7.4999999999999997E-3</v>
      </c>
      <c r="J371" s="255">
        <v>7.4999999999999997E-3</v>
      </c>
      <c r="K371" s="255">
        <v>7.4999999999999997E-3</v>
      </c>
      <c r="L371" s="255">
        <v>7.4999999999999997E-3</v>
      </c>
    </row>
    <row r="372" spans="1:12" ht="15.6" x14ac:dyDescent="0.35">
      <c r="A372" s="51"/>
      <c r="B372" s="73"/>
      <c r="C372" s="73"/>
      <c r="D372" s="73"/>
      <c r="E372" s="73"/>
      <c r="F372" s="128"/>
      <c r="G372" s="128"/>
      <c r="H372" s="216"/>
      <c r="I372" s="216"/>
      <c r="J372" s="216"/>
      <c r="K372" s="216"/>
      <c r="L372" s="216"/>
    </row>
    <row r="373" spans="1:12" ht="15.6" x14ac:dyDescent="0.35">
      <c r="A373" s="51"/>
      <c r="B373" s="94" t="s">
        <v>144</v>
      </c>
      <c r="C373" s="95"/>
      <c r="D373" s="96"/>
      <c r="E373" s="96"/>
      <c r="F373" s="97"/>
      <c r="G373" s="97"/>
      <c r="H373" s="98"/>
      <c r="I373" s="98"/>
      <c r="J373" s="98"/>
      <c r="K373" s="98"/>
      <c r="L373" s="99"/>
    </row>
    <row r="374" spans="1:12" ht="15.6" x14ac:dyDescent="0.35">
      <c r="A374" s="51"/>
      <c r="B374" s="73"/>
      <c r="C374" s="73"/>
      <c r="D374" s="73"/>
      <c r="E374" s="73"/>
      <c r="F374" s="128"/>
      <c r="G374" s="128"/>
      <c r="H374" s="216"/>
      <c r="I374" s="216"/>
      <c r="J374" s="216"/>
      <c r="K374" s="216"/>
      <c r="L374" s="216"/>
    </row>
    <row r="375" spans="1:12" ht="15.6" x14ac:dyDescent="0.35">
      <c r="A375" s="51"/>
      <c r="B375" s="68" t="s">
        <v>127</v>
      </c>
      <c r="C375" s="68"/>
      <c r="D375" s="68"/>
      <c r="E375" s="251"/>
      <c r="F375" s="128"/>
      <c r="G375" s="247">
        <v>10</v>
      </c>
      <c r="H375" s="129"/>
      <c r="I375" s="129"/>
      <c r="J375" s="129"/>
      <c r="K375" s="129"/>
      <c r="L375" s="129"/>
    </row>
    <row r="376" spans="1:12" ht="15.6" x14ac:dyDescent="0.35">
      <c r="A376" s="51"/>
      <c r="B376" s="68" t="s">
        <v>128</v>
      </c>
      <c r="C376" s="68"/>
      <c r="D376" s="68"/>
      <c r="E376" s="252"/>
      <c r="F376" s="128"/>
      <c r="G376" s="248" t="s">
        <v>129</v>
      </c>
      <c r="H376" s="129"/>
      <c r="I376" s="129"/>
      <c r="J376" s="129"/>
      <c r="K376" s="129"/>
      <c r="L376" s="129"/>
    </row>
    <row r="377" spans="1:12" ht="15.6" x14ac:dyDescent="0.35">
      <c r="A377" s="51"/>
      <c r="B377" s="68"/>
      <c r="C377" s="68"/>
      <c r="D377" s="68"/>
      <c r="E377" s="73"/>
      <c r="F377" s="128"/>
      <c r="G377" s="128"/>
      <c r="H377" s="217"/>
      <c r="I377" s="129"/>
      <c r="J377" s="129"/>
      <c r="K377" s="129"/>
      <c r="L377" s="129"/>
    </row>
    <row r="378" spans="1:12" ht="15.6" x14ac:dyDescent="0.35">
      <c r="A378" s="51"/>
      <c r="B378" s="68" cm="1">
        <f t="array" ref="B378:B382">TRANSPOSE(H364:L364)</f>
        <v>2026</v>
      </c>
      <c r="C378" s="246" cm="1">
        <f t="array" ref="C378:C382">TRANSPOSE(H367:L367)</f>
        <v>185.65322634979094</v>
      </c>
      <c r="D378" s="68"/>
      <c r="E378" s="73"/>
      <c r="F378" s="128"/>
      <c r="G378" s="128"/>
      <c r="H378" s="246">
        <f>MIN(IF($B378=H$364, 0.5*$C378/$G$375, $C378/$G$375), ($C378-SUM($G378:G378)))</f>
        <v>9.2826613174895467</v>
      </c>
      <c r="I378" s="246">
        <f>MIN(IF($B378=I$364, 0.5*$C378/$G$375, $C378/$G$375), ($C378-SUM($G378:H378)))</f>
        <v>18.565322634979093</v>
      </c>
      <c r="J378" s="246">
        <f>MIN(IF($B378=J$364, 0.5*$C378/$G$375, $C378/$G$375), ($C378-SUM($G378:I378)))</f>
        <v>18.565322634979093</v>
      </c>
      <c r="K378" s="246">
        <f>MIN(IF($B378=K$364, 0.5*$C378/$G$375, $C378/$G$375), ($C378-SUM($G378:J378)))</f>
        <v>18.565322634979093</v>
      </c>
      <c r="L378" s="246">
        <f>MIN(IF($B378=L$364, 0.5*$C378/$G$375, $C378/$G$375), ($C378-SUM($G378:K378)))</f>
        <v>18.565322634979093</v>
      </c>
    </row>
    <row r="379" spans="1:12" ht="15.6" x14ac:dyDescent="0.35">
      <c r="A379" s="51"/>
      <c r="B379" s="68">
        <v>2027</v>
      </c>
      <c r="C379" s="246">
        <v>174.11867301997518</v>
      </c>
      <c r="D379" s="68"/>
      <c r="E379" s="73"/>
      <c r="F379" s="128"/>
      <c r="G379" s="128"/>
      <c r="H379" s="249"/>
      <c r="I379" s="246">
        <f>MIN(IF($B379=I$364, 0.5*$C379/$G$375, $C379/$G$375), ($C379-SUM($G379:H379)))</f>
        <v>8.7059336509987588</v>
      </c>
      <c r="J379" s="246">
        <f>MIN(IF($B379=J$364, 0.5*$C379/$G$375, $C379/$G$375), ($C379-SUM($G379:I379)))</f>
        <v>17.411867301997518</v>
      </c>
      <c r="K379" s="246">
        <f>MIN(IF($B379=K$364, 0.5*$C379/$G$375, $C379/$G$375), ($C379-SUM($G379:J379)))</f>
        <v>17.411867301997518</v>
      </c>
      <c r="L379" s="246">
        <f>MIN(IF($B379=L$364, 0.5*$C379/$G$375, $C379/$G$375), ($C379-SUM($G379:K379)))</f>
        <v>17.411867301997518</v>
      </c>
    </row>
    <row r="380" spans="1:12" ht="15.6" x14ac:dyDescent="0.35">
      <c r="A380" s="51"/>
      <c r="B380" s="68">
        <v>2028</v>
      </c>
      <c r="C380" s="246">
        <v>159.25813550846061</v>
      </c>
      <c r="D380" s="68"/>
      <c r="E380" s="73"/>
      <c r="F380" s="128"/>
      <c r="G380" s="128"/>
      <c r="H380" s="249"/>
      <c r="I380" s="249"/>
      <c r="J380" s="246">
        <f>MIN(IF($B380=J$364, 0.5*$C380/$G$375, $C380/$G$375), ($C380-SUM($G380:I380)))</f>
        <v>7.9629067754230309</v>
      </c>
      <c r="K380" s="246">
        <f>MIN(IF($B380=K$364, 0.5*$C380/$G$375, $C380/$G$375), ($C380-SUM($G380:J380)))</f>
        <v>15.925813550846062</v>
      </c>
      <c r="L380" s="246">
        <f>MIN(IF($B380=L$364, 0.5*$C380/$G$375, $C380/$G$375), ($C380-SUM($G380:K380)))</f>
        <v>15.925813550846062</v>
      </c>
    </row>
    <row r="381" spans="1:12" ht="15.6" x14ac:dyDescent="0.35">
      <c r="A381" s="51"/>
      <c r="B381" s="68">
        <v>2029</v>
      </c>
      <c r="C381" s="246">
        <v>155.20085239913971</v>
      </c>
      <c r="D381" s="73"/>
      <c r="E381" s="73"/>
      <c r="F381" s="128"/>
      <c r="G381" s="128"/>
      <c r="H381" s="249"/>
      <c r="I381" s="249"/>
      <c r="J381" s="249"/>
      <c r="K381" s="246">
        <f>MIN(IF($B381=K$364, 0.5*$C381/$G$375, $C381/$G$375), ($C381-SUM($G381:J381)))</f>
        <v>7.7600426199569856</v>
      </c>
      <c r="L381" s="246">
        <f>MIN(IF($B381=L$364, 0.5*$C381/$G$375, $C381/$G$375), ($C381-SUM($G381:K381)))</f>
        <v>15.520085239913971</v>
      </c>
    </row>
    <row r="382" spans="1:12" ht="15.6" x14ac:dyDescent="0.35">
      <c r="A382" s="51"/>
      <c r="B382" s="68">
        <v>2030</v>
      </c>
      <c r="C382" s="246">
        <v>164.5934882228122</v>
      </c>
      <c r="D382" s="68"/>
      <c r="E382" s="73"/>
      <c r="F382" s="128"/>
      <c r="G382" s="128"/>
      <c r="H382" s="249"/>
      <c r="I382" s="249"/>
      <c r="J382" s="249"/>
      <c r="K382" s="249"/>
      <c r="L382" s="246">
        <f>MIN(IF($B382=L$364, 0.5*$C382/$G$375, $C382/$G$375), ($C382-SUM($G382:K382)))</f>
        <v>8.2296744111406106</v>
      </c>
    </row>
    <row r="383" spans="1:12" ht="15.6" x14ac:dyDescent="0.35">
      <c r="A383" s="51"/>
      <c r="B383" s="147" t="s">
        <v>146</v>
      </c>
      <c r="C383" s="146"/>
      <c r="D383" s="147"/>
      <c r="E383" s="146"/>
      <c r="F383" s="250"/>
      <c r="G383" s="250"/>
      <c r="H383" s="253">
        <f t="shared" ref="H383:K383" si="184">SUM(H378:H382)</f>
        <v>9.2826613174895467</v>
      </c>
      <c r="I383" s="253">
        <f t="shared" si="184"/>
        <v>27.271256285977852</v>
      </c>
      <c r="J383" s="253">
        <f t="shared" si="184"/>
        <v>43.940096712399644</v>
      </c>
      <c r="K383" s="253">
        <f t="shared" si="184"/>
        <v>59.663046107779657</v>
      </c>
      <c r="L383" s="253">
        <f>SUM(L378:L382)</f>
        <v>75.652763138877248</v>
      </c>
    </row>
    <row r="384" spans="1:12" ht="15.6" x14ac:dyDescent="0.35">
      <c r="A384" s="51"/>
      <c r="B384" s="68" t="s">
        <v>147</v>
      </c>
      <c r="C384" s="68"/>
      <c r="D384" s="68"/>
      <c r="E384" s="73"/>
      <c r="F384" s="128"/>
      <c r="G384" s="128"/>
      <c r="H384" s="246">
        <f>MIN($G$60/$G$375, ($G$60 - SUM($G$384:G384)))</f>
        <v>83.210000000000008</v>
      </c>
      <c r="I384" s="246">
        <f>MIN($G$60/$G$375, ($G$60 - SUM($G$384:H384)))</f>
        <v>83.210000000000008</v>
      </c>
      <c r="J384" s="246">
        <f>MIN($G$60/$G$375, ($G$60 - SUM($G$384:I384)))</f>
        <v>83.210000000000008</v>
      </c>
      <c r="K384" s="246">
        <f>MIN($G$60/$G$375, ($G$60 - SUM($G$384:J384)))</f>
        <v>83.210000000000008</v>
      </c>
      <c r="L384" s="246">
        <f>MIN($G$60/$G$375, ($G$60 - SUM($G$384:K384)))</f>
        <v>83.210000000000008</v>
      </c>
    </row>
    <row r="385" spans="1:12" ht="15.6" x14ac:dyDescent="0.35">
      <c r="A385" s="51"/>
      <c r="B385" s="147" t="s">
        <v>23</v>
      </c>
      <c r="C385" s="147"/>
      <c r="D385" s="147"/>
      <c r="E385" s="147"/>
      <c r="F385" s="236">
        <v>76.599999999999994</v>
      </c>
      <c r="G385" s="236">
        <v>90.7</v>
      </c>
      <c r="H385" s="253">
        <f>SUM(H383:H384)</f>
        <v>92.492661317489549</v>
      </c>
      <c r="I385" s="253">
        <f t="shared" ref="I385:L385" si="185">SUM(I383:I384)</f>
        <v>110.48125628597786</v>
      </c>
      <c r="J385" s="253">
        <f t="shared" si="185"/>
        <v>127.15009671239966</v>
      </c>
      <c r="K385" s="253">
        <f t="shared" si="185"/>
        <v>142.87304610777966</v>
      </c>
      <c r="L385" s="253">
        <f t="shared" si="185"/>
        <v>158.86276313887726</v>
      </c>
    </row>
    <row r="386" spans="1:12" ht="15.6" x14ac:dyDescent="0.35">
      <c r="A386" s="51"/>
      <c r="B386" s="68"/>
      <c r="C386" s="68"/>
      <c r="D386" s="68"/>
      <c r="E386" s="68"/>
      <c r="F386" s="101"/>
      <c r="G386" s="101"/>
      <c r="H386" s="218"/>
      <c r="I386" s="218"/>
      <c r="J386" s="218"/>
      <c r="K386" s="218"/>
      <c r="L386" s="218"/>
    </row>
    <row r="387" spans="1:12" ht="15.6" x14ac:dyDescent="0.35">
      <c r="A387" s="51"/>
      <c r="B387" s="94" t="s">
        <v>148</v>
      </c>
      <c r="C387" s="95"/>
      <c r="D387" s="96"/>
      <c r="E387" s="96"/>
      <c r="F387" s="97"/>
      <c r="G387" s="97"/>
      <c r="H387" s="98"/>
      <c r="I387" s="98"/>
      <c r="J387" s="98"/>
      <c r="K387" s="98"/>
      <c r="L387" s="99"/>
    </row>
    <row r="388" spans="1:12" ht="15.6" x14ac:dyDescent="0.35">
      <c r="A388" s="51"/>
      <c r="B388" s="73"/>
      <c r="C388" s="73"/>
      <c r="D388" s="73"/>
      <c r="E388" s="73"/>
      <c r="F388" s="198"/>
      <c r="G388" s="198"/>
      <c r="H388" s="111"/>
      <c r="I388" s="111"/>
      <c r="J388" s="111"/>
      <c r="K388" s="111"/>
      <c r="L388" s="111"/>
    </row>
    <row r="389" spans="1:12" ht="15.6" x14ac:dyDescent="0.35">
      <c r="A389" s="51"/>
      <c r="B389" s="68" t="s">
        <v>149</v>
      </c>
      <c r="C389" s="73"/>
      <c r="D389" s="73"/>
      <c r="E389" s="73"/>
      <c r="F389" s="73"/>
      <c r="G389" s="198"/>
      <c r="H389" s="101">
        <f>G60</f>
        <v>832.1</v>
      </c>
      <c r="I389" s="101">
        <f>H393</f>
        <v>925.26056503230143</v>
      </c>
      <c r="J389" s="101">
        <f t="shared" ref="J389:L389" si="186">I393</f>
        <v>988.8979817662987</v>
      </c>
      <c r="K389" s="101">
        <f t="shared" si="186"/>
        <v>1021.0060205623596</v>
      </c>
      <c r="L389" s="101">
        <f t="shared" si="186"/>
        <v>1033.3338268537198</v>
      </c>
    </row>
    <row r="390" spans="1:12" ht="15.6" x14ac:dyDescent="0.35">
      <c r="A390" s="51"/>
      <c r="B390" s="68" t="s">
        <v>24</v>
      </c>
      <c r="C390" s="73"/>
      <c r="D390" s="73"/>
      <c r="E390" s="73"/>
      <c r="F390" s="73"/>
      <c r="G390" s="198"/>
      <c r="H390" s="101">
        <f>H367</f>
        <v>185.65322634979094</v>
      </c>
      <c r="I390" s="101">
        <f t="shared" ref="I390:L390" si="187">I367</f>
        <v>174.11867301997518</v>
      </c>
      <c r="J390" s="101">
        <f t="shared" si="187"/>
        <v>159.25813550846061</v>
      </c>
      <c r="K390" s="101">
        <f t="shared" si="187"/>
        <v>155.20085239913971</v>
      </c>
      <c r="L390" s="101">
        <f t="shared" si="187"/>
        <v>164.5934882228122</v>
      </c>
    </row>
    <row r="391" spans="1:12" ht="15.6" x14ac:dyDescent="0.35">
      <c r="A391" s="51"/>
      <c r="B391" s="68" t="s">
        <v>22</v>
      </c>
      <c r="C391" s="73"/>
      <c r="D391" s="73"/>
      <c r="E391" s="73"/>
      <c r="F391" s="73"/>
      <c r="G391" s="198"/>
      <c r="H391" s="101">
        <f>-H385</f>
        <v>-92.492661317489549</v>
      </c>
      <c r="I391" s="101">
        <f t="shared" ref="I391:L391" si="188">-I385</f>
        <v>-110.48125628597786</v>
      </c>
      <c r="J391" s="101">
        <f t="shared" si="188"/>
        <v>-127.15009671239966</v>
      </c>
      <c r="K391" s="101">
        <f t="shared" si="188"/>
        <v>-142.87304610777966</v>
      </c>
      <c r="L391" s="101">
        <f t="shared" si="188"/>
        <v>-158.86276313887726</v>
      </c>
    </row>
    <row r="392" spans="1:12" ht="15.6" x14ac:dyDescent="0.35">
      <c r="A392" s="51"/>
      <c r="B392" s="139" t="s">
        <v>150</v>
      </c>
      <c r="C392" s="139"/>
      <c r="D392" s="139"/>
      <c r="E392" s="139"/>
      <c r="F392" s="139"/>
      <c r="G392" s="254"/>
      <c r="H392" s="151"/>
      <c r="I392" s="151"/>
      <c r="J392" s="151"/>
      <c r="K392" s="151"/>
      <c r="L392" s="151"/>
    </row>
    <row r="393" spans="1:12" ht="15.6" x14ac:dyDescent="0.35">
      <c r="A393" s="51"/>
      <c r="B393" s="68" t="s">
        <v>151</v>
      </c>
      <c r="C393" s="68"/>
      <c r="D393" s="68"/>
      <c r="E393" s="68"/>
      <c r="F393" s="68"/>
      <c r="G393" s="101"/>
      <c r="H393" s="101">
        <f>SUM(H389:H392)</f>
        <v>925.26056503230143</v>
      </c>
      <c r="I393" s="101">
        <f t="shared" ref="I393:L393" si="189">SUM(I389:I392)</f>
        <v>988.8979817662987</v>
      </c>
      <c r="J393" s="101">
        <f t="shared" si="189"/>
        <v>1021.0060205623596</v>
      </c>
      <c r="K393" s="101">
        <f t="shared" si="189"/>
        <v>1033.3338268537198</v>
      </c>
      <c r="L393" s="101">
        <f t="shared" si="189"/>
        <v>1039.0645519376549</v>
      </c>
    </row>
    <row r="394" spans="1:12" ht="15.6" x14ac:dyDescent="0.35">
      <c r="A394" s="51"/>
      <c r="B394" s="73"/>
      <c r="C394" s="73"/>
      <c r="D394" s="73"/>
      <c r="E394" s="73"/>
      <c r="F394" s="73"/>
      <c r="G394" s="111"/>
      <c r="H394" s="111"/>
      <c r="I394" s="111"/>
      <c r="J394" s="111"/>
      <c r="K394" s="111"/>
      <c r="L394" s="111"/>
    </row>
    <row r="395" spans="1:12" ht="15.6" x14ac:dyDescent="0.35">
      <c r="A395" s="51"/>
      <c r="B395" s="94" t="s">
        <v>31</v>
      </c>
      <c r="C395" s="95"/>
      <c r="D395" s="96"/>
      <c r="E395" s="96"/>
      <c r="F395" s="97"/>
      <c r="G395" s="97"/>
      <c r="H395" s="98"/>
      <c r="I395" s="98"/>
      <c r="J395" s="98"/>
      <c r="K395" s="98"/>
      <c r="L395" s="99"/>
    </row>
    <row r="396" spans="1:12" ht="15.6" x14ac:dyDescent="0.35">
      <c r="A396" s="51"/>
      <c r="B396" s="68"/>
      <c r="C396" s="68"/>
      <c r="D396" s="68"/>
      <c r="E396" s="73"/>
      <c r="F396" s="73"/>
      <c r="G396" s="198"/>
      <c r="H396" s="110"/>
      <c r="I396" s="110"/>
      <c r="J396" s="110"/>
      <c r="K396" s="110"/>
      <c r="L396" s="110"/>
    </row>
    <row r="397" spans="1:12" ht="15.6" x14ac:dyDescent="0.35">
      <c r="A397" s="51"/>
      <c r="B397" s="68" t="s">
        <v>152</v>
      </c>
      <c r="C397" s="68"/>
      <c r="D397" s="68"/>
      <c r="E397" s="73"/>
      <c r="F397" s="73"/>
      <c r="G397" s="247">
        <v>5</v>
      </c>
      <c r="H397" s="129"/>
      <c r="I397" s="129"/>
      <c r="J397" s="129"/>
      <c r="K397" s="129"/>
      <c r="L397" s="129"/>
    </row>
    <row r="398" spans="1:12" ht="15.6" x14ac:dyDescent="0.35">
      <c r="A398" s="51"/>
      <c r="B398" s="73" t="s">
        <v>128</v>
      </c>
      <c r="C398" s="73"/>
      <c r="D398" s="73"/>
      <c r="E398" s="73"/>
      <c r="F398" s="73"/>
      <c r="G398" s="248" t="s">
        <v>129</v>
      </c>
      <c r="H398" s="111"/>
      <c r="I398" s="111"/>
      <c r="J398" s="111"/>
      <c r="K398" s="111"/>
      <c r="L398" s="111"/>
    </row>
    <row r="399" spans="1:12" ht="15.6" x14ac:dyDescent="0.35">
      <c r="A399" s="51"/>
      <c r="B399" s="68"/>
      <c r="C399" s="68"/>
      <c r="D399" s="68"/>
      <c r="E399" s="68"/>
      <c r="F399" s="101"/>
      <c r="G399" s="101"/>
      <c r="H399" s="101"/>
      <c r="I399" s="101"/>
      <c r="J399" s="101"/>
      <c r="K399" s="101"/>
      <c r="L399" s="101"/>
    </row>
    <row r="400" spans="1:12" ht="15.6" x14ac:dyDescent="0.35">
      <c r="A400" s="51"/>
      <c r="B400" s="68" cm="1">
        <f t="array" ref="B400:B404">TRANSPOSE(H364:L364)</f>
        <v>2026</v>
      </c>
      <c r="C400" s="246" cm="1">
        <f t="array" ref="C400:C404">TRANSPOSE(H370:L370)</f>
        <v>17.404989970292899</v>
      </c>
      <c r="D400" s="68"/>
      <c r="E400" s="68"/>
      <c r="F400" s="101"/>
      <c r="G400" s="101"/>
      <c r="H400" s="246">
        <f>MIN(IF($B400=H$364, 0.5*$C400/$G$397, $C400/$G$375), ($C400-SUM($G400:G400)))</f>
        <v>1.7404989970292899</v>
      </c>
      <c r="I400" s="246">
        <f>MIN(IF($B400=I$364, 0.5*$C400/$G$397, $C400/$G$397), ($C400-SUM($G400:H400)))</f>
        <v>3.4809979940585798</v>
      </c>
      <c r="J400" s="246">
        <f>MIN(IF($B400=J$364, 0.5*$C400/$G$397, $C400/$G$397), ($C400-SUM($G400:I400)))</f>
        <v>3.4809979940585798</v>
      </c>
      <c r="K400" s="246">
        <f>MIN(IF($B400=K$364, 0.5*$C400/$G$397, $C400/$G$397), ($C400-SUM($G400:J400)))</f>
        <v>3.4809979940585798</v>
      </c>
      <c r="L400" s="246">
        <f>MIN(IF($B400=L$364, 0.5*$C400/$G$397, $C400/$G$397), ($C400-SUM($G400:K400)))</f>
        <v>3.4809979940585798</v>
      </c>
    </row>
    <row r="401" spans="1:12" ht="15.6" x14ac:dyDescent="0.35">
      <c r="A401" s="51"/>
      <c r="B401" s="68">
        <v>2027</v>
      </c>
      <c r="C401" s="246">
        <v>18.655572109283053</v>
      </c>
      <c r="D401" s="68"/>
      <c r="E401" s="68"/>
      <c r="F401" s="101"/>
      <c r="G401" s="101"/>
      <c r="H401" s="249"/>
      <c r="I401" s="246">
        <f>MIN(IF($B401=I$364, 0.5*$C401/$G$397, $C401/$G$397), ($C401-SUM($G401:H401)))</f>
        <v>1.8655572109283054</v>
      </c>
      <c r="J401" s="246">
        <f>MIN(IF($B401=J$364, 0.5*$C401/$G$397, $C401/$G$397), ($C401-SUM($G401:I401)))</f>
        <v>3.7311144218566108</v>
      </c>
      <c r="K401" s="246">
        <f>MIN(IF($B401=K$364, 0.5*$C401/$G$397, $C401/$G$397), ($C401-SUM($G401:J401)))</f>
        <v>3.7311144218566108</v>
      </c>
      <c r="L401" s="246">
        <f>MIN(IF($B401=L$364, 0.5*$C401/$G$397, $C401/$G$397), ($C401-SUM($G401:K401)))</f>
        <v>3.7311144218566108</v>
      </c>
    </row>
    <row r="402" spans="1:12" ht="15.6" x14ac:dyDescent="0.35">
      <c r="A402" s="51"/>
      <c r="B402" s="68">
        <v>2028</v>
      </c>
      <c r="C402" s="246">
        <v>19.907266938557576</v>
      </c>
      <c r="D402" s="68"/>
      <c r="E402" s="68"/>
      <c r="F402" s="101"/>
      <c r="G402" s="101"/>
      <c r="H402" s="249"/>
      <c r="I402" s="249"/>
      <c r="J402" s="246">
        <f>MIN(IF($B402=J$364, 0.5*$C402/$G$397, $C402/$G$397), ($C402-SUM($G402:I402)))</f>
        <v>1.9907266938557577</v>
      </c>
      <c r="K402" s="246">
        <f>MIN(IF($B402=K$364, 0.5*$C402/$G$397, $C402/$G$397), ($C402-SUM($G402:J402)))</f>
        <v>3.9814533877115155</v>
      </c>
      <c r="L402" s="246">
        <f>MIN(IF($B402=L$364, 0.5*$C402/$G$397, $C402/$G$397), ($C402-SUM($G402:K402)))</f>
        <v>3.9814533877115155</v>
      </c>
    </row>
    <row r="403" spans="1:12" ht="15.6" x14ac:dyDescent="0.35">
      <c r="A403" s="51"/>
      <c r="B403" s="68">
        <v>2029</v>
      </c>
      <c r="C403" s="246">
        <v>21.163752599882685</v>
      </c>
      <c r="D403" s="68"/>
      <c r="E403" s="68"/>
      <c r="F403" s="100"/>
      <c r="G403" s="100"/>
      <c r="H403" s="249"/>
      <c r="I403" s="249"/>
      <c r="J403" s="249"/>
      <c r="K403" s="246">
        <f>MIN(IF($B403=K$364, 0.5*$C403/$G$397, $C403/$G$397), ($C403-SUM($G403:J403)))</f>
        <v>2.1163752599882684</v>
      </c>
      <c r="L403" s="246">
        <f>MIN(IF($B403=L$364, 0.5*$C403/$G$397, $C403/$G$397), ($C403-SUM($G403:K403)))</f>
        <v>4.2327505199765367</v>
      </c>
    </row>
    <row r="404" spans="1:12" ht="15.6" x14ac:dyDescent="0.35">
      <c r="A404" s="51"/>
      <c r="B404" s="68">
        <v>2030</v>
      </c>
      <c r="C404" s="246">
        <v>22.444566575838024</v>
      </c>
      <c r="D404" s="68"/>
      <c r="E404" s="68"/>
      <c r="F404" s="100"/>
      <c r="G404" s="100"/>
      <c r="H404" s="249"/>
      <c r="I404" s="249"/>
      <c r="J404" s="249"/>
      <c r="K404" s="249"/>
      <c r="L404" s="246">
        <f>MIN(IF($B404=L$364, 0.5*$C404/$G$397, $C404/$G$375), ($C404-SUM($G404:K404)))</f>
        <v>2.2444566575838025</v>
      </c>
    </row>
    <row r="405" spans="1:12" ht="15.6" x14ac:dyDescent="0.35">
      <c r="A405" s="51"/>
      <c r="B405" s="147" t="s">
        <v>156</v>
      </c>
      <c r="C405" s="146"/>
      <c r="D405" s="146"/>
      <c r="E405" s="146"/>
      <c r="F405" s="256"/>
      <c r="G405" s="256"/>
      <c r="H405" s="253">
        <f t="shared" ref="H405:K405" si="190">SUM(H400:H404)</f>
        <v>1.7404989970292899</v>
      </c>
      <c r="I405" s="253">
        <f t="shared" si="190"/>
        <v>5.3465552049868847</v>
      </c>
      <c r="J405" s="253">
        <f t="shared" si="190"/>
        <v>9.2028391097709488</v>
      </c>
      <c r="K405" s="253">
        <f t="shared" si="190"/>
        <v>13.309941063614975</v>
      </c>
      <c r="L405" s="253">
        <f>SUM(L400:L404)</f>
        <v>17.670772981187046</v>
      </c>
    </row>
    <row r="406" spans="1:12" ht="15.6" x14ac:dyDescent="0.35">
      <c r="A406" s="51"/>
      <c r="B406" s="139" t="s">
        <v>157</v>
      </c>
      <c r="C406" s="257"/>
      <c r="D406" s="257"/>
      <c r="E406" s="257"/>
      <c r="F406" s="258"/>
      <c r="G406" s="258"/>
      <c r="H406" s="246">
        <f>MIN($H$411/$G$397, ($H$411 - SUM($G$406:G406)))</f>
        <v>8.6</v>
      </c>
      <c r="I406" s="246">
        <f>MIN($H$411/$G$397, ($H$411 - SUM($G$406:H406)))</f>
        <v>8.6</v>
      </c>
      <c r="J406" s="246">
        <f>MIN($H$411/$G$397, ($H$411 - SUM($G$406:I406)))</f>
        <v>8.6</v>
      </c>
      <c r="K406" s="246">
        <f>MIN($H$411/$G$397, ($H$411 - SUM($G$406:J406)))</f>
        <v>8.6</v>
      </c>
      <c r="L406" s="246">
        <f>MIN($H$411/$G$397, ($H$411 - SUM($G$406:K406)))</f>
        <v>8.6</v>
      </c>
    </row>
    <row r="407" spans="1:12" ht="15.6" x14ac:dyDescent="0.35">
      <c r="A407" s="51"/>
      <c r="B407" s="68" t="s">
        <v>183</v>
      </c>
      <c r="C407" s="73"/>
      <c r="D407" s="73"/>
      <c r="E407" s="73"/>
      <c r="F407" s="100">
        <v>4.2</v>
      </c>
      <c r="G407" s="100">
        <v>4.7</v>
      </c>
      <c r="H407" s="253">
        <f>SUM(H405:H406)</f>
        <v>10.34049899702929</v>
      </c>
      <c r="I407" s="253">
        <f t="shared" ref="I407:L407" si="191">SUM(I405:I406)</f>
        <v>13.946555204986884</v>
      </c>
      <c r="J407" s="253">
        <f t="shared" si="191"/>
        <v>17.80283910977095</v>
      </c>
      <c r="K407" s="253">
        <f t="shared" si="191"/>
        <v>21.909941063614973</v>
      </c>
      <c r="L407" s="253">
        <f t="shared" si="191"/>
        <v>26.270772981187044</v>
      </c>
    </row>
    <row r="408" spans="1:12" ht="15.6" x14ac:dyDescent="0.35">
      <c r="A408" s="51"/>
      <c r="B408" s="73"/>
      <c r="C408" s="73"/>
      <c r="D408" s="73"/>
      <c r="E408" s="73"/>
      <c r="F408" s="198"/>
      <c r="G408" s="198"/>
      <c r="H408" s="111"/>
      <c r="I408" s="111"/>
      <c r="J408" s="111"/>
      <c r="K408" s="111"/>
      <c r="L408" s="111"/>
    </row>
    <row r="409" spans="1:12" ht="15.6" x14ac:dyDescent="0.35">
      <c r="A409" s="51"/>
      <c r="B409" s="94" t="s">
        <v>158</v>
      </c>
      <c r="C409" s="95"/>
      <c r="D409" s="96"/>
      <c r="E409" s="96"/>
      <c r="F409" s="97"/>
      <c r="G409" s="97"/>
      <c r="H409" s="98"/>
      <c r="I409" s="98"/>
      <c r="J409" s="98"/>
      <c r="K409" s="98"/>
      <c r="L409" s="99"/>
    </row>
    <row r="410" spans="1:12" ht="15.6" x14ac:dyDescent="0.35">
      <c r="A410" s="51"/>
      <c r="B410" s="73"/>
      <c r="C410" s="73"/>
      <c r="D410" s="73"/>
      <c r="E410" s="73"/>
      <c r="F410" s="198"/>
      <c r="G410" s="198"/>
      <c r="H410" s="111"/>
      <c r="I410" s="111"/>
      <c r="J410" s="111"/>
      <c r="K410" s="111"/>
      <c r="L410" s="111"/>
    </row>
    <row r="411" spans="1:12" ht="15.6" x14ac:dyDescent="0.35">
      <c r="A411" s="51"/>
      <c r="B411" s="68" t="s">
        <v>159</v>
      </c>
      <c r="C411" s="73"/>
      <c r="D411" s="73"/>
      <c r="E411" s="73"/>
      <c r="F411" s="73"/>
      <c r="G411" s="198"/>
      <c r="H411" s="101">
        <f>G61</f>
        <v>43</v>
      </c>
      <c r="I411" s="101">
        <f>H414</f>
        <v>50.064490973263617</v>
      </c>
      <c r="J411" s="101">
        <f t="shared" ref="J411:L411" si="192">I414</f>
        <v>54.773507877559787</v>
      </c>
      <c r="K411" s="101">
        <f t="shared" si="192"/>
        <v>56.877935706346413</v>
      </c>
      <c r="L411" s="101">
        <f t="shared" si="192"/>
        <v>56.131747242614132</v>
      </c>
    </row>
    <row r="412" spans="1:12" ht="15.6" x14ac:dyDescent="0.35">
      <c r="A412" s="51"/>
      <c r="B412" s="68" t="s">
        <v>32</v>
      </c>
      <c r="C412" s="73"/>
      <c r="D412" s="73"/>
      <c r="E412" s="73"/>
      <c r="F412" s="73"/>
      <c r="G412" s="198"/>
      <c r="H412" s="101">
        <f>H370</f>
        <v>17.404989970292899</v>
      </c>
      <c r="I412" s="101">
        <f t="shared" ref="I412:L412" si="193">I370</f>
        <v>18.655572109283053</v>
      </c>
      <c r="J412" s="101">
        <f t="shared" si="193"/>
        <v>19.907266938557576</v>
      </c>
      <c r="K412" s="101">
        <f t="shared" si="193"/>
        <v>21.163752599882685</v>
      </c>
      <c r="L412" s="101">
        <f t="shared" si="193"/>
        <v>22.444566575838024</v>
      </c>
    </row>
    <row r="413" spans="1:12" ht="15.6" x14ac:dyDescent="0.35">
      <c r="A413" s="51"/>
      <c r="B413" s="68" t="s">
        <v>31</v>
      </c>
      <c r="C413" s="73"/>
      <c r="D413" s="73"/>
      <c r="E413" s="73"/>
      <c r="F413" s="73"/>
      <c r="G413" s="198"/>
      <c r="H413" s="101">
        <f>-H407</f>
        <v>-10.34049899702929</v>
      </c>
      <c r="I413" s="101">
        <f t="shared" ref="I413:L413" si="194">-I407</f>
        <v>-13.946555204986884</v>
      </c>
      <c r="J413" s="101">
        <f t="shared" si="194"/>
        <v>-17.80283910977095</v>
      </c>
      <c r="K413" s="101">
        <f t="shared" si="194"/>
        <v>-21.909941063614973</v>
      </c>
      <c r="L413" s="101">
        <f t="shared" si="194"/>
        <v>-26.270772981187044</v>
      </c>
    </row>
    <row r="414" spans="1:12" ht="15.6" x14ac:dyDescent="0.35">
      <c r="A414" s="51"/>
      <c r="B414" s="147" t="s">
        <v>160</v>
      </c>
      <c r="C414" s="147"/>
      <c r="D414" s="147"/>
      <c r="E414" s="147"/>
      <c r="F414" s="147"/>
      <c r="G414" s="241"/>
      <c r="H414" s="241">
        <f>SUM(H411:H413)</f>
        <v>50.064490973263617</v>
      </c>
      <c r="I414" s="241">
        <f t="shared" ref="I414:L414" si="195">SUM(I411:I413)</f>
        <v>54.773507877559787</v>
      </c>
      <c r="J414" s="241">
        <f t="shared" si="195"/>
        <v>56.877935706346413</v>
      </c>
      <c r="K414" s="241">
        <f t="shared" si="195"/>
        <v>56.131747242614132</v>
      </c>
      <c r="L414" s="241">
        <f t="shared" si="195"/>
        <v>52.305540837265106</v>
      </c>
    </row>
    <row r="415" spans="1:12" ht="15.6" x14ac:dyDescent="0.35">
      <c r="A415" s="51"/>
      <c r="B415" s="73"/>
      <c r="C415" s="73"/>
      <c r="D415" s="73"/>
      <c r="E415" s="73"/>
      <c r="F415" s="198"/>
      <c r="G415" s="198"/>
      <c r="H415" s="111"/>
      <c r="I415" s="111"/>
      <c r="J415" s="111"/>
      <c r="K415" s="111"/>
      <c r="L415" s="111"/>
    </row>
    <row r="416" spans="1:12" ht="15.6" x14ac:dyDescent="0.35">
      <c r="A416" s="51"/>
      <c r="B416" s="51"/>
      <c r="C416" s="51"/>
      <c r="D416" s="51"/>
      <c r="E416" s="51"/>
      <c r="F416" s="121"/>
      <c r="G416" s="121"/>
      <c r="H416" s="121"/>
      <c r="I416" s="121"/>
      <c r="J416" s="121"/>
      <c r="K416" s="121"/>
      <c r="L416" s="121"/>
    </row>
    <row r="417" spans="1:12" ht="15.6" x14ac:dyDescent="0.35">
      <c r="A417" s="51"/>
      <c r="B417" s="51"/>
      <c r="C417" s="51"/>
      <c r="D417" s="51"/>
      <c r="E417" s="51"/>
      <c r="F417" s="121"/>
      <c r="G417" s="121"/>
      <c r="H417" s="121"/>
      <c r="I417" s="121"/>
      <c r="J417" s="121"/>
      <c r="K417" s="121"/>
      <c r="L417" s="121"/>
    </row>
    <row r="418" spans="1:12" ht="28.8" x14ac:dyDescent="0.65">
      <c r="A418" s="51"/>
      <c r="B418" s="52" t="str">
        <f>Cover!$B$2</f>
        <v>Greggs</v>
      </c>
      <c r="C418" s="52"/>
      <c r="D418" s="53"/>
      <c r="E418" s="54"/>
      <c r="F418" s="54"/>
      <c r="G418" s="54"/>
      <c r="H418" s="54"/>
      <c r="I418" s="54"/>
      <c r="J418" s="54"/>
      <c r="K418" s="54"/>
      <c r="L418" s="54"/>
    </row>
    <row r="419" spans="1:12" ht="21" x14ac:dyDescent="0.5">
      <c r="A419" s="51"/>
      <c r="B419" s="55" t="s">
        <v>191</v>
      </c>
      <c r="C419" s="56"/>
      <c r="D419" s="54"/>
      <c r="E419" s="54"/>
      <c r="F419" s="54"/>
      <c r="G419" s="54"/>
      <c r="H419" s="54"/>
      <c r="I419" s="54"/>
      <c r="J419" s="54"/>
      <c r="K419" s="54"/>
      <c r="L419" s="377" t="str">
        <f>"Currently Running: "&amp;CHOOSE(Assumptions!$B$10,Assumptions!$F$15,Assumptions!$F$16,Assumptions!$F$17)&amp;"Scenario"</f>
        <v>Currently Running: Base Scenario</v>
      </c>
    </row>
    <row r="420" spans="1:12" ht="15.6" x14ac:dyDescent="0.35">
      <c r="A420" s="51"/>
      <c r="B420" s="57"/>
      <c r="C420" s="57"/>
      <c r="D420" s="57"/>
      <c r="E420" s="57"/>
      <c r="F420" s="57"/>
      <c r="G420" s="57"/>
      <c r="H420" s="57"/>
      <c r="I420" s="57"/>
      <c r="J420" s="57"/>
      <c r="K420" s="58"/>
      <c r="L420" s="58"/>
    </row>
    <row r="421" spans="1:12" ht="15.6" x14ac:dyDescent="0.35">
      <c r="A421" s="51"/>
      <c r="B421" s="58"/>
      <c r="C421" s="58"/>
      <c r="D421" s="58"/>
      <c r="E421" s="58"/>
      <c r="F421" s="59" t="s">
        <v>63</v>
      </c>
      <c r="G421" s="59"/>
      <c r="H421" s="59"/>
      <c r="I421" s="59"/>
      <c r="J421" s="59"/>
      <c r="K421" s="59"/>
      <c r="L421" s="59"/>
    </row>
    <row r="422" spans="1:12" ht="15.6" x14ac:dyDescent="0.35">
      <c r="A422" s="51"/>
      <c r="B422" s="58"/>
      <c r="C422" s="58"/>
      <c r="D422" s="58"/>
      <c r="E422" s="58"/>
      <c r="F422" s="60">
        <v>2024</v>
      </c>
      <c r="G422" s="60">
        <v>2025</v>
      </c>
      <c r="H422" s="61">
        <f>G422+1</f>
        <v>2026</v>
      </c>
      <c r="I422" s="61">
        <f t="shared" ref="I422" si="196">H422+1</f>
        <v>2027</v>
      </c>
      <c r="J422" s="61">
        <f t="shared" ref="J422" si="197">I422+1</f>
        <v>2028</v>
      </c>
      <c r="K422" s="61">
        <f t="shared" ref="K422" si="198">J422+1</f>
        <v>2029</v>
      </c>
      <c r="L422" s="61">
        <f t="shared" ref="L422" si="199">K422+1</f>
        <v>2030</v>
      </c>
    </row>
    <row r="423" spans="1:12" ht="16.2" thickBot="1" x14ac:dyDescent="0.4">
      <c r="A423" s="51"/>
      <c r="B423" s="62" t="s">
        <v>62</v>
      </c>
      <c r="C423" s="62"/>
      <c r="D423" s="62"/>
      <c r="E423" s="62"/>
      <c r="F423" s="63" t="s">
        <v>64</v>
      </c>
      <c r="G423" s="63"/>
      <c r="H423" s="64"/>
      <c r="I423" s="64"/>
      <c r="J423" s="64"/>
      <c r="K423" s="64"/>
      <c r="L423" s="64" t="s">
        <v>46</v>
      </c>
    </row>
    <row r="424" spans="1:12" ht="15.6" x14ac:dyDescent="0.35">
      <c r="A424" s="51"/>
      <c r="B424" s="58"/>
      <c r="C424" s="58"/>
      <c r="D424" s="58"/>
      <c r="E424" s="58"/>
      <c r="F424" s="92"/>
      <c r="G424" s="92"/>
      <c r="H424" s="93"/>
      <c r="I424" s="93"/>
      <c r="J424" s="93"/>
      <c r="K424" s="93"/>
      <c r="L424" s="93"/>
    </row>
    <row r="425" spans="1:12" ht="15.6" x14ac:dyDescent="0.35">
      <c r="A425" s="51"/>
      <c r="B425" s="68" t="s">
        <v>192</v>
      </c>
      <c r="C425" s="73"/>
      <c r="D425" s="73"/>
      <c r="E425" s="73"/>
      <c r="F425" s="198"/>
      <c r="G425" s="198"/>
      <c r="H425" s="101">
        <f>G56</f>
        <v>70.8</v>
      </c>
      <c r="I425" s="198">
        <f>H56</f>
        <v>47.724928072325255</v>
      </c>
      <c r="J425" s="198">
        <f>I56</f>
        <v>100.00970816222149</v>
      </c>
      <c r="K425" s="198">
        <f>J56</f>
        <v>202.92823266768488</v>
      </c>
      <c r="L425" s="198">
        <f>K56</f>
        <v>349.39014220612455</v>
      </c>
    </row>
    <row r="426" spans="1:12" ht="15.6" x14ac:dyDescent="0.35">
      <c r="A426" s="51"/>
      <c r="B426" s="68" t="s">
        <v>222</v>
      </c>
      <c r="C426" s="73"/>
      <c r="D426" s="73"/>
      <c r="E426" s="73"/>
      <c r="F426" s="198"/>
      <c r="G426" s="198"/>
      <c r="H426" s="264">
        <v>0.03</v>
      </c>
      <c r="I426" s="264">
        <v>0.03</v>
      </c>
      <c r="J426" s="264">
        <v>0.03</v>
      </c>
      <c r="K426" s="264">
        <v>0.03</v>
      </c>
      <c r="L426" s="264">
        <v>0.03</v>
      </c>
    </row>
    <row r="427" spans="1:12" ht="15.6" x14ac:dyDescent="0.35">
      <c r="A427" s="51"/>
      <c r="B427" s="68" t="s">
        <v>193</v>
      </c>
      <c r="C427" s="73"/>
      <c r="D427" s="73"/>
      <c r="E427" s="73"/>
      <c r="F427" s="198"/>
      <c r="G427" s="198"/>
      <c r="H427" s="101">
        <f>0.03*H10</f>
        <v>69.619959881171596</v>
      </c>
      <c r="I427" s="101">
        <f>0.03*I10</f>
        <v>74.622288437132212</v>
      </c>
      <c r="J427" s="101">
        <f>0.03*J10</f>
        <v>79.629067754230306</v>
      </c>
      <c r="K427" s="101">
        <f>0.03*K10</f>
        <v>84.655010399530738</v>
      </c>
      <c r="L427" s="101">
        <f>0.03*L10</f>
        <v>89.778266303352098</v>
      </c>
    </row>
    <row r="428" spans="1:12" ht="15.6" x14ac:dyDescent="0.35">
      <c r="A428" s="51"/>
      <c r="B428" s="147" t="s">
        <v>194</v>
      </c>
      <c r="C428" s="147"/>
      <c r="D428" s="146"/>
      <c r="E428" s="146"/>
      <c r="F428" s="256"/>
      <c r="G428" s="256"/>
      <c r="H428" s="241">
        <f>H425-H427</f>
        <v>1.1800401188284013</v>
      </c>
      <c r="I428" s="241">
        <f t="shared" ref="I428:L428" si="200">I425-I427</f>
        <v>-26.897360364806957</v>
      </c>
      <c r="J428" s="241">
        <f t="shared" si="200"/>
        <v>20.38064040799118</v>
      </c>
      <c r="K428" s="241">
        <f t="shared" si="200"/>
        <v>118.27322226815414</v>
      </c>
      <c r="L428" s="241">
        <f t="shared" si="200"/>
        <v>259.61187590277245</v>
      </c>
    </row>
    <row r="429" spans="1:12" ht="15.6" x14ac:dyDescent="0.35">
      <c r="A429" s="51"/>
      <c r="B429" s="68" t="s">
        <v>196</v>
      </c>
      <c r="C429" s="68"/>
      <c r="D429" s="68"/>
      <c r="E429" s="68"/>
      <c r="F429" s="101"/>
      <c r="G429" s="101"/>
      <c r="H429" s="254">
        <f>H109+H115</f>
        <v>111.14062254120449</v>
      </c>
      <c r="I429" s="254">
        <f>I109+I115</f>
        <v>165.04153628295902</v>
      </c>
      <c r="J429" s="254">
        <f>J109+J115</f>
        <v>221.52674737080011</v>
      </c>
      <c r="K429" s="254">
        <f>K109+K115</f>
        <v>273.50841796010138</v>
      </c>
      <c r="L429" s="254">
        <f>L109+L115</f>
        <v>321.55584772958593</v>
      </c>
    </row>
    <row r="430" spans="1:12" ht="15.6" x14ac:dyDescent="0.35">
      <c r="A430" s="51"/>
      <c r="B430" s="147" t="s">
        <v>195</v>
      </c>
      <c r="C430" s="146"/>
      <c r="D430" s="147"/>
      <c r="E430" s="147"/>
      <c r="F430" s="285"/>
      <c r="G430" s="285"/>
      <c r="H430" s="276">
        <f>SUM(H428:H429)</f>
        <v>112.32066266003289</v>
      </c>
      <c r="I430" s="276">
        <f t="shared" ref="I430:L430" si="201">SUM(I428:I429)</f>
        <v>138.14417591815206</v>
      </c>
      <c r="J430" s="276">
        <f t="shared" si="201"/>
        <v>241.9073877787913</v>
      </c>
      <c r="K430" s="276">
        <f t="shared" si="201"/>
        <v>391.78164022825553</v>
      </c>
      <c r="L430" s="276">
        <f t="shared" si="201"/>
        <v>581.16772363235839</v>
      </c>
    </row>
    <row r="431" spans="1:12" ht="15.6" x14ac:dyDescent="0.35">
      <c r="A431" s="51"/>
      <c r="B431" s="86" t="s">
        <v>197</v>
      </c>
      <c r="C431" s="194"/>
      <c r="D431" s="194"/>
      <c r="E431" s="194"/>
      <c r="F431" s="223"/>
      <c r="G431" s="223"/>
      <c r="H431" s="283">
        <f>H430</f>
        <v>112.32066266003289</v>
      </c>
      <c r="I431" s="283">
        <f t="shared" ref="I431:L431" si="202">I430</f>
        <v>138.14417591815206</v>
      </c>
      <c r="J431" s="283">
        <f t="shared" si="202"/>
        <v>241.9073877787913</v>
      </c>
      <c r="K431" s="283">
        <f t="shared" si="202"/>
        <v>391.78164022825553</v>
      </c>
      <c r="L431" s="283">
        <f t="shared" si="202"/>
        <v>581.16772363235839</v>
      </c>
    </row>
    <row r="432" spans="1:12" ht="15.6" x14ac:dyDescent="0.35">
      <c r="A432" s="51"/>
      <c r="B432" s="68"/>
      <c r="C432" s="73"/>
      <c r="D432" s="68"/>
      <c r="E432" s="68"/>
      <c r="F432" s="100"/>
      <c r="G432" s="100"/>
      <c r="H432" s="101"/>
      <c r="I432" s="101"/>
      <c r="J432" s="101"/>
      <c r="K432" s="101"/>
      <c r="L432" s="101"/>
    </row>
    <row r="433" spans="1:12" ht="15.6" x14ac:dyDescent="0.35">
      <c r="A433" s="51"/>
      <c r="B433" s="286" t="s">
        <v>198</v>
      </c>
      <c r="C433" s="73"/>
      <c r="D433" s="73"/>
      <c r="E433" s="73"/>
      <c r="F433" s="198"/>
      <c r="G433" s="198"/>
      <c r="H433" s="198"/>
      <c r="I433" s="198"/>
      <c r="J433" s="198"/>
      <c r="K433" s="198"/>
      <c r="L433" s="198"/>
    </row>
    <row r="434" spans="1:12" ht="15.6" x14ac:dyDescent="0.35">
      <c r="A434" s="51"/>
      <c r="B434" s="68" t="s">
        <v>199</v>
      </c>
      <c r="C434" s="68"/>
      <c r="D434" s="73"/>
      <c r="E434" s="73"/>
      <c r="F434" s="198"/>
      <c r="G434" s="198"/>
      <c r="H434" s="101">
        <f>-MAX(0, MIN((SUM(H$431:H433)-H427), H439, G442*$L$473))</f>
        <v>-25</v>
      </c>
      <c r="I434" s="101">
        <f>-MAX(0, MIN((SUM(I$431:I433)-I427), I439, H442*$L$473))</f>
        <v>0</v>
      </c>
      <c r="J434" s="101">
        <f>-MAX(0, MIN((SUM(J$431:J433)-J427), J439, I442*$L$473))</f>
        <v>0</v>
      </c>
      <c r="K434" s="101">
        <f>-MAX(0, MIN((SUM(K$431:K433)-K427), K439, J442*$L$473))</f>
        <v>0</v>
      </c>
      <c r="L434" s="101">
        <f>-MAX(0, MIN((SUM(L$431:L433)-L427), L439, K442*$L$473))</f>
        <v>0</v>
      </c>
    </row>
    <row r="435" spans="1:12" ht="15.6" x14ac:dyDescent="0.35">
      <c r="A435" s="51"/>
      <c r="B435" s="68"/>
      <c r="C435" s="68"/>
      <c r="D435" s="73"/>
      <c r="E435" s="73"/>
      <c r="F435" s="198"/>
      <c r="G435" s="198"/>
      <c r="H435" s="129"/>
      <c r="I435" s="129"/>
      <c r="J435" s="129"/>
      <c r="K435" s="129"/>
      <c r="L435" s="129"/>
    </row>
    <row r="436" spans="1:12" ht="15.6" x14ac:dyDescent="0.35">
      <c r="A436" s="51"/>
      <c r="B436" s="94" t="s">
        <v>28</v>
      </c>
      <c r="C436" s="95"/>
      <c r="D436" s="96"/>
      <c r="E436" s="96"/>
      <c r="F436" s="97"/>
      <c r="G436" s="97"/>
      <c r="H436" s="98"/>
      <c r="I436" s="98"/>
      <c r="J436" s="98"/>
      <c r="K436" s="98"/>
      <c r="L436" s="99"/>
    </row>
    <row r="437" spans="1:12" ht="15.6" x14ac:dyDescent="0.35">
      <c r="A437" s="51"/>
      <c r="B437" s="68"/>
      <c r="C437" s="68"/>
      <c r="D437" s="68"/>
      <c r="E437" s="68"/>
      <c r="F437" s="100"/>
      <c r="G437" s="125"/>
      <c r="H437" s="129"/>
      <c r="I437" s="129"/>
      <c r="J437" s="129"/>
      <c r="K437" s="129"/>
      <c r="L437" s="129"/>
    </row>
    <row r="438" spans="1:12" ht="15.6" x14ac:dyDescent="0.35">
      <c r="A438" s="51"/>
      <c r="B438" s="289" t="s">
        <v>199</v>
      </c>
      <c r="C438" s="68"/>
      <c r="D438" s="68"/>
      <c r="E438" s="68"/>
      <c r="F438" s="100"/>
      <c r="G438" s="125"/>
      <c r="H438" s="129"/>
      <c r="I438" s="129"/>
      <c r="J438" s="129"/>
      <c r="K438" s="129"/>
      <c r="L438" s="129"/>
    </row>
    <row r="439" spans="1:12" ht="15.6" x14ac:dyDescent="0.35">
      <c r="A439" s="51"/>
      <c r="B439" s="194" t="s">
        <v>200</v>
      </c>
      <c r="C439" s="194"/>
      <c r="D439" s="194"/>
      <c r="E439" s="194"/>
      <c r="F439" s="223"/>
      <c r="G439" s="269"/>
      <c r="H439" s="284">
        <f>G442</f>
        <v>25</v>
      </c>
      <c r="I439" s="284">
        <f>H442</f>
        <v>0</v>
      </c>
      <c r="J439" s="284">
        <f t="shared" ref="J439:L439" si="203">I442</f>
        <v>0</v>
      </c>
      <c r="K439" s="284">
        <f t="shared" si="203"/>
        <v>0</v>
      </c>
      <c r="L439" s="284">
        <f t="shared" si="203"/>
        <v>0</v>
      </c>
    </row>
    <row r="440" spans="1:12" ht="15.6" x14ac:dyDescent="0.35">
      <c r="A440" s="51"/>
      <c r="B440" s="68" t="s">
        <v>201</v>
      </c>
      <c r="C440" s="73"/>
      <c r="D440" s="73"/>
      <c r="E440" s="73"/>
      <c r="F440" s="198"/>
      <c r="G440" s="198"/>
      <c r="H440" s="101">
        <f>MIN(MAX(0, -H431), H444-H439)</f>
        <v>0</v>
      </c>
      <c r="I440" s="101">
        <f t="shared" ref="I440:L440" si="204">MIN(MAX(0, -I431), I444-I439)</f>
        <v>0</v>
      </c>
      <c r="J440" s="101">
        <f t="shared" si="204"/>
        <v>0</v>
      </c>
      <c r="K440" s="101">
        <f t="shared" si="204"/>
        <v>0</v>
      </c>
      <c r="L440" s="101">
        <f t="shared" si="204"/>
        <v>0</v>
      </c>
    </row>
    <row r="441" spans="1:12" ht="15.6" x14ac:dyDescent="0.35">
      <c r="A441" s="51"/>
      <c r="B441" s="80" t="s">
        <v>202</v>
      </c>
      <c r="C441" s="85"/>
      <c r="D441" s="85"/>
      <c r="E441" s="85"/>
      <c r="F441" s="288"/>
      <c r="G441" s="288"/>
      <c r="H441" s="276">
        <f>H434</f>
        <v>-25</v>
      </c>
      <c r="I441" s="276">
        <f t="shared" ref="I441:L441" si="205">I434</f>
        <v>0</v>
      </c>
      <c r="J441" s="276">
        <f t="shared" si="205"/>
        <v>0</v>
      </c>
      <c r="K441" s="276">
        <f t="shared" si="205"/>
        <v>0</v>
      </c>
      <c r="L441" s="276">
        <f t="shared" si="205"/>
        <v>0</v>
      </c>
    </row>
    <row r="442" spans="1:12" ht="15.6" x14ac:dyDescent="0.35">
      <c r="A442" s="51"/>
      <c r="B442" s="68" t="s">
        <v>203</v>
      </c>
      <c r="C442" s="73"/>
      <c r="D442" s="68"/>
      <c r="E442" s="68"/>
      <c r="F442" s="68"/>
      <c r="G442" s="290">
        <v>25</v>
      </c>
      <c r="H442" s="283">
        <f>SUM(H439:H441)</f>
        <v>0</v>
      </c>
      <c r="I442" s="283">
        <f t="shared" ref="I442:L442" si="206">SUM(I439:I441)</f>
        <v>0</v>
      </c>
      <c r="J442" s="283">
        <f t="shared" si="206"/>
        <v>0</v>
      </c>
      <c r="K442" s="283">
        <f t="shared" si="206"/>
        <v>0</v>
      </c>
      <c r="L442" s="283">
        <f t="shared" si="206"/>
        <v>0</v>
      </c>
    </row>
    <row r="443" spans="1:12" ht="15.6" x14ac:dyDescent="0.35">
      <c r="A443" s="51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</row>
    <row r="444" spans="1:12" ht="15.6" x14ac:dyDescent="0.35">
      <c r="A444" s="51"/>
      <c r="B444" s="68" t="s">
        <v>204</v>
      </c>
      <c r="C444" s="73"/>
      <c r="D444" s="68"/>
      <c r="E444" s="68"/>
      <c r="F444" s="68"/>
      <c r="G444" s="291">
        <v>100</v>
      </c>
      <c r="H444" s="101">
        <f>G444</f>
        <v>100</v>
      </c>
      <c r="I444" s="101">
        <f t="shared" ref="I444:L444" si="207">H444</f>
        <v>100</v>
      </c>
      <c r="J444" s="101">
        <f t="shared" si="207"/>
        <v>100</v>
      </c>
      <c r="K444" s="101">
        <f t="shared" si="207"/>
        <v>100</v>
      </c>
      <c r="L444" s="101">
        <f t="shared" si="207"/>
        <v>100</v>
      </c>
    </row>
    <row r="445" spans="1:12" ht="15.6" x14ac:dyDescent="0.35">
      <c r="A445" s="51"/>
      <c r="B445" s="68" t="s">
        <v>205</v>
      </c>
      <c r="C445" s="68"/>
      <c r="D445" s="68"/>
      <c r="E445" s="68"/>
      <c r="F445" s="68"/>
      <c r="G445" s="131">
        <f>G444-G442</f>
        <v>75</v>
      </c>
      <c r="H445" s="101">
        <f t="shared" ref="H445:L445" si="208">H444-H442</f>
        <v>100</v>
      </c>
      <c r="I445" s="101">
        <f t="shared" si="208"/>
        <v>100</v>
      </c>
      <c r="J445" s="101">
        <f t="shared" si="208"/>
        <v>100</v>
      </c>
      <c r="K445" s="101">
        <f t="shared" si="208"/>
        <v>100</v>
      </c>
      <c r="L445" s="101">
        <f t="shared" si="208"/>
        <v>100</v>
      </c>
    </row>
    <row r="446" spans="1:12" ht="15.6" x14ac:dyDescent="0.35">
      <c r="A446" s="51"/>
      <c r="B446" s="68"/>
      <c r="C446" s="68"/>
      <c r="D446" s="68"/>
      <c r="E446" s="68"/>
      <c r="F446" s="68"/>
      <c r="G446" s="131"/>
      <c r="H446" s="101"/>
      <c r="I446" s="101"/>
      <c r="J446" s="101"/>
      <c r="K446" s="101"/>
      <c r="L446" s="101"/>
    </row>
    <row r="447" spans="1:12" ht="15.6" x14ac:dyDescent="0.35">
      <c r="A447" s="51"/>
      <c r="B447" s="94" t="s">
        <v>218</v>
      </c>
      <c r="C447" s="95"/>
      <c r="D447" s="96"/>
      <c r="E447" s="96"/>
      <c r="F447" s="97"/>
      <c r="G447" s="97"/>
      <c r="H447" s="98"/>
      <c r="I447" s="98"/>
      <c r="J447" s="98"/>
      <c r="K447" s="98"/>
      <c r="L447" s="99"/>
    </row>
    <row r="448" spans="1:12" ht="15.6" x14ac:dyDescent="0.35">
      <c r="A448" s="51"/>
      <c r="B448" s="68"/>
      <c r="C448" s="68"/>
      <c r="D448" s="68"/>
      <c r="E448" s="68"/>
      <c r="F448" s="68"/>
      <c r="G448" s="131"/>
      <c r="H448" s="101"/>
      <c r="I448" s="101"/>
      <c r="J448" s="101"/>
      <c r="K448" s="101"/>
      <c r="L448" s="101"/>
    </row>
    <row r="449" spans="1:18" ht="15.6" x14ac:dyDescent="0.35">
      <c r="A449" s="51"/>
      <c r="B449" s="68" t="s">
        <v>213</v>
      </c>
      <c r="C449" s="68"/>
      <c r="D449" s="68"/>
      <c r="E449" s="68"/>
      <c r="F449" s="68"/>
      <c r="G449" s="131"/>
      <c r="H449" s="304">
        <v>3.9E-2</v>
      </c>
      <c r="I449" s="304">
        <v>4.5999999999999999E-2</v>
      </c>
      <c r="J449" s="304">
        <v>0.05</v>
      </c>
      <c r="K449" s="304">
        <v>0.05</v>
      </c>
      <c r="L449" s="304">
        <v>4.7E-2</v>
      </c>
    </row>
    <row r="450" spans="1:18" ht="15.6" x14ac:dyDescent="0.35">
      <c r="A450" s="51"/>
      <c r="B450" s="68" t="s">
        <v>18</v>
      </c>
      <c r="C450" s="68"/>
      <c r="D450" s="68"/>
      <c r="E450" s="68"/>
      <c r="F450" s="68"/>
      <c r="G450" s="131"/>
      <c r="H450" s="305">
        <v>0.01</v>
      </c>
      <c r="I450" s="306">
        <f>H450</f>
        <v>0.01</v>
      </c>
      <c r="J450" s="306">
        <f t="shared" ref="J450:L450" si="209">I450</f>
        <v>0.01</v>
      </c>
      <c r="K450" s="306">
        <f t="shared" si="209"/>
        <v>0.01</v>
      </c>
      <c r="L450" s="306">
        <f t="shared" si="209"/>
        <v>0.01</v>
      </c>
    </row>
    <row r="451" spans="1:18" ht="15.6" x14ac:dyDescent="0.35">
      <c r="A451" s="51"/>
      <c r="B451" s="68" t="s">
        <v>219</v>
      </c>
      <c r="C451" s="68"/>
      <c r="D451" s="68"/>
      <c r="E451" s="68"/>
      <c r="F451" s="68"/>
      <c r="G451" s="131"/>
      <c r="H451" s="307">
        <v>5.0000000000000001E-3</v>
      </c>
      <c r="I451" s="308">
        <f>H451</f>
        <v>5.0000000000000001E-3</v>
      </c>
      <c r="J451" s="308">
        <f t="shared" ref="J451:L451" si="210">I451</f>
        <v>5.0000000000000001E-3</v>
      </c>
      <c r="K451" s="308">
        <f t="shared" si="210"/>
        <v>5.0000000000000001E-3</v>
      </c>
      <c r="L451" s="308">
        <f t="shared" si="210"/>
        <v>5.0000000000000001E-3</v>
      </c>
    </row>
    <row r="452" spans="1:18" ht="15.6" x14ac:dyDescent="0.35">
      <c r="A452" s="51"/>
      <c r="B452" s="68"/>
      <c r="C452" s="68"/>
      <c r="D452" s="68"/>
      <c r="E452" s="68"/>
      <c r="F452" s="68"/>
      <c r="G452" s="131"/>
      <c r="H452" s="309"/>
      <c r="I452" s="309"/>
      <c r="J452" s="309"/>
      <c r="K452" s="309"/>
      <c r="L452" s="309"/>
    </row>
    <row r="453" spans="1:18" ht="15.6" x14ac:dyDescent="0.35">
      <c r="A453" s="51"/>
      <c r="B453" s="68" t="s">
        <v>199</v>
      </c>
      <c r="C453" s="68"/>
      <c r="D453" s="68"/>
      <c r="E453" s="68"/>
      <c r="F453" s="68"/>
      <c r="G453" s="131"/>
      <c r="H453" s="310">
        <f>H449+$H$473</f>
        <v>5.3999999999999999E-2</v>
      </c>
      <c r="I453" s="310">
        <f>I449+$H$473</f>
        <v>6.0999999999999999E-2</v>
      </c>
      <c r="J453" s="310">
        <f>J449+$H$473</f>
        <v>6.5000000000000002E-2</v>
      </c>
      <c r="K453" s="310">
        <f>K449+$H$473</f>
        <v>6.5000000000000002E-2</v>
      </c>
      <c r="L453" s="310">
        <f>L449+$H$473</f>
        <v>6.2E-2</v>
      </c>
    </row>
    <row r="454" spans="1:18" ht="15.6" x14ac:dyDescent="0.35">
      <c r="A454" s="51"/>
      <c r="B454" s="68"/>
      <c r="C454" s="68"/>
      <c r="D454" s="68"/>
      <c r="E454" s="68"/>
      <c r="F454" s="68"/>
      <c r="G454" s="131"/>
      <c r="H454" s="303"/>
      <c r="I454" s="303"/>
      <c r="J454" s="303"/>
      <c r="K454" s="303"/>
      <c r="L454" s="303"/>
    </row>
    <row r="455" spans="1:18" ht="15.6" x14ac:dyDescent="0.35">
      <c r="A455" s="51"/>
      <c r="B455" s="94" t="s">
        <v>220</v>
      </c>
      <c r="C455" s="95"/>
      <c r="D455" s="96"/>
      <c r="E455" s="96"/>
      <c r="F455" s="97"/>
      <c r="G455" s="97"/>
      <c r="H455" s="98"/>
      <c r="I455" s="98"/>
      <c r="J455" s="98"/>
      <c r="K455" s="98"/>
      <c r="L455" s="99"/>
    </row>
    <row r="456" spans="1:18" ht="15.6" x14ac:dyDescent="0.35">
      <c r="A456" s="51"/>
      <c r="B456" s="68"/>
      <c r="C456" s="68"/>
      <c r="D456" s="68"/>
      <c r="E456" s="68"/>
      <c r="F456" s="68"/>
      <c r="G456" s="131"/>
      <c r="H456" s="303"/>
      <c r="I456" s="303"/>
      <c r="J456" s="303"/>
      <c r="K456" s="303"/>
      <c r="L456" s="303"/>
    </row>
    <row r="457" spans="1:18" ht="15.6" x14ac:dyDescent="0.35">
      <c r="A457" s="51"/>
      <c r="B457" s="68" t="s">
        <v>219</v>
      </c>
      <c r="C457" s="68"/>
      <c r="D457" s="68"/>
      <c r="E457" s="68"/>
      <c r="F457" s="68"/>
      <c r="G457" s="131"/>
      <c r="H457" s="101">
        <f>H445*H451</f>
        <v>0.5</v>
      </c>
      <c r="I457" s="101">
        <f t="shared" ref="I457:L457" si="211">I445*I451</f>
        <v>0.5</v>
      </c>
      <c r="J457" s="101">
        <f t="shared" si="211"/>
        <v>0.5</v>
      </c>
      <c r="K457" s="101">
        <f t="shared" si="211"/>
        <v>0.5</v>
      </c>
      <c r="L457" s="101">
        <f t="shared" si="211"/>
        <v>0.5</v>
      </c>
    </row>
    <row r="458" spans="1:18" ht="15.6" x14ac:dyDescent="0.35">
      <c r="A458" s="51"/>
      <c r="B458" s="68"/>
      <c r="C458" s="68"/>
      <c r="D458" s="68"/>
      <c r="E458" s="68"/>
      <c r="F458" s="68"/>
      <c r="G458" s="131"/>
      <c r="H458" s="303"/>
      <c r="I458" s="303"/>
      <c r="J458" s="303"/>
      <c r="K458" s="303"/>
      <c r="L458" s="303"/>
    </row>
    <row r="459" spans="1:18" ht="15.6" x14ac:dyDescent="0.35">
      <c r="A459" s="51"/>
      <c r="B459" s="68" t="s">
        <v>199</v>
      </c>
      <c r="C459" s="68"/>
      <c r="D459" s="68"/>
      <c r="E459" s="68"/>
      <c r="F459" s="68"/>
      <c r="G459" s="131"/>
      <c r="H459" s="101">
        <f>H453*H439</f>
        <v>1.35</v>
      </c>
      <c r="I459" s="101">
        <f t="shared" ref="I459:L459" si="212">I453*I439</f>
        <v>0</v>
      </c>
      <c r="J459" s="101">
        <f t="shared" si="212"/>
        <v>0</v>
      </c>
      <c r="K459" s="101">
        <f t="shared" si="212"/>
        <v>0</v>
      </c>
      <c r="L459" s="101">
        <f t="shared" si="212"/>
        <v>0</v>
      </c>
      <c r="R459" t="s">
        <v>261</v>
      </c>
    </row>
    <row r="460" spans="1:18" ht="15.6" x14ac:dyDescent="0.35">
      <c r="A460" s="51"/>
      <c r="B460" s="194" t="s">
        <v>221</v>
      </c>
      <c r="C460" s="194"/>
      <c r="D460" s="194"/>
      <c r="E460" s="194"/>
      <c r="F460" s="194"/>
      <c r="G460" s="325"/>
      <c r="H460" s="326">
        <f>SUM(H459)</f>
        <v>1.35</v>
      </c>
      <c r="I460" s="326">
        <f t="shared" ref="I460:L460" si="213">SUM(I459)</f>
        <v>0</v>
      </c>
      <c r="J460" s="326">
        <f t="shared" si="213"/>
        <v>0</v>
      </c>
      <c r="K460" s="326">
        <f t="shared" si="213"/>
        <v>0</v>
      </c>
      <c r="L460" s="326">
        <f t="shared" si="213"/>
        <v>0</v>
      </c>
    </row>
    <row r="461" spans="1:18" ht="15.6" x14ac:dyDescent="0.35">
      <c r="A461" s="51"/>
      <c r="B461" s="68"/>
      <c r="C461" s="68"/>
      <c r="D461" s="68"/>
      <c r="E461" s="68"/>
      <c r="F461" s="68"/>
      <c r="G461" s="131"/>
      <c r="H461" s="311"/>
      <c r="I461" s="311"/>
      <c r="J461" s="311"/>
      <c r="K461" s="311"/>
      <c r="L461" s="311"/>
    </row>
    <row r="462" spans="1:18" ht="15.6" x14ac:dyDescent="0.35">
      <c r="A462" s="51"/>
      <c r="B462" s="94" t="s">
        <v>262</v>
      </c>
      <c r="C462" s="95"/>
      <c r="D462" s="96"/>
      <c r="E462" s="96"/>
      <c r="F462" s="97"/>
      <c r="G462" s="97"/>
      <c r="H462" s="98"/>
      <c r="I462" s="98"/>
      <c r="J462" s="98"/>
      <c r="K462" s="98"/>
      <c r="L462" s="99"/>
    </row>
    <row r="463" spans="1:18" ht="15.6" x14ac:dyDescent="0.35">
      <c r="A463" s="51"/>
      <c r="B463" s="68"/>
      <c r="C463" s="68"/>
      <c r="D463" s="68"/>
      <c r="E463" s="68"/>
      <c r="F463" s="68"/>
      <c r="G463" s="131"/>
      <c r="H463" s="303"/>
      <c r="I463" s="303"/>
      <c r="J463" s="303"/>
      <c r="K463" s="303"/>
      <c r="L463" s="303"/>
    </row>
    <row r="464" spans="1:18" ht="15.6" x14ac:dyDescent="0.35">
      <c r="A464" s="51"/>
      <c r="B464" s="68"/>
      <c r="C464" s="68"/>
      <c r="D464" s="68"/>
      <c r="E464" s="68"/>
      <c r="F464" s="68"/>
      <c r="G464" s="131"/>
      <c r="H464" s="303"/>
      <c r="I464" s="303"/>
      <c r="J464" s="303"/>
      <c r="K464" s="303"/>
      <c r="L464" s="303"/>
    </row>
    <row r="465" spans="1:12" ht="15.6" x14ac:dyDescent="0.35">
      <c r="A465" s="51"/>
      <c r="B465" s="68" t="s">
        <v>18</v>
      </c>
      <c r="C465" s="68"/>
      <c r="D465" s="68"/>
      <c r="E465" s="68"/>
      <c r="F465" s="68"/>
      <c r="G465" s="131"/>
      <c r="H465" s="101">
        <f>H450*G56</f>
        <v>0.70799999999999996</v>
      </c>
      <c r="I465" s="101">
        <f>I450*H56</f>
        <v>0.47724928072325257</v>
      </c>
      <c r="J465" s="101">
        <f>J450*I56</f>
        <v>1.0000970816222148</v>
      </c>
      <c r="K465" s="101">
        <f>K450*J56</f>
        <v>2.0292823266768489</v>
      </c>
      <c r="L465" s="101">
        <f>L450*K56</f>
        <v>3.4939014220612457</v>
      </c>
    </row>
    <row r="466" spans="1:12" ht="15.6" x14ac:dyDescent="0.35">
      <c r="A466" s="51"/>
      <c r="B466" s="194" t="s">
        <v>263</v>
      </c>
      <c r="C466" s="194"/>
      <c r="D466" s="194"/>
      <c r="E466" s="194"/>
      <c r="F466" s="194"/>
      <c r="G466" s="325"/>
      <c r="H466" s="326">
        <f>SUM(H465)</f>
        <v>0.70799999999999996</v>
      </c>
      <c r="I466" s="326">
        <f t="shared" ref="I466" si="214">SUM(I465)</f>
        <v>0.47724928072325257</v>
      </c>
      <c r="J466" s="326">
        <f t="shared" ref="J466" si="215">SUM(J465)</f>
        <v>1.0000970816222148</v>
      </c>
      <c r="K466" s="326">
        <f t="shared" ref="K466" si="216">SUM(K465)</f>
        <v>2.0292823266768489</v>
      </c>
      <c r="L466" s="326">
        <f t="shared" ref="L466" si="217">SUM(L465)</f>
        <v>3.4939014220612457</v>
      </c>
    </row>
    <row r="467" spans="1:12" ht="15.6" x14ac:dyDescent="0.35">
      <c r="A467" s="51"/>
      <c r="B467" s="68"/>
      <c r="C467" s="68"/>
      <c r="D467" s="68"/>
      <c r="E467" s="68"/>
      <c r="F467" s="68"/>
      <c r="G467" s="68"/>
      <c r="H467" s="126"/>
      <c r="I467" s="126"/>
      <c r="J467" s="126"/>
      <c r="K467" s="126"/>
      <c r="L467" s="126"/>
    </row>
    <row r="468" spans="1:12" ht="15.6" x14ac:dyDescent="0.35">
      <c r="A468" s="51"/>
      <c r="B468" s="94" t="s">
        <v>206</v>
      </c>
      <c r="C468" s="95"/>
      <c r="D468" s="96"/>
      <c r="E468" s="96"/>
      <c r="F468" s="97"/>
      <c r="G468" s="97"/>
      <c r="H468" s="98"/>
      <c r="I468" s="98"/>
      <c r="J468" s="98"/>
      <c r="K468" s="98"/>
      <c r="L468" s="99"/>
    </row>
    <row r="469" spans="1:12" ht="15.6" x14ac:dyDescent="0.35">
      <c r="A469" s="51"/>
      <c r="B469" s="105"/>
      <c r="C469" s="105"/>
      <c r="D469" s="105"/>
      <c r="E469" s="105"/>
      <c r="F469" s="105"/>
      <c r="G469" s="130"/>
      <c r="H469" s="130"/>
      <c r="I469" s="130"/>
      <c r="J469" s="130"/>
      <c r="K469" s="130"/>
      <c r="L469" s="130"/>
    </row>
    <row r="470" spans="1:12" ht="15.6" x14ac:dyDescent="0.35">
      <c r="A470" s="51"/>
      <c r="B470" s="105"/>
      <c r="C470" s="105"/>
      <c r="D470" s="105"/>
      <c r="E470" s="292"/>
      <c r="F470" s="292"/>
      <c r="G470" s="292" t="s">
        <v>207</v>
      </c>
      <c r="H470" s="292" t="s">
        <v>212</v>
      </c>
      <c r="I470" s="293" t="s">
        <v>208</v>
      </c>
      <c r="J470" s="293" t="s">
        <v>209</v>
      </c>
      <c r="K470" s="293" t="s">
        <v>215</v>
      </c>
      <c r="L470" s="293" t="s">
        <v>18</v>
      </c>
    </row>
    <row r="471" spans="1:12" ht="15.6" customHeight="1" thickBot="1" x14ac:dyDescent="0.4">
      <c r="A471" s="51"/>
      <c r="B471" s="294"/>
      <c r="C471" s="294"/>
      <c r="D471" s="294"/>
      <c r="E471" s="295"/>
      <c r="F471" s="295"/>
      <c r="G471" s="295" t="s">
        <v>211</v>
      </c>
      <c r="H471" s="295" t="s">
        <v>213</v>
      </c>
      <c r="I471" s="296" t="s">
        <v>214</v>
      </c>
      <c r="J471" s="296" t="s">
        <v>210</v>
      </c>
      <c r="K471" s="296" t="s">
        <v>210</v>
      </c>
      <c r="L471" s="296" t="s">
        <v>216</v>
      </c>
    </row>
    <row r="472" spans="1:12" ht="4.05" customHeight="1" x14ac:dyDescent="0.35">
      <c r="A472" s="51"/>
      <c r="B472" s="105"/>
      <c r="C472" s="105"/>
      <c r="D472" s="105"/>
      <c r="E472" s="105"/>
      <c r="F472" s="105"/>
      <c r="G472" s="130"/>
      <c r="H472" s="130"/>
      <c r="I472" s="130"/>
      <c r="J472" s="130"/>
      <c r="K472" s="130"/>
      <c r="L472" s="130"/>
    </row>
    <row r="473" spans="1:12" ht="15.6" customHeight="1" x14ac:dyDescent="0.35">
      <c r="A473" s="51"/>
      <c r="B473" s="299" t="s">
        <v>199</v>
      </c>
      <c r="C473" s="299"/>
      <c r="D473" s="299"/>
      <c r="E473" s="299"/>
      <c r="F473" s="299"/>
      <c r="G473" s="300">
        <v>0</v>
      </c>
      <c r="H473" s="301">
        <v>1.4999999999999999E-2</v>
      </c>
      <c r="I473" s="300" t="s">
        <v>129</v>
      </c>
      <c r="J473" s="300" t="s">
        <v>217</v>
      </c>
      <c r="K473" s="300" t="s">
        <v>217</v>
      </c>
      <c r="L473" s="302">
        <v>1</v>
      </c>
    </row>
    <row r="474" spans="1:12" ht="4.05" customHeight="1" thickBot="1" x14ac:dyDescent="0.4">
      <c r="A474" s="51"/>
      <c r="B474" s="297"/>
      <c r="C474" s="297"/>
      <c r="D474" s="297"/>
      <c r="E474" s="297"/>
      <c r="F474" s="297"/>
      <c r="G474" s="297"/>
      <c r="H474" s="298"/>
      <c r="I474" s="298"/>
      <c r="J474" s="298"/>
      <c r="K474" s="298"/>
      <c r="L474" s="298"/>
    </row>
    <row r="475" spans="1:12" ht="15.6" x14ac:dyDescent="0.35">
      <c r="A475" s="51"/>
      <c r="B475" s="51"/>
      <c r="C475" s="51"/>
      <c r="D475" s="51"/>
      <c r="E475" s="51"/>
      <c r="F475" s="51"/>
      <c r="G475" s="51"/>
      <c r="H475" s="127"/>
      <c r="I475" s="127"/>
      <c r="J475" s="127"/>
      <c r="K475" s="127"/>
      <c r="L475" s="127"/>
    </row>
    <row r="476" spans="1:12" ht="15.6" x14ac:dyDescent="0.35">
      <c r="A476" s="51"/>
      <c r="B476" s="105"/>
      <c r="C476" s="105"/>
      <c r="D476" s="105"/>
      <c r="E476" s="51"/>
      <c r="F476" s="51"/>
      <c r="G476" s="51"/>
      <c r="H476" s="134"/>
      <c r="I476" s="134"/>
      <c r="J476" s="134"/>
      <c r="K476" s="134"/>
      <c r="L476" s="134"/>
    </row>
    <row r="477" spans="1:12" ht="15.6" x14ac:dyDescent="0.3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</row>
    <row r="478" spans="1:12" ht="28.8" x14ac:dyDescent="0.65">
      <c r="A478" s="51"/>
      <c r="B478" s="52" t="str">
        <f>Cover!$B$2</f>
        <v>Greggs</v>
      </c>
      <c r="C478" s="52"/>
      <c r="D478" s="53"/>
      <c r="E478" s="54"/>
      <c r="F478" s="54"/>
      <c r="G478" s="54"/>
      <c r="H478" s="54"/>
      <c r="I478" s="54"/>
      <c r="J478" s="54"/>
      <c r="K478" s="54"/>
      <c r="L478" s="54"/>
    </row>
    <row r="479" spans="1:12" ht="21" x14ac:dyDescent="0.5">
      <c r="A479" s="51"/>
      <c r="B479" s="55" t="s">
        <v>30</v>
      </c>
      <c r="C479" s="56"/>
      <c r="D479" s="54"/>
      <c r="E479" s="54"/>
      <c r="F479" s="54"/>
      <c r="G479" s="54"/>
      <c r="H479" s="54"/>
      <c r="I479" s="54"/>
      <c r="J479" s="54"/>
      <c r="K479" s="54"/>
      <c r="L479" s="377" t="str">
        <f>"Currently Running: "&amp;CHOOSE(Assumptions!$B$10,Assumptions!$F$15,Assumptions!$F$16,Assumptions!$F$17)&amp;"Scenario"</f>
        <v>Currently Running: Base Scenario</v>
      </c>
    </row>
    <row r="480" spans="1:12" ht="15.6" x14ac:dyDescent="0.35">
      <c r="A480" s="51"/>
      <c r="B480" s="57"/>
      <c r="C480" s="57"/>
      <c r="D480" s="57"/>
      <c r="E480" s="57"/>
      <c r="F480" s="57"/>
      <c r="G480" s="57"/>
      <c r="H480" s="57"/>
      <c r="I480" s="57"/>
      <c r="J480" s="57"/>
      <c r="K480" s="58"/>
      <c r="L480" s="58"/>
    </row>
    <row r="481" spans="1:12" ht="15.6" x14ac:dyDescent="0.35">
      <c r="A481" s="51"/>
      <c r="B481" s="58"/>
      <c r="C481" s="58"/>
      <c r="D481" s="58"/>
      <c r="E481" s="58"/>
      <c r="F481" s="59" t="s">
        <v>63</v>
      </c>
      <c r="G481" s="59"/>
      <c r="H481" s="59"/>
      <c r="I481" s="59"/>
      <c r="J481" s="59"/>
      <c r="K481" s="59"/>
      <c r="L481" s="59"/>
    </row>
    <row r="482" spans="1:12" ht="15.6" x14ac:dyDescent="0.35">
      <c r="A482" s="51"/>
      <c r="B482" s="58"/>
      <c r="C482" s="58"/>
      <c r="D482" s="58"/>
      <c r="E482" s="58"/>
      <c r="F482" s="60">
        <v>2024</v>
      </c>
      <c r="G482" s="60">
        <v>2025</v>
      </c>
      <c r="H482" s="61">
        <f>G482+1</f>
        <v>2026</v>
      </c>
      <c r="I482" s="61">
        <f t="shared" ref="I482" si="218">H482+1</f>
        <v>2027</v>
      </c>
      <c r="J482" s="61">
        <f t="shared" ref="J482" si="219">I482+1</f>
        <v>2028</v>
      </c>
      <c r="K482" s="61">
        <f t="shared" ref="K482" si="220">J482+1</f>
        <v>2029</v>
      </c>
      <c r="L482" s="61">
        <f t="shared" ref="L482" si="221">K482+1</f>
        <v>2030</v>
      </c>
    </row>
    <row r="483" spans="1:12" ht="16.2" thickBot="1" x14ac:dyDescent="0.4">
      <c r="A483" s="51"/>
      <c r="B483" s="62" t="s">
        <v>62</v>
      </c>
      <c r="C483" s="62"/>
      <c r="D483" s="62"/>
      <c r="E483" s="62"/>
      <c r="F483" s="63" t="s">
        <v>64</v>
      </c>
      <c r="G483" s="63"/>
      <c r="H483" s="64"/>
      <c r="I483" s="64"/>
      <c r="J483" s="64"/>
      <c r="K483" s="64"/>
      <c r="L483" s="64" t="s">
        <v>46</v>
      </c>
    </row>
    <row r="484" spans="1:12" ht="15.6" x14ac:dyDescent="0.35">
      <c r="A484" s="51"/>
      <c r="B484" s="58"/>
      <c r="C484" s="58"/>
      <c r="D484" s="58"/>
      <c r="E484" s="58"/>
      <c r="F484" s="92"/>
      <c r="G484" s="92"/>
      <c r="H484" s="93"/>
      <c r="I484" s="93"/>
      <c r="J484" s="93"/>
      <c r="K484" s="93"/>
      <c r="L484" s="93"/>
    </row>
    <row r="485" spans="1:12" ht="15.6" x14ac:dyDescent="0.35">
      <c r="A485" s="51"/>
      <c r="B485" s="94" t="s">
        <v>227</v>
      </c>
      <c r="C485" s="95"/>
      <c r="D485" s="96"/>
      <c r="E485" s="96"/>
      <c r="F485" s="97"/>
      <c r="G485" s="97"/>
      <c r="H485" s="98"/>
      <c r="I485" s="98"/>
      <c r="J485" s="98"/>
      <c r="K485" s="98"/>
      <c r="L485" s="99"/>
    </row>
    <row r="486" spans="1:12" ht="15.6" x14ac:dyDescent="0.35">
      <c r="A486" s="51"/>
      <c r="B486" s="68"/>
      <c r="C486" s="68"/>
      <c r="D486" s="68"/>
      <c r="E486" s="68"/>
      <c r="F486" s="68"/>
      <c r="G486" s="126"/>
      <c r="H486" s="126"/>
      <c r="I486" s="126"/>
      <c r="J486" s="126"/>
      <c r="K486" s="126"/>
      <c r="L486" s="126"/>
    </row>
    <row r="487" spans="1:12" ht="15.6" x14ac:dyDescent="0.35">
      <c r="A487" s="51"/>
      <c r="B487" s="68" t="s">
        <v>29</v>
      </c>
      <c r="C487" s="68"/>
      <c r="D487" s="68"/>
      <c r="E487" s="68"/>
      <c r="F487" s="69">
        <f t="shared" ref="F487:L487" si="222">F32</f>
        <v>203.90000000000009</v>
      </c>
      <c r="G487" s="69">
        <f t="shared" si="222"/>
        <v>167.40000000000003</v>
      </c>
      <c r="H487" s="70">
        <f t="shared" si="222"/>
        <v>217.00268134702412</v>
      </c>
      <c r="I487" s="70">
        <f t="shared" si="222"/>
        <v>232.17774591916134</v>
      </c>
      <c r="J487" s="70">
        <f t="shared" si="222"/>
        <v>256.01887901674411</v>
      </c>
      <c r="K487" s="70">
        <f t="shared" si="222"/>
        <v>289.50913216085593</v>
      </c>
      <c r="L487" s="70">
        <f t="shared" si="222"/>
        <v>335.68076280642873</v>
      </c>
    </row>
    <row r="488" spans="1:12" ht="15.6" x14ac:dyDescent="0.35">
      <c r="A488" s="51"/>
      <c r="B488" s="68" t="s">
        <v>230</v>
      </c>
      <c r="C488" s="68"/>
      <c r="D488" s="68"/>
      <c r="E488" s="68"/>
      <c r="F488" s="245">
        <v>0.25</v>
      </c>
      <c r="G488" s="245">
        <v>0.25</v>
      </c>
      <c r="H488" s="245">
        <v>0.25</v>
      </c>
      <c r="I488" s="245">
        <v>0.25</v>
      </c>
      <c r="J488" s="245">
        <v>0.25</v>
      </c>
      <c r="K488" s="245">
        <v>0.25</v>
      </c>
      <c r="L488" s="245">
        <v>0.25</v>
      </c>
    </row>
    <row r="489" spans="1:12" ht="16.2" thickBot="1" x14ac:dyDescent="0.4">
      <c r="A489" s="51"/>
      <c r="B489" s="75" t="s">
        <v>226</v>
      </c>
      <c r="C489" s="76"/>
      <c r="D489" s="76"/>
      <c r="E489" s="76"/>
      <c r="F489" s="330">
        <f>ABS(F34)/F487</f>
        <v>0.24767042667974487</v>
      </c>
      <c r="G489" s="330">
        <f>ABS(G34)/G487</f>
        <v>0.27538829151732375</v>
      </c>
      <c r="H489" s="332">
        <v>0.26</v>
      </c>
      <c r="I489" s="332">
        <v>0.26</v>
      </c>
      <c r="J489" s="332">
        <v>0.26</v>
      </c>
      <c r="K489" s="332">
        <v>0.26</v>
      </c>
      <c r="L489" s="332">
        <v>0.26</v>
      </c>
    </row>
    <row r="490" spans="1:12" ht="15.6" x14ac:dyDescent="0.35">
      <c r="A490" s="51"/>
      <c r="B490" s="73" t="s">
        <v>227</v>
      </c>
      <c r="C490" s="73"/>
      <c r="D490" s="73"/>
      <c r="E490" s="73"/>
      <c r="F490" s="128"/>
      <c r="G490" s="128"/>
      <c r="H490" s="128">
        <f t="shared" ref="H490:I490" si="223">MAX(0, H489*H487)</f>
        <v>56.420697150226275</v>
      </c>
      <c r="I490" s="128">
        <f t="shared" si="223"/>
        <v>60.36621393898195</v>
      </c>
      <c r="J490" s="128">
        <f>MAX(0, J489*J487)</f>
        <v>66.564908544353472</v>
      </c>
      <c r="K490" s="128">
        <f t="shared" ref="K490:L490" si="224">MAX(0, K489*K487)</f>
        <v>75.272374361822543</v>
      </c>
      <c r="L490" s="128">
        <f t="shared" si="224"/>
        <v>87.276998329671471</v>
      </c>
    </row>
    <row r="491" spans="1:12" ht="15.6" x14ac:dyDescent="0.35">
      <c r="A491" s="51"/>
      <c r="B491" s="68"/>
      <c r="C491" s="68"/>
      <c r="D491" s="68"/>
      <c r="E491" s="68"/>
      <c r="F491" s="131"/>
      <c r="G491" s="271"/>
      <c r="H491" s="312"/>
      <c r="I491" s="312"/>
      <c r="J491" s="312"/>
      <c r="K491" s="312"/>
      <c r="L491" s="312"/>
    </row>
    <row r="492" spans="1:12" ht="15.6" x14ac:dyDescent="0.35">
      <c r="A492" s="51"/>
      <c r="B492" s="94" t="s">
        <v>232</v>
      </c>
      <c r="C492" s="95"/>
      <c r="D492" s="96"/>
      <c r="E492" s="96"/>
      <c r="F492" s="97"/>
      <c r="G492" s="97"/>
      <c r="H492" s="98"/>
      <c r="I492" s="98"/>
      <c r="J492" s="98"/>
      <c r="K492" s="98"/>
      <c r="L492" s="99"/>
    </row>
    <row r="493" spans="1:12" ht="15.6" x14ac:dyDescent="0.35">
      <c r="A493" s="51"/>
      <c r="B493" s="68"/>
      <c r="C493" s="68"/>
      <c r="D493" s="68"/>
      <c r="E493" s="68"/>
      <c r="F493" s="131"/>
      <c r="G493" s="271"/>
      <c r="H493" s="312"/>
      <c r="I493" s="312"/>
      <c r="J493" s="312"/>
      <c r="K493" s="312"/>
      <c r="L493" s="312"/>
    </row>
    <row r="494" spans="1:12" ht="15.6" x14ac:dyDescent="0.35">
      <c r="A494" s="51"/>
      <c r="B494" s="68" t="s">
        <v>235</v>
      </c>
      <c r="C494" s="68"/>
      <c r="D494" s="68"/>
      <c r="E494" s="68"/>
      <c r="F494" s="131"/>
      <c r="G494" s="271"/>
      <c r="H494" s="337">
        <f>G496</f>
        <v>-93.7</v>
      </c>
      <c r="I494" s="337">
        <f t="shared" ref="I494:L494" si="225">H496</f>
        <v>-93.7</v>
      </c>
      <c r="J494" s="337">
        <f t="shared" si="225"/>
        <v>-93.7</v>
      </c>
      <c r="K494" s="337">
        <f t="shared" si="225"/>
        <v>-93.7</v>
      </c>
      <c r="L494" s="337">
        <f t="shared" si="225"/>
        <v>-93.7</v>
      </c>
    </row>
    <row r="495" spans="1:12" ht="16.2" thickBot="1" x14ac:dyDescent="0.4">
      <c r="A495" s="51"/>
      <c r="B495" s="75" t="s">
        <v>228</v>
      </c>
      <c r="C495" s="75"/>
      <c r="D495" s="75"/>
      <c r="E495" s="75"/>
      <c r="F495" s="333"/>
      <c r="G495" s="335"/>
      <c r="H495" s="336">
        <v>0</v>
      </c>
      <c r="I495" s="336">
        <v>0</v>
      </c>
      <c r="J495" s="336">
        <v>0</v>
      </c>
      <c r="K495" s="336">
        <v>0</v>
      </c>
      <c r="L495" s="336">
        <v>0</v>
      </c>
    </row>
    <row r="496" spans="1:12" ht="15.6" x14ac:dyDescent="0.35">
      <c r="A496" s="51"/>
      <c r="B496" s="73" t="s">
        <v>231</v>
      </c>
      <c r="C496" s="73"/>
      <c r="D496" s="73"/>
      <c r="E496" s="73"/>
      <c r="F496" s="128"/>
      <c r="G496" s="338">
        <f>G75</f>
        <v>-93.7</v>
      </c>
      <c r="H496" s="338">
        <f>SUM(H494:H495)</f>
        <v>-93.7</v>
      </c>
      <c r="I496" s="338">
        <f t="shared" ref="I496:L496" si="226">SUM(I494:I495)</f>
        <v>-93.7</v>
      </c>
      <c r="J496" s="338">
        <f t="shared" si="226"/>
        <v>-93.7</v>
      </c>
      <c r="K496" s="338">
        <f t="shared" si="226"/>
        <v>-93.7</v>
      </c>
      <c r="L496" s="338">
        <f t="shared" si="226"/>
        <v>-93.7</v>
      </c>
    </row>
    <row r="497" spans="1:12" ht="15.6" x14ac:dyDescent="0.35">
      <c r="A497" s="51"/>
      <c r="B497" s="68"/>
      <c r="C497" s="68"/>
      <c r="D497" s="68"/>
      <c r="E497" s="68"/>
      <c r="F497" s="131"/>
      <c r="G497" s="271"/>
      <c r="H497" s="312"/>
      <c r="I497" s="312"/>
      <c r="J497" s="312"/>
      <c r="K497" s="312"/>
      <c r="L497" s="312"/>
    </row>
    <row r="498" spans="1:12" ht="15.6" x14ac:dyDescent="0.35">
      <c r="A498" s="51"/>
      <c r="B498" s="94" t="s">
        <v>52</v>
      </c>
      <c r="C498" s="95"/>
      <c r="D498" s="96"/>
      <c r="E498" s="96"/>
      <c r="F498" s="97"/>
      <c r="G498" s="97"/>
      <c r="H498" s="98"/>
      <c r="I498" s="98"/>
      <c r="J498" s="98"/>
      <c r="K498" s="98"/>
      <c r="L498" s="99"/>
    </row>
    <row r="499" spans="1:12" ht="15.6" x14ac:dyDescent="0.35">
      <c r="A499" s="51"/>
      <c r="B499" s="68"/>
      <c r="C499" s="68"/>
      <c r="D499" s="68"/>
      <c r="E499" s="68"/>
      <c r="F499" s="131"/>
      <c r="G499" s="131"/>
      <c r="H499" s="131"/>
      <c r="I499" s="131"/>
      <c r="J499" s="131"/>
      <c r="K499" s="131"/>
      <c r="L499" s="131"/>
    </row>
    <row r="500" spans="1:12" ht="15.6" x14ac:dyDescent="0.35">
      <c r="A500" s="51"/>
      <c r="B500" s="68" t="s">
        <v>235</v>
      </c>
      <c r="C500" s="68"/>
      <c r="D500" s="68"/>
      <c r="E500" s="68"/>
      <c r="F500" s="131"/>
      <c r="G500" s="126"/>
      <c r="H500" s="331">
        <v>0</v>
      </c>
      <c r="I500" s="331">
        <v>0</v>
      </c>
      <c r="J500" s="331">
        <v>0</v>
      </c>
      <c r="K500" s="331">
        <v>0</v>
      </c>
      <c r="L500" s="331">
        <v>0</v>
      </c>
    </row>
    <row r="501" spans="1:12" ht="16.2" thickBot="1" x14ac:dyDescent="0.4">
      <c r="A501" s="51"/>
      <c r="B501" s="75" t="s">
        <v>229</v>
      </c>
      <c r="C501" s="75"/>
      <c r="D501" s="75"/>
      <c r="E501" s="75"/>
      <c r="F501" s="333"/>
      <c r="G501" s="334"/>
      <c r="H501" s="333">
        <f>H490</f>
        <v>56.420697150226275</v>
      </c>
      <c r="I501" s="333">
        <f t="shared" ref="I501:L501" si="227">I490</f>
        <v>60.36621393898195</v>
      </c>
      <c r="J501" s="333">
        <f>J490</f>
        <v>66.564908544353472</v>
      </c>
      <c r="K501" s="333">
        <f t="shared" si="227"/>
        <v>75.272374361822543</v>
      </c>
      <c r="L501" s="333">
        <f t="shared" si="227"/>
        <v>87.276998329671471</v>
      </c>
    </row>
    <row r="502" spans="1:12" ht="15.6" x14ac:dyDescent="0.35">
      <c r="A502" s="51"/>
      <c r="B502" s="73" t="s">
        <v>34</v>
      </c>
      <c r="C502" s="73"/>
      <c r="D502" s="73"/>
      <c r="E502" s="73"/>
      <c r="F502" s="128"/>
      <c r="G502" s="287"/>
      <c r="H502" s="128">
        <f>H490</f>
        <v>56.420697150226275</v>
      </c>
      <c r="I502" s="128">
        <f t="shared" ref="I502:L502" si="228">I490</f>
        <v>60.36621393898195</v>
      </c>
      <c r="J502" s="128">
        <f t="shared" si="228"/>
        <v>66.564908544353472</v>
      </c>
      <c r="K502" s="128">
        <f t="shared" si="228"/>
        <v>75.272374361822543</v>
      </c>
      <c r="L502" s="128">
        <f t="shared" si="228"/>
        <v>87.276998329671471</v>
      </c>
    </row>
    <row r="503" spans="1:12" ht="15.6" x14ac:dyDescent="0.35">
      <c r="A503" s="51"/>
      <c r="B503" s="68"/>
      <c r="C503" s="68"/>
      <c r="D503" s="68"/>
      <c r="E503" s="68"/>
      <c r="F503" s="131"/>
      <c r="G503" s="126"/>
      <c r="H503" s="126"/>
      <c r="I503" s="126"/>
      <c r="J503" s="126"/>
      <c r="K503" s="126"/>
      <c r="L503" s="126"/>
    </row>
    <row r="504" spans="1:12" ht="15.6" x14ac:dyDescent="0.35">
      <c r="A504" s="51"/>
      <c r="B504" s="68"/>
      <c r="C504" s="68"/>
      <c r="D504" s="68"/>
      <c r="E504" s="68"/>
      <c r="F504" s="131"/>
      <c r="G504" s="126"/>
      <c r="H504" s="126"/>
      <c r="I504" s="126"/>
      <c r="J504" s="126"/>
      <c r="K504" s="126"/>
      <c r="L504" s="126"/>
    </row>
    <row r="505" spans="1:12" ht="15.6" x14ac:dyDescent="0.35">
      <c r="A505" s="51"/>
      <c r="B505" s="68"/>
      <c r="C505" s="68"/>
      <c r="D505" s="68"/>
      <c r="E505" s="68"/>
      <c r="F505" s="131"/>
      <c r="G505" s="126"/>
      <c r="H505" s="126"/>
      <c r="I505" s="126"/>
      <c r="J505" s="126"/>
      <c r="K505" s="126"/>
      <c r="L505" s="126"/>
    </row>
    <row r="506" spans="1:12" ht="15.6" x14ac:dyDescent="0.35">
      <c r="A506" s="51"/>
      <c r="B506" s="68"/>
      <c r="C506" s="68"/>
      <c r="D506" s="68"/>
      <c r="E506" s="68"/>
      <c r="F506" s="131"/>
      <c r="G506" s="126"/>
      <c r="H506" s="126"/>
      <c r="I506" s="126"/>
      <c r="J506" s="126"/>
      <c r="K506" s="126"/>
      <c r="L506" s="126"/>
    </row>
    <row r="507" spans="1:12" ht="28.8" x14ac:dyDescent="0.65">
      <c r="A507" s="51"/>
      <c r="B507" s="52" t="str">
        <f>Cover!$B$2</f>
        <v>Greggs</v>
      </c>
      <c r="C507" s="52"/>
      <c r="D507" s="53"/>
      <c r="E507" s="54"/>
      <c r="F507" s="54"/>
      <c r="G507" s="54"/>
      <c r="H507" s="54"/>
      <c r="I507" s="54"/>
      <c r="J507" s="54"/>
      <c r="K507" s="54"/>
      <c r="L507" s="54"/>
    </row>
    <row r="508" spans="1:12" ht="21" x14ac:dyDescent="0.5">
      <c r="A508" s="51"/>
      <c r="B508" s="55" t="s">
        <v>233</v>
      </c>
      <c r="C508" s="56"/>
      <c r="D508" s="54"/>
      <c r="E508" s="54"/>
      <c r="F508" s="54"/>
      <c r="G508" s="54"/>
      <c r="H508" s="54"/>
      <c r="I508" s="54"/>
      <c r="J508" s="54"/>
      <c r="K508" s="54"/>
      <c r="L508" s="377" t="str">
        <f>"Currently Running: "&amp;CHOOSE(Assumptions!$B$10,Assumptions!$F$15,Assumptions!$F$16,Assumptions!$F$17)&amp;"Scenario"</f>
        <v>Currently Running: Base Scenario</v>
      </c>
    </row>
    <row r="509" spans="1:12" ht="15.6" x14ac:dyDescent="0.35">
      <c r="A509" s="51"/>
      <c r="B509" s="57"/>
      <c r="C509" s="57"/>
      <c r="D509" s="57"/>
      <c r="E509" s="57"/>
      <c r="F509" s="57"/>
      <c r="G509" s="57"/>
      <c r="H509" s="57"/>
      <c r="I509" s="57"/>
      <c r="J509" s="57"/>
      <c r="K509" s="58"/>
      <c r="L509" s="58"/>
    </row>
    <row r="510" spans="1:12" ht="15.6" x14ac:dyDescent="0.35">
      <c r="A510" s="51"/>
      <c r="B510" s="58"/>
      <c r="C510" s="58"/>
      <c r="D510" s="58"/>
      <c r="E510" s="58"/>
      <c r="F510" s="59" t="s">
        <v>63</v>
      </c>
      <c r="G510" s="59"/>
      <c r="H510" s="59"/>
      <c r="I510" s="59"/>
      <c r="J510" s="59"/>
      <c r="K510" s="59"/>
      <c r="L510" s="59"/>
    </row>
    <row r="511" spans="1:12" ht="15.6" x14ac:dyDescent="0.35">
      <c r="A511" s="51"/>
      <c r="B511" s="58"/>
      <c r="C511" s="58"/>
      <c r="D511" s="58"/>
      <c r="E511" s="58"/>
      <c r="F511" s="60">
        <v>2024</v>
      </c>
      <c r="G511" s="60">
        <v>2025</v>
      </c>
      <c r="H511" s="61">
        <f>G511+1</f>
        <v>2026</v>
      </c>
      <c r="I511" s="61">
        <f t="shared" ref="I511" si="229">H511+1</f>
        <v>2027</v>
      </c>
      <c r="J511" s="61">
        <f t="shared" ref="J511" si="230">I511+1</f>
        <v>2028</v>
      </c>
      <c r="K511" s="61">
        <f t="shared" ref="K511" si="231">J511+1</f>
        <v>2029</v>
      </c>
      <c r="L511" s="61">
        <f t="shared" ref="L511" si="232">K511+1</f>
        <v>2030</v>
      </c>
    </row>
    <row r="512" spans="1:12" ht="16.2" thickBot="1" x14ac:dyDescent="0.4">
      <c r="A512" s="51"/>
      <c r="B512" s="62" t="s">
        <v>62</v>
      </c>
      <c r="C512" s="62"/>
      <c r="D512" s="62"/>
      <c r="E512" s="62"/>
      <c r="F512" s="63" t="s">
        <v>64</v>
      </c>
      <c r="G512" s="63"/>
      <c r="H512" s="64"/>
      <c r="I512" s="64"/>
      <c r="J512" s="64"/>
      <c r="K512" s="64"/>
      <c r="L512" s="64" t="s">
        <v>46</v>
      </c>
    </row>
    <row r="513" spans="1:12" ht="15.6" x14ac:dyDescent="0.35">
      <c r="A513" s="51"/>
      <c r="B513" s="58"/>
      <c r="C513" s="58"/>
      <c r="D513" s="58"/>
      <c r="E513" s="58"/>
      <c r="F513" s="92"/>
      <c r="G513" s="92"/>
      <c r="H513" s="93"/>
      <c r="I513" s="93"/>
      <c r="J513" s="93"/>
      <c r="K513" s="93"/>
      <c r="L513" s="93"/>
    </row>
    <row r="514" spans="1:12" ht="15.6" x14ac:dyDescent="0.35">
      <c r="A514" s="51"/>
      <c r="B514" s="94" t="s">
        <v>39</v>
      </c>
      <c r="C514" s="95"/>
      <c r="D514" s="96"/>
      <c r="E514" s="96"/>
      <c r="F514" s="97"/>
      <c r="G514" s="97"/>
      <c r="H514" s="98"/>
      <c r="I514" s="98"/>
      <c r="J514" s="98"/>
      <c r="K514" s="98"/>
      <c r="L514" s="99"/>
    </row>
    <row r="515" spans="1:12" ht="15.6" x14ac:dyDescent="0.35">
      <c r="A515" s="51"/>
      <c r="B515" s="270"/>
      <c r="C515" s="270"/>
      <c r="D515" s="58"/>
      <c r="E515" s="58"/>
      <c r="F515" s="92"/>
      <c r="G515" s="92"/>
      <c r="H515" s="110"/>
      <c r="I515" s="110"/>
      <c r="J515" s="110"/>
      <c r="K515" s="110"/>
      <c r="L515" s="110"/>
    </row>
    <row r="516" spans="1:12" ht="15.6" x14ac:dyDescent="0.35">
      <c r="A516" s="51"/>
      <c r="B516" s="270" t="s">
        <v>236</v>
      </c>
      <c r="C516" s="270"/>
      <c r="D516" s="270"/>
      <c r="E516" s="270"/>
      <c r="F516" s="323"/>
      <c r="G516" s="323"/>
      <c r="H516" s="240">
        <v>0.35</v>
      </c>
      <c r="I516" s="240">
        <v>0.35</v>
      </c>
      <c r="J516" s="240">
        <v>0.35</v>
      </c>
      <c r="K516" s="240">
        <v>0.35</v>
      </c>
      <c r="L516" s="240">
        <v>0.35</v>
      </c>
    </row>
    <row r="517" spans="1:12" ht="16.2" thickBot="1" x14ac:dyDescent="0.4">
      <c r="A517" s="51"/>
      <c r="B517" s="71" t="s">
        <v>89</v>
      </c>
      <c r="C517" s="71"/>
      <c r="D517" s="71"/>
      <c r="E517" s="71"/>
      <c r="F517" s="339"/>
      <c r="G517" s="339"/>
      <c r="H517" s="72">
        <f>H35</f>
        <v>160.58198419679786</v>
      </c>
      <c r="I517" s="72">
        <f>I35</f>
        <v>171.81153198017938</v>
      </c>
      <c r="J517" s="72">
        <f>J35</f>
        <v>189.45397047239064</v>
      </c>
      <c r="K517" s="72">
        <f>K35</f>
        <v>214.2367577990334</v>
      </c>
      <c r="L517" s="72">
        <f>L35</f>
        <v>248.40376447675726</v>
      </c>
    </row>
    <row r="518" spans="1:12" ht="15.6" x14ac:dyDescent="0.35">
      <c r="A518" s="51"/>
      <c r="B518" s="270" t="s">
        <v>237</v>
      </c>
      <c r="C518" s="270"/>
      <c r="D518" s="270"/>
      <c r="E518" s="270"/>
      <c r="F518" s="323"/>
      <c r="G518" s="323"/>
      <c r="H518" s="70">
        <f>H517*H516</f>
        <v>56.203694468879249</v>
      </c>
      <c r="I518" s="70">
        <f t="shared" ref="I518" si="233">I517*I516</f>
        <v>60.134036193062776</v>
      </c>
      <c r="J518" s="70">
        <f>MAX(0, J517*J516)</f>
        <v>66.308889665336721</v>
      </c>
      <c r="K518" s="70">
        <f t="shared" ref="K518:L518" si="234">MAX(0, K517*K516)</f>
        <v>74.982865229661684</v>
      </c>
      <c r="L518" s="70">
        <f t="shared" si="234"/>
        <v>86.941317566865038</v>
      </c>
    </row>
    <row r="519" spans="1:12" ht="15.6" x14ac:dyDescent="0.35">
      <c r="A519" s="51"/>
      <c r="B519" s="270"/>
      <c r="C519" s="270"/>
      <c r="D519" s="270"/>
      <c r="E519" s="270"/>
      <c r="F519" s="323"/>
      <c r="G519" s="323"/>
      <c r="H519" s="110"/>
      <c r="I519" s="110"/>
      <c r="J519" s="110"/>
      <c r="K519" s="110"/>
      <c r="L519" s="110"/>
    </row>
    <row r="520" spans="1:12" ht="15.6" x14ac:dyDescent="0.35">
      <c r="A520" s="51"/>
      <c r="B520" s="94" t="s">
        <v>238</v>
      </c>
      <c r="C520" s="95"/>
      <c r="D520" s="96"/>
      <c r="E520" s="96"/>
      <c r="F520" s="97"/>
      <c r="G520" s="97"/>
      <c r="H520" s="98"/>
      <c r="I520" s="98"/>
      <c r="J520" s="98"/>
      <c r="K520" s="98"/>
      <c r="L520" s="99"/>
    </row>
    <row r="521" spans="1:12" ht="15.6" x14ac:dyDescent="0.35">
      <c r="A521" s="51"/>
      <c r="B521" s="135"/>
      <c r="C521" s="135"/>
      <c r="D521" s="135"/>
      <c r="E521" s="135"/>
      <c r="F521" s="323"/>
      <c r="G521" s="323"/>
      <c r="H521" s="110"/>
      <c r="I521" s="110"/>
      <c r="J521" s="110"/>
      <c r="K521" s="110"/>
      <c r="L521" s="110"/>
    </row>
    <row r="522" spans="1:12" ht="15.6" x14ac:dyDescent="0.35">
      <c r="A522" s="51"/>
      <c r="B522" s="270" t="s">
        <v>239</v>
      </c>
      <c r="C522" s="270"/>
      <c r="D522" s="270"/>
      <c r="E522" s="270"/>
      <c r="F522" s="323"/>
      <c r="G522" s="323"/>
      <c r="H522" s="70">
        <f>G527</f>
        <v>597.70000000000005</v>
      </c>
      <c r="I522" s="70">
        <f t="shared" ref="I522:L522" si="235">H527</f>
        <v>702.07828972791867</v>
      </c>
      <c r="J522" s="70">
        <f t="shared" si="235"/>
        <v>813.7557855150352</v>
      </c>
      <c r="K522" s="70">
        <f t="shared" si="235"/>
        <v>936.90086632208909</v>
      </c>
      <c r="L522" s="70">
        <f t="shared" si="235"/>
        <v>1076.1547588914607</v>
      </c>
    </row>
    <row r="523" spans="1:12" ht="15.6" x14ac:dyDescent="0.35">
      <c r="A523" s="51"/>
      <c r="B523" s="341" t="s">
        <v>240</v>
      </c>
      <c r="C523" s="342"/>
      <c r="D523" s="342"/>
      <c r="E523" s="342"/>
      <c r="F523" s="343"/>
      <c r="G523" s="343"/>
      <c r="H523" s="148">
        <f>H35</f>
        <v>160.58198419679786</v>
      </c>
      <c r="I523" s="148">
        <f>I35</f>
        <v>171.81153198017938</v>
      </c>
      <c r="J523" s="148">
        <f>J35</f>
        <v>189.45397047239064</v>
      </c>
      <c r="K523" s="148">
        <f>K35</f>
        <v>214.2367577990334</v>
      </c>
      <c r="L523" s="148">
        <f>L35</f>
        <v>248.40376447675726</v>
      </c>
    </row>
    <row r="524" spans="1:12" ht="15.6" x14ac:dyDescent="0.35">
      <c r="A524" s="51"/>
      <c r="B524" s="340" t="s">
        <v>241</v>
      </c>
      <c r="C524" s="68"/>
      <c r="D524" s="68"/>
      <c r="E524" s="68"/>
      <c r="F524" s="68"/>
      <c r="G524" s="68"/>
      <c r="H524" s="70">
        <f>-H518</f>
        <v>-56.203694468879249</v>
      </c>
      <c r="I524" s="70">
        <f t="shared" ref="I524:L524" si="236">-I518</f>
        <v>-60.134036193062776</v>
      </c>
      <c r="J524" s="70">
        <f t="shared" si="236"/>
        <v>-66.308889665336721</v>
      </c>
      <c r="K524" s="70">
        <f t="shared" si="236"/>
        <v>-74.982865229661684</v>
      </c>
      <c r="L524" s="70">
        <f t="shared" si="236"/>
        <v>-86.941317566865038</v>
      </c>
    </row>
    <row r="525" spans="1:12" ht="15.6" x14ac:dyDescent="0.35">
      <c r="A525" s="51"/>
      <c r="B525" s="340" t="s">
        <v>242</v>
      </c>
      <c r="C525" s="68"/>
      <c r="D525" s="68"/>
      <c r="E525" s="68"/>
      <c r="F525" s="68"/>
      <c r="G525" s="68"/>
      <c r="H525" s="346">
        <f>0</f>
        <v>0</v>
      </c>
      <c r="I525" s="346">
        <f>0</f>
        <v>0</v>
      </c>
      <c r="J525" s="346">
        <f>0</f>
        <v>0</v>
      </c>
      <c r="K525" s="346">
        <f>0</f>
        <v>0</v>
      </c>
      <c r="L525" s="346">
        <f>0</f>
        <v>0</v>
      </c>
    </row>
    <row r="526" spans="1:12" ht="16.2" thickBot="1" x14ac:dyDescent="0.4">
      <c r="A526" s="51"/>
      <c r="B526" s="344" t="s">
        <v>243</v>
      </c>
      <c r="C526" s="75"/>
      <c r="D526" s="75"/>
      <c r="E526" s="75"/>
      <c r="F526" s="75"/>
      <c r="G526" s="75"/>
      <c r="H526" s="345">
        <f>0</f>
        <v>0</v>
      </c>
      <c r="I526" s="345">
        <f>0</f>
        <v>0</v>
      </c>
      <c r="J526" s="345">
        <f>0</f>
        <v>0</v>
      </c>
      <c r="K526" s="345">
        <f>0</f>
        <v>0</v>
      </c>
      <c r="L526" s="345">
        <f>0</f>
        <v>0</v>
      </c>
    </row>
    <row r="527" spans="1:12" ht="15.6" x14ac:dyDescent="0.35">
      <c r="A527" s="51"/>
      <c r="B527" s="68" t="s">
        <v>244</v>
      </c>
      <c r="C527" s="68"/>
      <c r="D527" s="68"/>
      <c r="E527" s="68"/>
      <c r="F527" s="68"/>
      <c r="G527" s="70">
        <f>G84</f>
        <v>597.70000000000005</v>
      </c>
      <c r="H527" s="70">
        <f>SUM(H522:H526)</f>
        <v>702.07828972791867</v>
      </c>
      <c r="I527" s="70">
        <f t="shared" ref="I527:L527" si="237">SUM(I522:I526)</f>
        <v>813.7557855150352</v>
      </c>
      <c r="J527" s="70">
        <f t="shared" si="237"/>
        <v>936.90086632208909</v>
      </c>
      <c r="K527" s="70">
        <f t="shared" si="237"/>
        <v>1076.1547588914607</v>
      </c>
      <c r="L527" s="70">
        <f t="shared" si="237"/>
        <v>1237.6172058013528</v>
      </c>
    </row>
    <row r="528" spans="1:12" ht="15.6" x14ac:dyDescent="0.35">
      <c r="A528" s="51"/>
      <c r="B528" s="73"/>
      <c r="C528" s="73"/>
      <c r="D528" s="73"/>
      <c r="E528" s="73"/>
      <c r="F528" s="73"/>
      <c r="G528" s="287"/>
      <c r="H528" s="287"/>
      <c r="I528" s="287"/>
      <c r="J528" s="287"/>
      <c r="K528" s="287"/>
      <c r="L528" s="287"/>
    </row>
    <row r="529" spans="1:12" ht="15.6" x14ac:dyDescent="0.35">
      <c r="A529" s="51"/>
      <c r="B529" s="68"/>
      <c r="C529" s="68"/>
      <c r="D529" s="68"/>
      <c r="E529" s="68"/>
      <c r="F529" s="68"/>
      <c r="G529" s="68"/>
      <c r="H529" s="101"/>
      <c r="I529" s="101"/>
      <c r="J529" s="101"/>
      <c r="K529" s="101"/>
      <c r="L529" s="101"/>
    </row>
    <row r="530" spans="1:12" ht="15.6" x14ac:dyDescent="0.35">
      <c r="A530" s="51"/>
      <c r="B530" s="51"/>
      <c r="C530" s="51"/>
      <c r="D530" s="51"/>
      <c r="E530" s="51"/>
      <c r="F530" s="51"/>
      <c r="G530" s="51"/>
      <c r="H530" s="324"/>
      <c r="I530" s="324"/>
      <c r="J530" s="324"/>
      <c r="K530" s="324"/>
      <c r="L530" s="324"/>
    </row>
    <row r="531" spans="1:12" ht="15.6" x14ac:dyDescent="0.35">
      <c r="A531" s="51"/>
      <c r="B531" s="51"/>
      <c r="C531" s="51"/>
      <c r="D531" s="105"/>
      <c r="E531" s="105"/>
      <c r="F531" s="105"/>
      <c r="G531" s="105"/>
      <c r="H531" s="136"/>
      <c r="I531" s="136"/>
      <c r="J531" s="136"/>
      <c r="K531" s="136"/>
      <c r="L531" s="136"/>
    </row>
    <row r="532" spans="1:12" ht="15.6" x14ac:dyDescent="0.35">
      <c r="A532" s="51"/>
      <c r="B532" s="51"/>
      <c r="C532" s="51"/>
      <c r="D532" s="51"/>
      <c r="E532" s="51"/>
      <c r="F532" s="51"/>
      <c r="G532" s="51"/>
      <c r="H532" s="136"/>
      <c r="I532" s="136"/>
      <c r="J532" s="136"/>
      <c r="K532" s="136"/>
      <c r="L532" s="136"/>
    </row>
    <row r="533" spans="1:12" ht="15.6" x14ac:dyDescent="0.35">
      <c r="A533" s="51"/>
      <c r="B533" s="51"/>
      <c r="C533" s="51"/>
      <c r="D533" s="51"/>
      <c r="E533" s="51"/>
      <c r="F533" s="51"/>
      <c r="G533" s="51"/>
      <c r="H533" s="136"/>
      <c r="I533" s="136"/>
      <c r="J533" s="136"/>
      <c r="K533" s="136"/>
      <c r="L533" s="136"/>
    </row>
    <row r="534" spans="1:12" ht="15.6" x14ac:dyDescent="0.35">
      <c r="A534" s="51"/>
      <c r="B534" s="105"/>
      <c r="C534" s="105"/>
      <c r="D534" s="51"/>
      <c r="E534" s="51"/>
      <c r="F534" s="51"/>
      <c r="G534" s="51"/>
      <c r="H534" s="136"/>
      <c r="I534" s="136"/>
      <c r="J534" s="136"/>
      <c r="K534" s="136"/>
      <c r="L534" s="136"/>
    </row>
    <row r="535" spans="1:12" ht="15.6" x14ac:dyDescent="0.35">
      <c r="A535" s="51"/>
      <c r="B535" s="51"/>
      <c r="C535" s="51"/>
      <c r="D535" s="51"/>
      <c r="E535" s="51"/>
      <c r="F535" s="51"/>
      <c r="G535" s="51"/>
      <c r="H535" s="136"/>
      <c r="I535" s="136"/>
      <c r="J535" s="136"/>
      <c r="K535" s="136"/>
      <c r="L535" s="136"/>
    </row>
    <row r="536" spans="1:12" ht="15.6" x14ac:dyDescent="0.35">
      <c r="A536" s="51"/>
      <c r="B536" s="51"/>
      <c r="C536" s="51"/>
      <c r="D536" s="51"/>
      <c r="E536" s="51"/>
      <c r="F536" s="51"/>
      <c r="G536" s="51"/>
      <c r="H536" s="107"/>
      <c r="I536" s="107"/>
      <c r="J536" s="107"/>
      <c r="K536" s="107"/>
      <c r="L536" s="107"/>
    </row>
    <row r="537" spans="1:12" ht="15.6" x14ac:dyDescent="0.35">
      <c r="B537" s="105"/>
      <c r="C537" s="105"/>
      <c r="D537" s="105"/>
      <c r="E537" s="105"/>
      <c r="F537" s="105"/>
      <c r="G537" s="105"/>
      <c r="H537" s="136"/>
      <c r="I537" s="136"/>
      <c r="J537" s="136"/>
      <c r="K537" s="136"/>
      <c r="L537" s="136"/>
    </row>
    <row r="539" spans="1:12" x14ac:dyDescent="0.3">
      <c r="B539" s="5"/>
      <c r="C539" s="5"/>
    </row>
    <row r="541" spans="1:12" x14ac:dyDescent="0.3">
      <c r="H541" s="32"/>
      <c r="I541" s="32"/>
      <c r="J541" s="32"/>
      <c r="K541" s="32"/>
      <c r="L541" s="32"/>
    </row>
    <row r="542" spans="1:12" x14ac:dyDescent="0.3">
      <c r="H542" s="34"/>
      <c r="I542" s="34"/>
      <c r="J542" s="34"/>
      <c r="K542" s="34"/>
      <c r="L542" s="34"/>
    </row>
    <row r="543" spans="1:12" x14ac:dyDescent="0.3">
      <c r="B543" s="5"/>
      <c r="C543" s="5"/>
      <c r="D543" s="5"/>
      <c r="E543" s="5"/>
      <c r="F543" s="5"/>
      <c r="G543" s="5"/>
      <c r="H543" s="31"/>
      <c r="I543" s="31"/>
      <c r="J543" s="31"/>
      <c r="K543" s="31"/>
      <c r="L543" s="31"/>
    </row>
    <row r="544" spans="1:12" x14ac:dyDescent="0.3">
      <c r="B544" s="5"/>
      <c r="C544" s="5"/>
      <c r="D544" s="5"/>
      <c r="E544" s="5"/>
      <c r="F544" s="5"/>
      <c r="G544" s="5"/>
      <c r="H544" s="31"/>
      <c r="I544" s="31"/>
      <c r="J544" s="31"/>
      <c r="K544" s="31"/>
      <c r="L544" s="31"/>
    </row>
    <row r="545" spans="2:12" x14ac:dyDescent="0.3">
      <c r="B545" s="5"/>
      <c r="C545" s="5"/>
    </row>
    <row r="547" spans="2:12" x14ac:dyDescent="0.3">
      <c r="H547" s="32"/>
      <c r="I547" s="32"/>
      <c r="J547" s="32"/>
      <c r="K547" s="32"/>
      <c r="L547" s="32"/>
    </row>
    <row r="548" spans="2:12" x14ac:dyDescent="0.3">
      <c r="H548" s="34"/>
      <c r="I548" s="34"/>
      <c r="J548" s="34"/>
      <c r="K548" s="34"/>
      <c r="L548" s="34"/>
    </row>
    <row r="549" spans="2:12" x14ac:dyDescent="0.3">
      <c r="B549" s="5"/>
      <c r="C549" s="5"/>
      <c r="D549" s="5"/>
      <c r="E549" s="5"/>
      <c r="F549" s="5"/>
      <c r="G549" s="5"/>
      <c r="H549" s="31"/>
      <c r="I549" s="31"/>
      <c r="J549" s="31"/>
      <c r="K549" s="31"/>
      <c r="L549" s="31"/>
    </row>
    <row r="550" spans="2:12" x14ac:dyDescent="0.3">
      <c r="B550" s="5"/>
      <c r="C550" s="5"/>
      <c r="H550" s="35"/>
    </row>
    <row r="551" spans="2:12" x14ac:dyDescent="0.3">
      <c r="B551" s="5"/>
      <c r="C551" s="5"/>
    </row>
    <row r="553" spans="2:12" x14ac:dyDescent="0.3">
      <c r="H553" s="32"/>
      <c r="I553" s="32"/>
      <c r="J553" s="32"/>
      <c r="K553" s="32"/>
      <c r="L553" s="32"/>
    </row>
    <row r="554" spans="2:12" x14ac:dyDescent="0.3">
      <c r="H554" s="34"/>
      <c r="I554" s="34"/>
      <c r="J554" s="34"/>
      <c r="K554" s="34"/>
      <c r="L554" s="34"/>
    </row>
    <row r="555" spans="2:12" x14ac:dyDescent="0.3">
      <c r="B555" s="5"/>
      <c r="C555" s="5"/>
      <c r="D555" s="5"/>
      <c r="E555" s="5"/>
      <c r="F555" s="5"/>
      <c r="G555" s="5"/>
      <c r="H555" s="31"/>
      <c r="I555" s="31"/>
      <c r="J555" s="31"/>
      <c r="K555" s="31"/>
      <c r="L555" s="31"/>
    </row>
    <row r="556" spans="2:12" x14ac:dyDescent="0.3">
      <c r="B556" s="5"/>
      <c r="C556" s="5"/>
      <c r="D556" s="5"/>
      <c r="E556" s="5"/>
      <c r="F556" s="5"/>
      <c r="G556" s="5"/>
      <c r="H556" s="31"/>
      <c r="I556" s="31"/>
      <c r="J556" s="31"/>
      <c r="K556" s="31"/>
      <c r="L556" s="31"/>
    </row>
    <row r="557" spans="2:12" x14ac:dyDescent="0.3">
      <c r="B557" s="5"/>
      <c r="C557" s="5"/>
      <c r="D557" s="5"/>
      <c r="E557" s="5"/>
      <c r="F557" s="5"/>
      <c r="G557" s="5"/>
      <c r="H557" s="31"/>
      <c r="I557" s="31"/>
      <c r="J557" s="31"/>
      <c r="K557" s="31"/>
      <c r="L557" s="31"/>
    </row>
    <row r="558" spans="2:12" x14ac:dyDescent="0.3">
      <c r="B558" s="5"/>
      <c r="C558" s="5"/>
      <c r="D558" s="5"/>
      <c r="E558" s="5"/>
      <c r="F558" s="5"/>
      <c r="G558" s="5"/>
      <c r="H558" s="31"/>
      <c r="I558" s="31"/>
      <c r="J558" s="31"/>
      <c r="K558" s="31"/>
      <c r="L558" s="31"/>
    </row>
    <row r="559" spans="2:12" x14ac:dyDescent="0.3">
      <c r="B559" s="5"/>
      <c r="C559" s="5"/>
    </row>
    <row r="561" spans="2:12" x14ac:dyDescent="0.3">
      <c r="H561" s="32"/>
      <c r="I561" s="32"/>
      <c r="J561" s="32"/>
      <c r="K561" s="32"/>
      <c r="L561" s="32"/>
    </row>
    <row r="562" spans="2:12" x14ac:dyDescent="0.3">
      <c r="H562" s="34"/>
      <c r="I562" s="34"/>
      <c r="J562" s="34"/>
      <c r="K562" s="34"/>
      <c r="L562" s="34"/>
    </row>
    <row r="563" spans="2:12" x14ac:dyDescent="0.3">
      <c r="B563" s="5"/>
      <c r="C563" s="5"/>
      <c r="D563" s="5"/>
      <c r="E563" s="5"/>
      <c r="F563" s="5"/>
      <c r="G563" s="5"/>
      <c r="H563" s="31"/>
      <c r="I563" s="31"/>
      <c r="J563" s="31"/>
      <c r="K563" s="31"/>
      <c r="L563" s="31"/>
    </row>
    <row r="564" spans="2:12" x14ac:dyDescent="0.3">
      <c r="B564" s="5"/>
      <c r="C564" s="5"/>
      <c r="H564" s="35"/>
    </row>
    <row r="565" spans="2:12" x14ac:dyDescent="0.3">
      <c r="B565" s="5"/>
      <c r="C565" s="5"/>
    </row>
    <row r="567" spans="2:12" x14ac:dyDescent="0.3">
      <c r="H567" s="32"/>
      <c r="I567" s="32"/>
      <c r="J567" s="32"/>
      <c r="K567" s="32"/>
      <c r="L567" s="32"/>
    </row>
    <row r="568" spans="2:12" x14ac:dyDescent="0.3">
      <c r="H568" s="34"/>
      <c r="I568" s="34"/>
      <c r="J568" s="34"/>
      <c r="K568" s="34"/>
      <c r="L568" s="34"/>
    </row>
    <row r="569" spans="2:12" x14ac:dyDescent="0.3">
      <c r="B569" s="5"/>
      <c r="C569" s="5"/>
      <c r="D569" s="5"/>
      <c r="E569" s="5"/>
      <c r="F569" s="5"/>
      <c r="G569" s="5"/>
      <c r="H569" s="31"/>
      <c r="I569" s="31"/>
      <c r="J569" s="31"/>
      <c r="K569" s="31"/>
      <c r="L569" s="31"/>
    </row>
    <row r="570" spans="2:12" x14ac:dyDescent="0.3">
      <c r="B570" s="5"/>
      <c r="C570" s="5"/>
      <c r="D570" s="5"/>
      <c r="E570" s="5"/>
      <c r="F570" s="5"/>
      <c r="G570" s="5"/>
      <c r="H570" s="31"/>
      <c r="I570" s="31"/>
      <c r="J570" s="31"/>
      <c r="K570" s="31"/>
      <c r="L570" s="31"/>
    </row>
    <row r="571" spans="2:12" x14ac:dyDescent="0.3">
      <c r="E571" s="5"/>
      <c r="F571" s="5"/>
      <c r="G571" s="5"/>
      <c r="H571" s="31"/>
      <c r="I571" s="31"/>
      <c r="J571" s="31"/>
      <c r="K571" s="31"/>
      <c r="L571" s="31"/>
    </row>
    <row r="572" spans="2:12" x14ac:dyDescent="0.3">
      <c r="E572" s="5"/>
      <c r="F572" s="5"/>
      <c r="G572" s="5"/>
      <c r="H572" s="31"/>
      <c r="I572" s="31"/>
      <c r="J572" s="31"/>
      <c r="K572" s="31"/>
      <c r="L572" s="31"/>
    </row>
    <row r="573" spans="2:12" x14ac:dyDescent="0.3">
      <c r="B573" s="5"/>
      <c r="C573" s="5"/>
      <c r="D573" s="5"/>
      <c r="H573" s="31"/>
      <c r="I573" s="31"/>
      <c r="J573" s="31"/>
      <c r="K573" s="31"/>
      <c r="L573" s="31"/>
    </row>
    <row r="574" spans="2:12" x14ac:dyDescent="0.3">
      <c r="B574" s="5"/>
      <c r="C574" s="5"/>
      <c r="D574" s="5"/>
      <c r="H574" s="31"/>
      <c r="I574" s="31"/>
      <c r="J574" s="31"/>
      <c r="K574" s="31"/>
      <c r="L574" s="31"/>
    </row>
    <row r="575" spans="2:12" x14ac:dyDescent="0.3">
      <c r="B575" s="5"/>
      <c r="C575" s="5"/>
      <c r="H575" s="31"/>
      <c r="I575" s="31"/>
      <c r="J575" s="31"/>
      <c r="K575" s="31"/>
      <c r="L575" s="31"/>
    </row>
    <row r="576" spans="2:12" x14ac:dyDescent="0.3">
      <c r="B576" s="5"/>
      <c r="C576" s="5"/>
      <c r="D576" s="5"/>
      <c r="H576" s="36"/>
      <c r="I576" s="36"/>
      <c r="J576" s="36"/>
      <c r="K576" s="36"/>
      <c r="L576" s="36"/>
    </row>
    <row r="579" spans="2:12" ht="25.8" x14ac:dyDescent="0.5">
      <c r="B579" s="3"/>
      <c r="C579" s="3"/>
      <c r="D579" s="3"/>
      <c r="E579" s="4"/>
      <c r="F579" s="4"/>
      <c r="G579" s="4"/>
      <c r="H579" s="4"/>
      <c r="I579" s="4"/>
      <c r="J579" s="4"/>
      <c r="K579" s="4"/>
      <c r="L579" s="4"/>
    </row>
    <row r="580" spans="2:12" x14ac:dyDescent="0.3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2:12" x14ac:dyDescent="0.3">
      <c r="B581" s="4"/>
      <c r="C581" s="4"/>
      <c r="D581" s="4"/>
      <c r="E581" s="4"/>
      <c r="F581" s="4"/>
      <c r="G581" s="4"/>
      <c r="H581" s="4"/>
      <c r="I581" s="4"/>
      <c r="J581" s="4"/>
    </row>
    <row r="582" spans="2:12" x14ac:dyDescent="0.3">
      <c r="B582" s="4"/>
      <c r="C582" s="4"/>
      <c r="D582" s="4"/>
      <c r="E582" s="4"/>
      <c r="F582" s="4"/>
      <c r="G582" s="4"/>
      <c r="H582" s="4"/>
      <c r="I582" s="4"/>
      <c r="J582" s="4"/>
    </row>
    <row r="584" spans="2:12" x14ac:dyDescent="0.3">
      <c r="F584" s="28"/>
      <c r="G584" s="28"/>
      <c r="H584" s="29"/>
      <c r="I584" s="29"/>
      <c r="J584" s="29"/>
      <c r="K584" s="29"/>
      <c r="L584" s="29"/>
    </row>
    <row r="586" spans="2:12" x14ac:dyDescent="0.3">
      <c r="B586" s="5"/>
      <c r="C586" s="5"/>
    </row>
    <row r="587" spans="2:12" x14ac:dyDescent="0.3">
      <c r="B587" s="5"/>
      <c r="C587" s="5"/>
    </row>
    <row r="588" spans="2:12" x14ac:dyDescent="0.3">
      <c r="H588" s="30"/>
      <c r="I588" s="30"/>
      <c r="J588" s="30"/>
      <c r="K588" s="30"/>
      <c r="L588" s="30"/>
    </row>
    <row r="589" spans="2:12" x14ac:dyDescent="0.3">
      <c r="F589" s="8"/>
      <c r="H589" s="32"/>
      <c r="I589" s="32"/>
      <c r="J589" s="32"/>
      <c r="K589" s="32"/>
      <c r="L589" s="32"/>
    </row>
    <row r="590" spans="2:12" x14ac:dyDescent="0.3">
      <c r="H590" s="32"/>
      <c r="I590" s="32"/>
      <c r="J590" s="32"/>
      <c r="K590" s="32"/>
      <c r="L590" s="32"/>
    </row>
    <row r="591" spans="2:12" x14ac:dyDescent="0.3">
      <c r="H591" s="32"/>
      <c r="I591" s="32"/>
      <c r="J591" s="32"/>
      <c r="K591" s="32"/>
      <c r="L591" s="32"/>
    </row>
    <row r="592" spans="2:12" x14ac:dyDescent="0.3">
      <c r="H592" s="32"/>
      <c r="I592" s="32"/>
      <c r="J592" s="32"/>
      <c r="K592" s="32"/>
      <c r="L592" s="32"/>
    </row>
    <row r="593" spans="2:12" x14ac:dyDescent="0.3">
      <c r="H593" s="32"/>
      <c r="I593" s="32"/>
      <c r="J593" s="32"/>
      <c r="K593" s="32"/>
      <c r="L593" s="32"/>
    </row>
    <row r="594" spans="2:12" x14ac:dyDescent="0.3">
      <c r="B594" s="5"/>
      <c r="C594" s="5"/>
      <c r="D594" s="5"/>
      <c r="E594" s="5"/>
      <c r="F594" s="5"/>
      <c r="G594" s="5"/>
      <c r="H594" s="10"/>
      <c r="I594" s="10"/>
      <c r="J594" s="10"/>
      <c r="K594" s="10"/>
      <c r="L594" s="10"/>
    </row>
    <row r="595" spans="2:12" x14ac:dyDescent="0.3">
      <c r="B595" s="5"/>
      <c r="C595" s="5"/>
      <c r="D595" s="5"/>
      <c r="E595" s="5"/>
      <c r="F595" s="5"/>
      <c r="G595" s="5"/>
      <c r="H595" s="37"/>
      <c r="I595" s="37"/>
      <c r="J595" s="37"/>
      <c r="K595" s="37"/>
      <c r="L595" s="37"/>
    </row>
    <row r="596" spans="2:12" x14ac:dyDescent="0.3">
      <c r="B596" s="5"/>
      <c r="C596" s="5"/>
      <c r="D596" s="5"/>
      <c r="E596" s="5"/>
      <c r="F596" s="5"/>
      <c r="G596" s="5"/>
      <c r="H596" s="37"/>
      <c r="I596" s="37"/>
      <c r="J596" s="37"/>
      <c r="K596" s="37"/>
      <c r="L596" s="37"/>
    </row>
    <row r="597" spans="2:12" x14ac:dyDescent="0.3">
      <c r="B597" s="5"/>
      <c r="C597" s="5"/>
      <c r="D597" s="5"/>
      <c r="E597" s="5"/>
      <c r="F597" s="5"/>
      <c r="G597" s="5"/>
      <c r="H597" s="37"/>
      <c r="I597" s="37"/>
      <c r="J597" s="37"/>
      <c r="K597" s="37"/>
      <c r="L597" s="37"/>
    </row>
    <row r="598" spans="2:12" x14ac:dyDescent="0.3">
      <c r="D598" s="5"/>
      <c r="E598" s="5"/>
      <c r="F598" s="5"/>
      <c r="G598" s="5"/>
      <c r="H598" s="32"/>
      <c r="I598" s="32"/>
      <c r="J598" s="32"/>
      <c r="K598" s="32"/>
      <c r="L598" s="32"/>
    </row>
    <row r="599" spans="2:12" x14ac:dyDescent="0.3">
      <c r="D599" s="5"/>
      <c r="E599" s="5"/>
      <c r="F599" s="5"/>
      <c r="G599" s="5"/>
      <c r="H599" s="32"/>
      <c r="I599" s="32"/>
      <c r="J599" s="32"/>
      <c r="K599" s="32"/>
      <c r="L599" s="32"/>
    </row>
    <row r="600" spans="2:12" x14ac:dyDescent="0.3">
      <c r="D600" s="5"/>
      <c r="E600" s="5"/>
      <c r="F600" s="5"/>
      <c r="G600" s="5"/>
      <c r="H600" s="32"/>
      <c r="I600" s="30"/>
      <c r="J600" s="30"/>
      <c r="K600" s="30"/>
      <c r="L600" s="30"/>
    </row>
    <row r="601" spans="2:12" x14ac:dyDescent="0.3">
      <c r="D601" s="5"/>
      <c r="E601" s="5"/>
      <c r="F601" s="5"/>
      <c r="G601" s="5"/>
      <c r="H601" s="32"/>
      <c r="I601" s="32"/>
      <c r="J601" s="30"/>
      <c r="K601" s="32"/>
      <c r="L601" s="32"/>
    </row>
    <row r="602" spans="2:12" x14ac:dyDescent="0.3">
      <c r="D602" s="5"/>
      <c r="E602" s="5"/>
      <c r="F602" s="5"/>
      <c r="G602" s="5"/>
      <c r="H602" s="32"/>
      <c r="I602" s="32"/>
      <c r="J602" s="32"/>
      <c r="K602" s="30"/>
      <c r="L602" s="30"/>
    </row>
    <row r="603" spans="2:12" x14ac:dyDescent="0.3">
      <c r="D603" s="5"/>
      <c r="E603" s="5"/>
      <c r="F603" s="5"/>
      <c r="G603" s="5"/>
      <c r="H603" s="32"/>
      <c r="I603" s="32"/>
      <c r="J603" s="32"/>
      <c r="K603" s="32"/>
      <c r="L603" s="30"/>
    </row>
    <row r="604" spans="2:12" x14ac:dyDescent="0.3">
      <c r="B604" s="5"/>
      <c r="C604" s="5"/>
      <c r="D604" s="5"/>
      <c r="E604" s="5"/>
      <c r="F604" s="5"/>
      <c r="G604" s="5"/>
      <c r="H604" s="10"/>
      <c r="I604" s="10"/>
      <c r="J604" s="10"/>
      <c r="K604" s="10"/>
      <c r="L604" s="10"/>
    </row>
    <row r="606" spans="2:12" x14ac:dyDescent="0.3">
      <c r="B606" s="5"/>
      <c r="C606" s="5"/>
      <c r="F606" s="5"/>
      <c r="G606" s="5"/>
      <c r="H606" s="5"/>
      <c r="I606" s="5"/>
      <c r="J606" s="5"/>
      <c r="K606" s="5"/>
      <c r="L606" s="5"/>
    </row>
    <row r="608" spans="2:12" x14ac:dyDescent="0.3">
      <c r="F608" s="32"/>
      <c r="G608" s="32"/>
      <c r="H608" s="32"/>
      <c r="I608" s="32"/>
      <c r="J608" s="32"/>
      <c r="K608" s="32"/>
      <c r="L608" s="32"/>
    </row>
    <row r="609" spans="2:12" x14ac:dyDescent="0.3">
      <c r="F609" s="32"/>
      <c r="G609" s="38"/>
      <c r="H609" s="38"/>
      <c r="I609" s="32"/>
      <c r="J609" s="32"/>
      <c r="K609" s="32"/>
      <c r="L609" s="32"/>
    </row>
    <row r="610" spans="2:12" x14ac:dyDescent="0.3">
      <c r="F610" s="32"/>
      <c r="G610" s="32"/>
      <c r="H610" s="32"/>
      <c r="I610" s="32"/>
      <c r="J610" s="32"/>
      <c r="K610" s="32"/>
      <c r="L610" s="32"/>
    </row>
    <row r="611" spans="2:12" x14ac:dyDescent="0.3">
      <c r="B611" s="5"/>
      <c r="C611" s="5"/>
      <c r="D611" s="5"/>
      <c r="E611" s="5"/>
      <c r="F611" s="10"/>
      <c r="G611" s="10"/>
      <c r="H611" s="10"/>
      <c r="I611" s="10"/>
      <c r="J611" s="10"/>
      <c r="K611" s="10"/>
      <c r="L611" s="10"/>
    </row>
    <row r="613" spans="2:12" x14ac:dyDescent="0.3">
      <c r="B613" s="5"/>
      <c r="C613" s="5"/>
    </row>
    <row r="615" spans="2:12" x14ac:dyDescent="0.3">
      <c r="F615" s="6"/>
      <c r="G615" s="32"/>
      <c r="H615" s="32"/>
      <c r="I615" s="32"/>
      <c r="J615" s="32"/>
      <c r="K615" s="32"/>
      <c r="L615" s="32"/>
    </row>
    <row r="616" spans="2:12" x14ac:dyDescent="0.3">
      <c r="F616" s="9"/>
      <c r="G616" s="9"/>
      <c r="H616" s="38"/>
      <c r="I616" s="38"/>
      <c r="J616" s="38"/>
      <c r="K616" s="38"/>
      <c r="L616" s="38"/>
    </row>
    <row r="617" spans="2:12" x14ac:dyDescent="0.3">
      <c r="F617" s="39"/>
      <c r="G617" s="39"/>
      <c r="H617" s="38"/>
      <c r="I617" s="38"/>
      <c r="J617" s="38"/>
      <c r="K617" s="38"/>
      <c r="L617" s="38"/>
    </row>
    <row r="618" spans="2:12" x14ac:dyDescent="0.3">
      <c r="F618" s="5"/>
      <c r="G618" s="5"/>
      <c r="H618" s="10"/>
      <c r="I618" s="10"/>
      <c r="J618" s="10"/>
      <c r="K618" s="10"/>
      <c r="L618" s="10"/>
    </row>
    <row r="621" spans="2:12" ht="25.8" x14ac:dyDescent="0.5">
      <c r="B621" s="3"/>
      <c r="C621" s="3"/>
      <c r="D621" s="3"/>
      <c r="E621" s="4"/>
      <c r="F621" s="4"/>
      <c r="G621" s="4"/>
      <c r="H621" s="4"/>
      <c r="I621" s="4"/>
      <c r="J621" s="4"/>
      <c r="K621" s="4"/>
      <c r="L621" s="4"/>
    </row>
    <row r="622" spans="2:12" x14ac:dyDescent="0.3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2:12" x14ac:dyDescent="0.3">
      <c r="B623" s="4"/>
      <c r="C623" s="4"/>
      <c r="D623" s="4"/>
      <c r="E623" s="4"/>
      <c r="F623" s="4"/>
      <c r="G623" s="4"/>
      <c r="H623" s="4"/>
      <c r="I623" s="4"/>
      <c r="J623" s="4"/>
    </row>
    <row r="624" spans="2:12" x14ac:dyDescent="0.3">
      <c r="B624" s="4"/>
      <c r="C624" s="4"/>
      <c r="D624" s="4"/>
      <c r="E624" s="4"/>
      <c r="F624" s="4"/>
      <c r="G624" s="4"/>
      <c r="H624" s="4"/>
      <c r="I624" s="4"/>
      <c r="J624" s="4"/>
    </row>
    <row r="626" spans="2:12" x14ac:dyDescent="0.3">
      <c r="F626" s="28"/>
      <c r="G626" s="28"/>
      <c r="H626" s="29"/>
      <c r="I626" s="29"/>
      <c r="J626" s="29"/>
      <c r="K626" s="29"/>
      <c r="L626" s="29"/>
    </row>
    <row r="628" spans="2:12" x14ac:dyDescent="0.3">
      <c r="B628" s="5"/>
      <c r="C628" s="5"/>
    </row>
    <row r="629" spans="2:12" x14ac:dyDescent="0.3">
      <c r="B629" s="5"/>
      <c r="C629" s="5"/>
    </row>
    <row r="630" spans="2:12" x14ac:dyDescent="0.3">
      <c r="F630" s="32"/>
      <c r="G630" s="32"/>
      <c r="H630" s="9"/>
      <c r="I630" s="9"/>
      <c r="J630" s="9"/>
      <c r="K630" s="9"/>
      <c r="L630" s="9"/>
    </row>
    <row r="631" spans="2:12" x14ac:dyDescent="0.3">
      <c r="F631" s="32"/>
      <c r="G631" s="32"/>
      <c r="H631" s="9"/>
      <c r="I631" s="9"/>
      <c r="J631" s="9"/>
      <c r="K631" s="9"/>
      <c r="L631" s="9"/>
    </row>
    <row r="632" spans="2:12" x14ac:dyDescent="0.3">
      <c r="F632" s="32"/>
      <c r="G632" s="32"/>
      <c r="H632" s="32"/>
      <c r="I632" s="32"/>
      <c r="J632" s="32"/>
      <c r="K632" s="32"/>
      <c r="L632" s="32"/>
    </row>
    <row r="633" spans="2:12" x14ac:dyDescent="0.3">
      <c r="B633" s="5"/>
      <c r="C633" s="5"/>
      <c r="F633" s="32"/>
      <c r="G633" s="32"/>
      <c r="H633" s="32"/>
      <c r="I633" s="32"/>
      <c r="J633" s="32"/>
      <c r="K633" s="32"/>
      <c r="L633" s="32"/>
    </row>
    <row r="635" spans="2:12" x14ac:dyDescent="0.3">
      <c r="B635" s="5"/>
      <c r="C635" s="5"/>
    </row>
    <row r="637" spans="2:12" x14ac:dyDescent="0.3">
      <c r="F637" s="9"/>
      <c r="G637" s="9"/>
      <c r="H637" s="32"/>
      <c r="I637" s="32"/>
      <c r="J637" s="32"/>
      <c r="K637" s="32"/>
      <c r="L637" s="32"/>
    </row>
    <row r="638" spans="2:12" x14ac:dyDescent="0.3">
      <c r="F638" s="9"/>
      <c r="G638" s="9"/>
      <c r="H638" s="32"/>
      <c r="I638" s="32"/>
      <c r="J638" s="32"/>
      <c r="K638" s="32"/>
      <c r="L638" s="32"/>
    </row>
    <row r="639" spans="2:12" x14ac:dyDescent="0.3">
      <c r="F639" s="9"/>
      <c r="G639" s="9"/>
      <c r="H639" s="32"/>
      <c r="I639" s="32"/>
      <c r="J639" s="32"/>
      <c r="K639" s="32"/>
      <c r="L639" s="32"/>
    </row>
    <row r="640" spans="2:12" x14ac:dyDescent="0.3">
      <c r="F640" s="9"/>
      <c r="G640" s="9"/>
      <c r="H640" s="32"/>
      <c r="I640" s="32"/>
      <c r="J640" s="32"/>
      <c r="K640" s="32"/>
      <c r="L640" s="32"/>
    </row>
    <row r="641" spans="2:12" x14ac:dyDescent="0.3">
      <c r="F641" s="9"/>
      <c r="G641" s="9"/>
      <c r="H641" s="32"/>
      <c r="I641" s="32"/>
      <c r="J641" s="32"/>
      <c r="K641" s="32"/>
      <c r="L641" s="32"/>
    </row>
    <row r="642" spans="2:12" x14ac:dyDescent="0.3">
      <c r="F642" s="9"/>
      <c r="G642" s="9"/>
      <c r="H642" s="32"/>
      <c r="I642" s="32"/>
      <c r="J642" s="32"/>
      <c r="K642" s="32"/>
      <c r="L642" s="32"/>
    </row>
    <row r="643" spans="2:12" x14ac:dyDescent="0.3">
      <c r="F643" s="9"/>
      <c r="G643" s="9"/>
      <c r="H643" s="38"/>
      <c r="I643" s="38"/>
      <c r="J643" s="38"/>
      <c r="K643" s="38"/>
      <c r="L643" s="38"/>
    </row>
    <row r="644" spans="2:12" x14ac:dyDescent="0.3">
      <c r="F644" s="9"/>
      <c r="G644" s="9"/>
      <c r="H644" s="38"/>
      <c r="I644" s="38"/>
      <c r="J644" s="38"/>
      <c r="K644" s="38"/>
      <c r="L644" s="38"/>
    </row>
    <row r="645" spans="2:12" x14ac:dyDescent="0.3">
      <c r="B645" s="5"/>
      <c r="C645" s="5"/>
      <c r="F645" s="10"/>
      <c r="G645" s="10"/>
      <c r="H645" s="10"/>
      <c r="I645" s="10"/>
      <c r="J645" s="10"/>
      <c r="K645" s="10"/>
      <c r="L645" s="10"/>
    </row>
    <row r="648" spans="2:12" ht="25.8" x14ac:dyDescent="0.5">
      <c r="B648" s="3"/>
      <c r="C648" s="3"/>
      <c r="D648" s="3"/>
      <c r="E648" s="4"/>
      <c r="F648" s="4"/>
      <c r="G648" s="4"/>
      <c r="H648" s="4"/>
      <c r="I648" s="4"/>
      <c r="J648" s="4"/>
      <c r="K648" s="4"/>
      <c r="L648" s="4"/>
    </row>
    <row r="649" spans="2:12" x14ac:dyDescent="0.3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2:12" x14ac:dyDescent="0.3">
      <c r="B650" s="4"/>
      <c r="C650" s="4"/>
      <c r="D650" s="4"/>
      <c r="E650" s="4"/>
      <c r="F650" s="4"/>
      <c r="G650" s="4"/>
      <c r="H650" s="4"/>
      <c r="I650" s="4"/>
      <c r="J650" s="4"/>
    </row>
    <row r="651" spans="2:12" x14ac:dyDescent="0.3">
      <c r="B651" s="4"/>
      <c r="C651" s="4"/>
      <c r="D651" s="4"/>
      <c r="E651" s="4"/>
      <c r="F651" s="4"/>
      <c r="G651" s="4"/>
      <c r="H651" s="4"/>
      <c r="I651" s="4"/>
      <c r="J651" s="4"/>
    </row>
    <row r="653" spans="2:12" x14ac:dyDescent="0.3">
      <c r="F653" s="28"/>
      <c r="G653" s="28"/>
      <c r="H653" s="29"/>
      <c r="I653" s="29"/>
      <c r="J653" s="29"/>
      <c r="K653" s="29"/>
      <c r="L653" s="29"/>
    </row>
    <row r="655" spans="2:12" x14ac:dyDescent="0.3">
      <c r="B655" s="5"/>
      <c r="C655" s="5"/>
    </row>
    <row r="656" spans="2:12" x14ac:dyDescent="0.3">
      <c r="B656" s="5"/>
      <c r="C656" s="5"/>
    </row>
    <row r="657" spans="2:12" x14ac:dyDescent="0.3">
      <c r="H657" s="32"/>
      <c r="I657" s="32"/>
      <c r="J657" s="32"/>
      <c r="K657" s="32"/>
      <c r="L657" s="32"/>
    </row>
    <row r="658" spans="2:12" x14ac:dyDescent="0.3">
      <c r="H658" s="32"/>
      <c r="I658" s="32"/>
      <c r="J658" s="32"/>
      <c r="K658" s="32"/>
      <c r="L658" s="32"/>
    </row>
    <row r="659" spans="2:12" x14ac:dyDescent="0.3">
      <c r="H659" s="32"/>
      <c r="I659" s="32"/>
      <c r="J659" s="32"/>
      <c r="K659" s="32"/>
      <c r="L659" s="32"/>
    </row>
    <row r="660" spans="2:12" x14ac:dyDescent="0.3">
      <c r="H660" s="26"/>
      <c r="I660" s="26"/>
      <c r="J660" s="26"/>
    </row>
    <row r="661" spans="2:12" x14ac:dyDescent="0.3">
      <c r="B661" s="5"/>
      <c r="C661" s="5"/>
      <c r="D661" s="5"/>
      <c r="E661" s="5"/>
      <c r="F661" s="5"/>
      <c r="G661" s="5"/>
      <c r="H661" s="31"/>
      <c r="I661" s="31"/>
      <c r="J661" s="31"/>
      <c r="K661" s="31"/>
      <c r="L661" s="31"/>
    </row>
    <row r="663" spans="2:12" x14ac:dyDescent="0.3">
      <c r="H663" s="32"/>
      <c r="I663" s="32"/>
      <c r="J663" s="32"/>
      <c r="K663" s="32"/>
      <c r="L663" s="32"/>
    </row>
    <row r="664" spans="2:12" x14ac:dyDescent="0.3">
      <c r="H664" s="32"/>
      <c r="I664" s="32"/>
      <c r="J664" s="32"/>
      <c r="K664" s="32"/>
      <c r="L664" s="32"/>
    </row>
    <row r="665" spans="2:12" x14ac:dyDescent="0.3">
      <c r="H665" s="32"/>
      <c r="I665" s="32"/>
      <c r="J665" s="32"/>
      <c r="K665" s="32"/>
      <c r="L665" s="32"/>
    </row>
    <row r="666" spans="2:12" x14ac:dyDescent="0.3">
      <c r="H666" s="26"/>
      <c r="I666" s="26"/>
      <c r="J666" s="26"/>
      <c r="K666" s="26"/>
      <c r="L666" s="26"/>
    </row>
    <row r="667" spans="2:12" x14ac:dyDescent="0.3">
      <c r="B667" s="5"/>
      <c r="C667" s="5"/>
      <c r="D667" s="5"/>
      <c r="E667" s="5"/>
      <c r="F667" s="5"/>
      <c r="G667" s="5"/>
      <c r="H667" s="31"/>
      <c r="I667" s="31"/>
      <c r="J667" s="31"/>
      <c r="K667" s="31"/>
      <c r="L667" s="31"/>
    </row>
    <row r="668" spans="2:12" x14ac:dyDescent="0.3">
      <c r="B668" s="5"/>
      <c r="C668" s="5"/>
      <c r="H668" s="30"/>
      <c r="I668" s="30"/>
      <c r="J668" s="30"/>
      <c r="K668" s="30"/>
      <c r="L668" s="30"/>
    </row>
    <row r="669" spans="2:12" x14ac:dyDescent="0.3">
      <c r="H669" s="32"/>
      <c r="I669" s="32"/>
      <c r="J669" s="32"/>
      <c r="K669" s="32"/>
      <c r="L669" s="32"/>
    </row>
    <row r="670" spans="2:12" x14ac:dyDescent="0.3">
      <c r="H670" s="26"/>
      <c r="I670" s="26"/>
      <c r="J670" s="26"/>
      <c r="K670" s="26"/>
      <c r="L670" s="26"/>
    </row>
    <row r="671" spans="2:12" x14ac:dyDescent="0.3">
      <c r="B671" s="5"/>
      <c r="C671" s="5"/>
      <c r="D671" s="5"/>
      <c r="E671" s="5"/>
      <c r="F671" s="5"/>
      <c r="G671" s="5"/>
      <c r="H671" s="31"/>
      <c r="I671" s="31"/>
      <c r="J671" s="31"/>
      <c r="K671" s="31"/>
      <c r="L671" s="31"/>
    </row>
    <row r="673" spans="2:12" x14ac:dyDescent="0.3">
      <c r="H673" s="32"/>
      <c r="I673" s="32"/>
      <c r="J673" s="32"/>
      <c r="K673" s="32"/>
      <c r="L673" s="32"/>
    </row>
    <row r="674" spans="2:12" x14ac:dyDescent="0.3">
      <c r="H674" s="26"/>
      <c r="I674" s="26"/>
      <c r="J674" s="26"/>
      <c r="K674" s="26"/>
      <c r="L674" s="26"/>
    </row>
    <row r="675" spans="2:12" x14ac:dyDescent="0.3">
      <c r="B675" s="5"/>
      <c r="C675" s="5"/>
      <c r="D675" s="5"/>
      <c r="E675" s="5"/>
      <c r="F675" s="5"/>
      <c r="G675" s="5"/>
      <c r="H675" s="31"/>
      <c r="I675" s="31"/>
      <c r="J675" s="31"/>
      <c r="K675" s="31"/>
      <c r="L675" s="31"/>
    </row>
    <row r="677" spans="2:12" x14ac:dyDescent="0.3">
      <c r="H677" s="32"/>
      <c r="I677" s="32"/>
      <c r="J677" s="32"/>
      <c r="K677" s="32"/>
      <c r="L677" s="32"/>
    </row>
    <row r="678" spans="2:12" x14ac:dyDescent="0.3">
      <c r="H678" s="26"/>
      <c r="I678" s="26"/>
      <c r="J678" s="26"/>
      <c r="K678" s="26"/>
      <c r="L678" s="26"/>
    </row>
    <row r="679" spans="2:12" x14ac:dyDescent="0.3">
      <c r="B679" s="5"/>
      <c r="C679" s="5"/>
      <c r="D679" s="5"/>
      <c r="E679" s="5"/>
      <c r="F679" s="5"/>
      <c r="G679" s="5"/>
      <c r="H679" s="31"/>
      <c r="I679" s="31"/>
      <c r="J679" s="31"/>
      <c r="K679" s="31"/>
      <c r="L679" s="31"/>
    </row>
    <row r="680" spans="2:12" x14ac:dyDescent="0.3">
      <c r="B680" s="5"/>
      <c r="C680" s="5"/>
      <c r="H680" s="30"/>
      <c r="I680" s="30"/>
      <c r="J680" s="30"/>
      <c r="K680" s="30"/>
      <c r="L680" s="30"/>
    </row>
    <row r="681" spans="2:12" x14ac:dyDescent="0.3">
      <c r="B681" s="5"/>
      <c r="C681" s="5"/>
      <c r="D681" s="5"/>
      <c r="H681" s="31"/>
      <c r="I681" s="31"/>
      <c r="J681" s="31"/>
      <c r="K681" s="31"/>
      <c r="L681" s="31"/>
    </row>
    <row r="682" spans="2:12" x14ac:dyDescent="0.3">
      <c r="B682" s="5"/>
      <c r="C682" s="5"/>
      <c r="G682" s="12"/>
      <c r="H682" s="12"/>
      <c r="I682" s="12"/>
      <c r="J682" s="12"/>
      <c r="K682" s="12"/>
      <c r="L682" s="12"/>
    </row>
    <row r="683" spans="2:12" x14ac:dyDescent="0.3">
      <c r="B683" s="5"/>
      <c r="C683" s="5"/>
      <c r="D683" s="5"/>
      <c r="E683" s="5"/>
      <c r="F683" s="5"/>
      <c r="G683" s="5"/>
      <c r="H683" s="31"/>
      <c r="I683" s="31"/>
      <c r="J683" s="31"/>
      <c r="K683" s="31"/>
      <c r="L683" s="31"/>
    </row>
    <row r="684" spans="2:12" x14ac:dyDescent="0.3">
      <c r="B684" s="5"/>
      <c r="C684" s="5"/>
      <c r="H684" s="30"/>
      <c r="I684" s="30"/>
      <c r="J684" s="30"/>
    </row>
    <row r="685" spans="2:12" x14ac:dyDescent="0.3">
      <c r="B685" s="5"/>
      <c r="C685" s="5"/>
      <c r="H685" s="30"/>
      <c r="I685" s="30"/>
      <c r="J685" s="30"/>
    </row>
    <row r="686" spans="2:12" x14ac:dyDescent="0.3">
      <c r="B686" s="5"/>
      <c r="C686" s="5"/>
      <c r="H686" s="30"/>
      <c r="I686" s="30"/>
      <c r="J686" s="30"/>
      <c r="K686" s="30"/>
      <c r="L686" s="30"/>
    </row>
    <row r="687" spans="2:12" x14ac:dyDescent="0.3">
      <c r="B687" s="5"/>
      <c r="C687" s="5"/>
      <c r="H687" s="30"/>
      <c r="I687" s="30"/>
      <c r="J687" s="30"/>
      <c r="K687" s="30"/>
      <c r="L687" s="30"/>
    </row>
    <row r="688" spans="2:12" x14ac:dyDescent="0.3">
      <c r="B688" s="5"/>
      <c r="C688" s="5"/>
      <c r="H688" s="30"/>
      <c r="I688" s="30"/>
      <c r="J688" s="30"/>
      <c r="K688" s="30"/>
      <c r="L688" s="30"/>
    </row>
    <row r="689" spans="2:12" x14ac:dyDescent="0.3">
      <c r="H689" s="30"/>
      <c r="I689" s="30"/>
      <c r="J689" s="30"/>
      <c r="K689" s="30"/>
      <c r="L689" s="30"/>
    </row>
    <row r="690" spans="2:12" x14ac:dyDescent="0.3">
      <c r="H690" s="30"/>
      <c r="I690" s="30"/>
      <c r="J690" s="30"/>
      <c r="K690" s="30"/>
      <c r="L690" s="30"/>
    </row>
    <row r="691" spans="2:12" x14ac:dyDescent="0.3">
      <c r="H691" s="30"/>
      <c r="I691" s="30"/>
      <c r="J691" s="30"/>
      <c r="K691" s="30"/>
      <c r="L691" s="30"/>
    </row>
    <row r="692" spans="2:12" x14ac:dyDescent="0.3">
      <c r="H692" s="30"/>
      <c r="I692" s="30"/>
      <c r="J692" s="30"/>
      <c r="K692" s="30"/>
      <c r="L692" s="30"/>
    </row>
    <row r="693" spans="2:12" x14ac:dyDescent="0.3">
      <c r="B693" s="5"/>
      <c r="C693" s="5"/>
      <c r="G693" s="12"/>
      <c r="H693" s="30"/>
      <c r="I693" s="30"/>
      <c r="J693" s="30"/>
      <c r="K693" s="30"/>
      <c r="L693" s="30"/>
    </row>
    <row r="694" spans="2:12" x14ac:dyDescent="0.3">
      <c r="B694" s="5"/>
      <c r="C694" s="5"/>
      <c r="G694" s="30"/>
      <c r="H694" s="30"/>
      <c r="I694" s="30"/>
      <c r="J694" s="30"/>
      <c r="K694" s="30"/>
      <c r="L694" s="30"/>
    </row>
    <row r="695" spans="2:12" x14ac:dyDescent="0.3">
      <c r="B695" s="5"/>
      <c r="C695" s="5"/>
      <c r="G695" s="30"/>
      <c r="H695" s="30"/>
      <c r="I695" s="30"/>
      <c r="J695" s="30"/>
      <c r="K695" s="30"/>
      <c r="L695" s="30"/>
    </row>
    <row r="696" spans="2:12" x14ac:dyDescent="0.3">
      <c r="B696" s="5"/>
      <c r="C696" s="5"/>
      <c r="H696" s="30"/>
      <c r="I696" s="30"/>
      <c r="J696" s="30"/>
      <c r="K696" s="30"/>
      <c r="L696" s="30"/>
    </row>
    <row r="697" spans="2:12" x14ac:dyDescent="0.3">
      <c r="B697" s="5"/>
      <c r="C697" s="5"/>
      <c r="D697" s="5"/>
      <c r="E697" s="5"/>
      <c r="F697" s="5"/>
      <c r="G697" s="5"/>
      <c r="H697" s="33"/>
      <c r="I697" s="33"/>
      <c r="J697" s="33"/>
      <c r="K697" s="33"/>
      <c r="L697" s="33"/>
    </row>
    <row r="698" spans="2:12" x14ac:dyDescent="0.3">
      <c r="H698" s="27"/>
      <c r="I698" s="27"/>
      <c r="J698" s="27"/>
      <c r="K698" s="27"/>
      <c r="L698" s="27"/>
    </row>
    <row r="699" spans="2:12" x14ac:dyDescent="0.3">
      <c r="H699" s="27"/>
      <c r="I699" s="27"/>
      <c r="J699" s="27"/>
      <c r="K699" s="27"/>
      <c r="L699" s="27"/>
    </row>
    <row r="700" spans="2:12" x14ac:dyDescent="0.3">
      <c r="H700" s="12"/>
      <c r="I700" s="12"/>
      <c r="J700" s="12"/>
      <c r="K700" s="12"/>
      <c r="L700" s="12"/>
    </row>
    <row r="701" spans="2:12" x14ac:dyDescent="0.3">
      <c r="H701" s="7"/>
      <c r="I701" s="7"/>
      <c r="J701" s="7"/>
      <c r="K701" s="7"/>
      <c r="L701" s="7"/>
    </row>
    <row r="703" spans="2:12" x14ac:dyDescent="0.3">
      <c r="B703" s="5"/>
      <c r="C703" s="5"/>
      <c r="D703" s="5"/>
      <c r="E703" s="5"/>
      <c r="F703" s="5"/>
      <c r="G703" s="5"/>
      <c r="H703" s="33"/>
      <c r="I703" s="33"/>
      <c r="J703" s="33"/>
      <c r="K703" s="33"/>
      <c r="L703" s="33"/>
    </row>
    <row r="705" spans="2:12" x14ac:dyDescent="0.3">
      <c r="E705" s="11"/>
    </row>
    <row r="706" spans="2:12" ht="25.8" x14ac:dyDescent="0.5">
      <c r="B706" s="3"/>
      <c r="C706" s="3"/>
      <c r="D706" s="3"/>
      <c r="E706" s="4"/>
      <c r="F706" s="4"/>
      <c r="G706" s="4"/>
      <c r="H706" s="4"/>
      <c r="I706" s="4"/>
      <c r="J706" s="4"/>
      <c r="K706" s="4"/>
      <c r="L706" s="4"/>
    </row>
    <row r="707" spans="2:12" x14ac:dyDescent="0.3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2:12" x14ac:dyDescent="0.3">
      <c r="B708" s="4"/>
      <c r="C708" s="4"/>
      <c r="D708" s="4"/>
      <c r="E708" s="4"/>
      <c r="F708" s="4"/>
      <c r="G708" s="4"/>
      <c r="H708" s="4"/>
      <c r="I708" s="4"/>
      <c r="J708" s="4"/>
    </row>
    <row r="709" spans="2:12" x14ac:dyDescent="0.3">
      <c r="B709" s="4"/>
      <c r="C709" s="4"/>
      <c r="D709" s="4"/>
      <c r="E709" s="4"/>
      <c r="F709" s="4"/>
      <c r="G709" s="4"/>
      <c r="H709" s="4"/>
      <c r="I709" s="4"/>
      <c r="J709" s="4"/>
    </row>
    <row r="711" spans="2:12" x14ac:dyDescent="0.3">
      <c r="F711" s="28"/>
      <c r="G711" s="28"/>
      <c r="H711" s="29"/>
      <c r="I711" s="29"/>
      <c r="J711" s="29"/>
      <c r="K711" s="29"/>
      <c r="L711" s="29"/>
    </row>
    <row r="714" spans="2:12" x14ac:dyDescent="0.3">
      <c r="H714" s="32"/>
      <c r="I714" s="32"/>
      <c r="J714" s="32"/>
      <c r="K714" s="32"/>
      <c r="L714" s="32"/>
    </row>
    <row r="715" spans="2:12" x14ac:dyDescent="0.3">
      <c r="H715" s="32"/>
      <c r="I715" s="32"/>
      <c r="J715" s="32"/>
      <c r="K715" s="32"/>
      <c r="L715" s="32"/>
    </row>
    <row r="716" spans="2:12" x14ac:dyDescent="0.3">
      <c r="H716" s="32"/>
      <c r="I716" s="32"/>
      <c r="J716" s="32"/>
      <c r="K716" s="32"/>
      <c r="L716" s="32"/>
    </row>
    <row r="717" spans="2:12" x14ac:dyDescent="0.3">
      <c r="H717" s="30"/>
      <c r="I717" s="30"/>
      <c r="J717" s="30"/>
      <c r="K717" s="30"/>
      <c r="L717" s="30"/>
    </row>
    <row r="718" spans="2:12" x14ac:dyDescent="0.3">
      <c r="B718" s="5"/>
      <c r="C718" s="5"/>
      <c r="D718" s="5"/>
      <c r="E718" s="5"/>
      <c r="F718" s="5"/>
      <c r="G718" s="10"/>
      <c r="H718" s="10"/>
      <c r="I718" s="10"/>
      <c r="J718" s="10"/>
      <c r="K718" s="10"/>
      <c r="L718" s="10"/>
    </row>
    <row r="719" spans="2:12" x14ac:dyDescent="0.3">
      <c r="B719" s="5"/>
      <c r="C719" s="5"/>
      <c r="D719" s="5"/>
      <c r="E719" s="5"/>
      <c r="F719" s="5"/>
      <c r="G719" s="10"/>
      <c r="H719" s="10"/>
      <c r="I719" s="10"/>
      <c r="J719" s="10"/>
      <c r="K719" s="10"/>
      <c r="L719" s="10"/>
    </row>
    <row r="720" spans="2:12" x14ac:dyDescent="0.3">
      <c r="B720" s="5"/>
      <c r="C720" s="5"/>
      <c r="D720" s="5"/>
      <c r="E720" s="5"/>
      <c r="F720" s="5"/>
      <c r="G720" s="10"/>
      <c r="H720" s="10"/>
      <c r="I720" s="10"/>
      <c r="J720" s="10"/>
      <c r="K720" s="10"/>
      <c r="L720" s="10"/>
    </row>
    <row r="721" spans="2:12" x14ac:dyDescent="0.3">
      <c r="G721" s="32"/>
      <c r="H721" s="32"/>
      <c r="I721" s="32"/>
      <c r="J721" s="32"/>
      <c r="K721" s="32"/>
      <c r="L721" s="32"/>
    </row>
    <row r="722" spans="2:12" x14ac:dyDescent="0.3">
      <c r="B722" s="5"/>
      <c r="C722" s="5"/>
      <c r="D722" s="5"/>
      <c r="E722" s="5"/>
      <c r="F722" s="5"/>
      <c r="G722" s="31"/>
      <c r="H722" s="31"/>
      <c r="I722" s="31"/>
      <c r="J722" s="31"/>
      <c r="K722" s="31"/>
      <c r="L722" s="31"/>
    </row>
    <row r="723" spans="2:12" x14ac:dyDescent="0.3">
      <c r="B723" s="5"/>
      <c r="C723" s="5"/>
      <c r="D723" s="5"/>
      <c r="E723" s="5"/>
      <c r="F723" s="5"/>
      <c r="G723" s="31"/>
      <c r="H723" s="31"/>
      <c r="I723" s="31"/>
      <c r="J723" s="31"/>
      <c r="K723" s="31"/>
      <c r="L723" s="31"/>
    </row>
    <row r="725" spans="2:12" x14ac:dyDescent="0.3">
      <c r="G725" s="32"/>
      <c r="H725" s="32"/>
      <c r="I725" s="32"/>
      <c r="J725" s="32"/>
      <c r="K725" s="32"/>
      <c r="L725" s="32"/>
    </row>
    <row r="726" spans="2:12" x14ac:dyDescent="0.3">
      <c r="B726" s="5"/>
      <c r="C726" s="5"/>
      <c r="G726" s="32"/>
      <c r="H726" s="32"/>
      <c r="I726" s="32"/>
      <c r="J726" s="32"/>
      <c r="K726" s="32"/>
      <c r="L726" s="32"/>
    </row>
    <row r="727" spans="2:12" x14ac:dyDescent="0.3">
      <c r="G727" s="7"/>
      <c r="H727" s="7"/>
      <c r="I727" s="7"/>
      <c r="J727" s="7"/>
      <c r="K727" s="7"/>
      <c r="L727" s="7"/>
    </row>
    <row r="728" spans="2:12" x14ac:dyDescent="0.3">
      <c r="G728" s="7"/>
      <c r="H728" s="7"/>
      <c r="I728" s="7"/>
      <c r="J728" s="7"/>
      <c r="K728" s="7"/>
      <c r="L728" s="7"/>
    </row>
  </sheetData>
  <pageMargins left="0.25" right="0.25" top="0.75" bottom="0.75" header="0.3" footer="0.3"/>
  <pageSetup scale="32" fitToWidth="0" fitToHeight="0" orientation="portrait" r:id="rId1"/>
  <rowBreaks count="4" manualBreakCount="4">
    <brk id="43" max="16383" man="1"/>
    <brk id="88" max="16383" man="1"/>
    <brk id="131" max="11" man="1"/>
    <brk id="219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DCF_Valuation</vt:lpstr>
      <vt:lpstr>Assumptions</vt:lpstr>
      <vt:lpstr>Model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Hopkinson</dc:creator>
  <cp:lastModifiedBy>Peter Hopkinson</cp:lastModifiedBy>
  <cp:lastPrinted>2026-10-10T01:21:40Z</cp:lastPrinted>
  <dcterms:created xsi:type="dcterms:W3CDTF">2026-09-25T20:35:53Z</dcterms:created>
  <dcterms:modified xsi:type="dcterms:W3CDTF">2026-10-13T23:16:05Z</dcterms:modified>
</cp:coreProperties>
</file>